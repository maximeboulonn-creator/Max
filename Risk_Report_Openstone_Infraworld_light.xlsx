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REVIEW" sheetId="1" state="visible" r:id="rId3"/>
    <sheet name="0 Paramètres" sheetId="2" state="visible" r:id="rId4"/>
    <sheet name="1 Limites" sheetId="3" state="visible" r:id="rId5"/>
    <sheet name="2 Liquidité" sheetId="4" state="visible" r:id="rId6"/>
    <sheet name="3 Scénarios" sheetId="5" state="visible" r:id="rId7"/>
    <sheet name="4 Fonds cibles" sheetId="6" state="visible" r:id="rId8"/>
    <sheet name="5 Recommandations" sheetId="7" state="visible" r:id="rId9"/>
    <sheet name="DATA" sheetId="8" state="visible" r:id="rId10"/>
  </sheets>
  <definedNames>
    <definedName function="false" hidden="false" name="AN_cible" vbProcedure="false">'0 Paramètres'!$C$9</definedName>
    <definedName function="false" hidden="false" name="AN_min" vbProcedure="false">'0 Paramètres'!$C$10</definedName>
    <definedName function="false" hidden="false" name="Blocage_mois" vbProcedure="false">'0 Paramètres'!$C$26</definedName>
    <definedName function="false" hidden="false" name="Buckets_total" vbProcedure="false">'2 Liquidité'!$C$31</definedName>
    <definedName function="false" hidden="false" name="B_2_7" vbProcedure="false">'2 Liquidité'!$C$25</definedName>
    <definedName function="false" hidden="false" name="B_31_90" vbProcedure="false">'2 Liquidité'!$C$27</definedName>
    <definedName function="false" hidden="false" name="B_365" vbProcedure="false">'2 Liquidité'!$C$30</definedName>
    <definedName function="false" hidden="false" name="B_91_180" vbProcedure="false">'2 Liquidité'!$C$28</definedName>
    <definedName function="false" hidden="false" name="Cap_evergreen" vbProcedure="false">'2 Liquidité'!$C$38</definedName>
    <definedName function="false" hidden="false" name="Centralisation_sous_JO" vbProcedure="false">'0 Paramètres'!$C$32</definedName>
    <definedName function="false" hidden="false" name="Couv_12m" vbProcedure="false">'2 Liquidité'!$C$41</definedName>
    <definedName function="false" hidden="false" name="Couv_12m_c" vbProcedure="false">'2 Liquidité'!$D$41</definedName>
    <definedName function="false" hidden="false" name="Couv_12m_s" vbProcedure="false">'2 Liquidité'!$E$41</definedName>
    <definedName function="false" hidden="false" name="Couv_evergreen_gate" vbProcedure="false">'2 Liquidité'!$C$39</definedName>
    <definedName function="false" hidden="false" name="Couv_evergreen_gate_c" vbProcedure="false">'2 Liquidité'!$D$39</definedName>
    <definedName function="false" hidden="false" name="Couv_evergreen_gate_s" vbProcedure="false">'2 Liquidité'!$E$39</definedName>
    <definedName function="false" hidden="false" name="Couv_poche_annuel" vbProcedure="false">'2 Liquidité'!$C$37</definedName>
    <definedName function="false" hidden="false" name="Couv_poche_annuel_c" vbProcedure="false">'2 Liquidité'!$D$37</definedName>
    <definedName function="false" hidden="false" name="Couv_poche_annuel_s" vbProcedure="false">'2 Liquidité'!$E$37</definedName>
    <definedName function="false" hidden="false" name="Couv_poche_gate" vbProcedure="false">'2 Liquidité'!$C$36</definedName>
    <definedName function="false" hidden="false" name="Couv_poche_gate_c" vbProcedure="false">'2 Liquidité'!$D$36</definedName>
    <definedName function="false" hidden="false" name="Couv_poche_gate_s" vbProcedure="false">'2 Liquidité'!$E$36</definedName>
    <definedName function="false" hidden="false" name="DateArrete" vbProcedure="false">'0 Paramètres'!$C$7</definedName>
    <definedName function="false" hidden="false" name="DateProspectus" vbProcedure="false">'0 Paramètres'!$C$8</definedName>
    <definedName function="false" hidden="false" name="Dec1" vbProcedure="false">'5 Recommandations'!$C$21</definedName>
    <definedName function="false" hidden="false" name="Dec2" vbProcedure="false">'5 Recommandations'!$C$22</definedName>
    <definedName function="false" hidden="false" name="Dec3" vbProcedure="false">'5 Recommandations'!$C$23</definedName>
    <definedName function="false" hidden="false" name="Dec4" vbProcedure="false">'5 Recommandations'!$C$24</definedName>
    <definedName function="false" hidden="false" name="Dec5" vbProcedure="false">'5 Recommandations'!$C$25</definedName>
    <definedName function="false" hidden="false" name="Dec6" vbProcedure="false">'5 Recommandations'!$C$26</definedName>
    <definedName function="false" hidden="false" name="DecE1" vbProcedure="false">'5 Recommandations'!$G$21</definedName>
    <definedName function="false" hidden="false" name="DecE2" vbProcedure="false">'5 Recommandations'!$G$22</definedName>
    <definedName function="false" hidden="false" name="DecE3" vbProcedure="false">'5 Recommandations'!$G$23</definedName>
    <definedName function="false" hidden="false" name="DecE4" vbProcedure="false">'5 Recommandations'!$G$24</definedName>
    <definedName function="false" hidden="false" name="DecE5" vbProcedure="false">'5 Recommandations'!$G$25</definedName>
    <definedName function="false" hidden="false" name="DecE6" vbProcedure="false">'5 Recommandations'!$G$26</definedName>
    <definedName function="false" hidden="false" name="DecP1" vbProcedure="false">'5 Recommandations'!$D$21</definedName>
    <definedName function="false" hidden="false" name="DecP2" vbProcedure="false">'5 Recommandations'!$D$22</definedName>
    <definedName function="false" hidden="false" name="DecP3" vbProcedure="false">'5 Recommandations'!$D$23</definedName>
    <definedName function="false" hidden="false" name="DecP4" vbProcedure="false">'5 Recommandations'!$D$24</definedName>
    <definedName function="false" hidden="false" name="DecP5" vbProcedure="false">'5 Recommandations'!$D$25</definedName>
    <definedName function="false" hidden="false" name="DecP6" vbProcedure="false">'5 Recommandations'!$D$26</definedName>
    <definedName function="false" hidden="false" name="Ecart_TTL" vbProcedure="false">'2 Liquidité'!$C$20</definedName>
    <definedName function="false" hidden="false" name="Emprunt_max" vbProcedure="false">'0 Paramètres'!$C$38</definedName>
    <definedName function="false" hidden="false" name="Entreprises_max" vbProcedure="false">'0 Paramètres'!$C$40</definedName>
    <definedName function="false" hidden="false" name="Fee_CIF_A" vbProcedure="false">'0 Paramètres'!$C$44</definedName>
    <definedName function="false" hidden="false" name="Fee_CIF_B" vbProcedure="false">'0 Paramètres'!$C$45</definedName>
    <definedName function="false" hidden="false" name="Fee_Const" vbProcedure="false">'0 Paramètres'!$C$48</definedName>
    <definedName function="false" hidden="false" name="Fee_Distrib" vbProcedure="false">'0 Paramètres'!$C$46</definedName>
    <definedName function="false" hidden="false" name="Fee_Entree" vbProcedure="false">'0 Paramètres'!$C$47</definedName>
    <definedName function="false" hidden="false" name="Fee_SGP" vbProcedure="false">'0 Paramètres'!$C$43</definedName>
    <definedName function="false" hidden="false" name="Fee_Total_A1" vbProcedure="false">'0 Paramètres'!$C$49</definedName>
    <definedName function="false" hidden="false" name="Gate" vbProcedure="false">'0 Paramètres'!$C$29</definedName>
    <definedName function="false" hidden="false" name="Gate_annuel" vbProcedure="false">'2 Liquidité'!$C$35</definedName>
    <definedName function="false" hidden="false" name="Gate_dates" vbProcedure="false">'0 Paramètres'!$C$30</definedName>
    <definedName function="false" hidden="false" name="IRPc_ARES" vbProcedure="false">'4 Fonds cibles'!$G$32</definedName>
    <definedName function="false" hidden="false" name="IRPc_Fonds" vbProcedure="false">'4 Fonds cibles'!$C$32</definedName>
    <definedName function="false" hidden="false" name="IRPc_MAPIF" vbProcedure="false">'4 Fonds cibles'!$D$32</definedName>
    <definedName function="false" hidden="false" name="IRPc_MSIG" vbProcedure="false">'4 Fonds cibles'!$E$32</definedName>
    <definedName function="false" hidden="false" name="IRPc_PG" vbProcedure="false">'4 Fonds cibles'!$F$32</definedName>
    <definedName function="false" hidden="false" name="IRPc_Transp" vbProcedure="false">'4 Fonds cibles'!$C$35</definedName>
    <definedName function="false" hidden="false" name="IRPc_Transp_hp" vbProcedure="false">'4 Fonds cibles'!$C$36</definedName>
    <definedName function="false" hidden="false" name="IRP_ARES" vbProcedure="false">'0 Paramètres'!$C$65</definedName>
    <definedName function="false" hidden="false" name="IRP_Fonds" vbProcedure="false">'0 Paramètres'!$C$60</definedName>
    <definedName function="false" hidden="false" name="IRP_MAPIF" vbProcedure="false">'0 Paramètres'!$C$62</definedName>
    <definedName function="false" hidden="false" name="IRP_MSIG" vbProcedure="false">'0 Paramètres'!$C$63</definedName>
    <definedName function="false" hidden="false" name="IRP_PG" vbProcedure="false">'0 Paramètres'!$C$64</definedName>
    <definedName function="false" hidden="false" name="IRP_Transp" vbProcedure="false">'0 Paramètres'!$C$61</definedName>
    <definedName function="false" hidden="false" name="Levier_max" vbProcedure="false">'0 Paramètres'!$C$39</definedName>
    <definedName function="false" hidden="false" name="Lim_a_arreter" vbProcedure="false">'1 Limites'!$D$35</definedName>
    <definedName function="false" hidden="false" name="Lim_a_valider" vbProcedure="false">'1 Limites'!$D$36</definedName>
    <definedName function="false" hidden="false" name="Lim_depassees" vbProcedure="false">'1 Limites'!$D$38</definedName>
    <definedName function="false" hidden="false" name="Lim_non_testables" vbProcedure="false">'1 Limites'!$D$37</definedName>
    <definedName function="false" hidden="false" name="Lim_total" vbProcedure="false">'1 Limites'!$D$34</definedName>
    <definedName function="false" hidden="false" name="Liq_cible" vbProcedure="false">'0 Paramètres'!$C$35</definedName>
    <definedName function="false" hidden="false" name="Liq_min" vbProcedure="false">'0 Paramètres'!$C$34</definedName>
    <definedName function="false" hidden="false" name="Liq_monetaire_min" vbProcedure="false">'0 Paramètres'!$C$36</definedName>
    <definedName function="false" hidden="false" name="Nominal" vbProcedure="false">'0 Paramètres'!$C$12</definedName>
    <definedName function="false" hidden="false" name="N_orange" vbProcedure="false">'3 Scénarios'!$C$15</definedName>
    <definedName function="false" hidden="false" name="N_rouge" vbProcedure="false">'3 Scénarios'!$C$16</definedName>
    <definedName function="false" hidden="false" name="N_vert" vbProcedure="false">'3 Scénarios'!$C$14</definedName>
    <definedName function="false" hidden="false" name="PDR" vbProcedure="false">'0 Paramètres'!$C$67</definedName>
    <definedName function="false" hidden="false" name="Pers_phys_max" vbProcedure="false">'0 Paramètres'!$C$41</definedName>
    <definedName function="false" hidden="false" name="Porteur_max" vbProcedure="false">'3 Scénarios'!$C$41</definedName>
    <definedName function="false" hidden="false" name="Preavis_j" vbProcedure="false">'0 Paramètres'!$C$27</definedName>
    <definedName function="false" hidden="false" name="Preavis_max_j" vbProcedure="false">'0 Paramètres'!$C$28</definedName>
    <definedName function="false" hidden="false" name="Publication_JO" vbProcedure="false">'0 Paramètres'!$C$33</definedName>
    <definedName function="false" hidden="false" name="Rec1" vbProcedure="false">'5 Recommandations'!$C$6</definedName>
    <definedName function="false" hidden="false" name="Rec10" vbProcedure="false">'5 Recommandations'!$C$15</definedName>
    <definedName function="false" hidden="false" name="Rec11" vbProcedure="false">'5 Recommandations'!$C$16</definedName>
    <definedName function="false" hidden="false" name="Rec12" vbProcedure="false">'5 Recommandations'!$C$17</definedName>
    <definedName function="false" hidden="false" name="Rec2" vbProcedure="false">'5 Recommandations'!$C$7</definedName>
    <definedName function="false" hidden="false" name="Rec3" vbProcedure="false">'5 Recommandations'!$C$8</definedName>
    <definedName function="false" hidden="false" name="Rec4" vbProcedure="false">'5 Recommandations'!$C$9</definedName>
    <definedName function="false" hidden="false" name="Rec5" vbProcedure="false">'5 Recommandations'!$C$10</definedName>
    <definedName function="false" hidden="false" name="Rec6" vbProcedure="false">'5 Recommandations'!$C$11</definedName>
    <definedName function="false" hidden="false" name="Rec7" vbProcedure="false">'5 Recommandations'!$C$12</definedName>
    <definedName function="false" hidden="false" name="Rec8" vbProcedure="false">'5 Recommandations'!$C$13</definedName>
    <definedName function="false" hidden="false" name="Rec9" vbProcedure="false">'5 Recommandations'!$C$14</definedName>
    <definedName function="false" hidden="false" name="Reglement_cal" vbProcedure="false">'2 Liquidité'!$C$15</definedName>
    <definedName function="false" hidden="false" name="Reglement_JO" vbProcedure="false">'0 Paramètres'!$C$31</definedName>
    <definedName function="false" hidden="false" name="Ressources_12m" vbProcedure="false">'2 Liquidité'!$C$40</definedName>
    <definedName function="false" hidden="false" name="Ressources_12m_c" vbProcedure="false">'2 Liquidité'!$D$40</definedName>
    <definedName function="false" hidden="false" name="Ressources_12m_s" vbProcedure="false">'2 Liquidité'!$E$40</definedName>
    <definedName function="false" hidden="false" name="Rupture_appels" vbProcedure="false">'3 Scénarios'!$C$34</definedName>
    <definedName function="false" hidden="false" name="Rupture_cession" vbProcedure="false">'3 Scénarios'!$F$22</definedName>
    <definedName function="false" hidden="false" name="Rupture_rachats" vbProcedure="false">'3 Scénarios'!$C$26</definedName>
    <definedName function="false" hidden="false" name="Sc_adverse" vbProcedure="false">'3 Scénarios'!$L$7</definedName>
    <definedName function="false" hidden="false" name="Sc_adverse_poche" vbProcedure="false">'3 Scénarios'!$F$7</definedName>
    <definedName function="false" hidden="false" name="Sc_adverse_resorption" vbProcedure="false">'3 Scénarios'!$E$7</definedName>
    <definedName function="false" hidden="false" name="Sc_appels" vbProcedure="false">'3 Scénarios'!$L$11</definedName>
    <definedName function="false" hidden="false" name="Sc_base" vbProcedure="false">'3 Scénarios'!$L$6</definedName>
    <definedName function="false" hidden="false" name="Sc_combine" vbProcedure="false">'3 Scénarios'!$L$13</definedName>
    <definedName function="false" hidden="false" name="Sc_combine_cession" vbProcedure="false">'3 Scénarios'!$J$13</definedName>
    <definedName function="false" hidden="false" name="Sc_distrib" vbProcedure="false">'3 Scénarios'!$L$10</definedName>
    <definedName function="false" hidden="false" name="Sc_extreme" vbProcedure="false">'3 Scénarios'!$L$8</definedName>
    <definedName function="false" hidden="false" name="Sc_extreme_file" vbProcedure="false">'3 Scénarios'!$D$8</definedName>
    <definedName function="false" hidden="false" name="Sc_top5" vbProcedure="false">'3 Scénarios'!$L$9</definedName>
    <definedName function="false" hidden="false" name="Sc_valo" vbProcedure="false">'3 Scénarios'!$L$12</definedName>
    <definedName function="false" hidden="false" name="Seuil_Declenchement" vbProcedure="false">'0 Paramètres'!$C$11</definedName>
    <definedName function="false" hidden="false" name="Src_perimees" vbProcedure="false">DATA!$C$18</definedName>
    <definedName function="false" hidden="false" name="Src_total" vbProcedure="false">DATA!$C$19</definedName>
    <definedName function="false" hidden="false" name="SRI" vbProcedure="false">'0 Paramètres'!$C$66</definedName>
    <definedName function="false" hidden="false" name="Surengagement_max" vbProcedure="false">'0 Paramètres'!$C$37</definedName>
    <definedName function="false" hidden="false" name="S_couv_rouge" vbProcedure="false">'0 Paramètres'!$C$55</definedName>
    <definedName function="false" hidden="false" name="S_couv_vert" vbProcedure="false">'0 Paramètres'!$C$54</definedName>
    <definedName function="false" hidden="false" name="S_file_rouge" vbProcedure="false">'0 Paramètres'!$C$51</definedName>
    <definedName function="false" hidden="false" name="S_poche_rouge" vbProcedure="false">'0 Paramètres'!$C$53</definedName>
    <definedName function="false" hidden="false" name="S_resorption_rouge" vbProcedure="false">'0 Paramètres'!$C$52</definedName>
    <definedName function="false" hidden="false" name="S_sureng_orange" vbProcedure="false">'0 Paramètres'!$C$56</definedName>
    <definedName function="false" hidden="false" name="S_top1_orange" vbProcedure="false">'0 Paramètres'!$C$57</definedName>
    <definedName function="false" hidden="false" name="S_top5_orange" vbProcedure="false">'0 Paramètres'!$C$58</definedName>
    <definedName function="false" hidden="false" name="TTL_actif" vbProcedure="false">'2 Liquidité'!$C$11</definedName>
    <definedName function="false" hidden="false" name="TTL_actif_stress" vbProcedure="false">'2 Liquidité'!$E$11</definedName>
    <definedName function="false" hidden="false" name="TTL_passif" vbProcedure="false">'2 Liquidité'!$C$17</definedName>
    <definedName function="false" hidden="false" name="TTL_passif_max" vbProcedure="false">'2 Liquidité'!$C$18</definedName>
    <definedName function="false" hidden="false" name="TTL_passif_min" vbProcedure="false">'2 Liquidité'!$C$16</definedName>
    <definedName function="false" hidden="false" name="TTL_passif_prolonge" vbProcedure="false">'2 Liquidité'!$C$19</definedName>
    <definedName function="false" hidden="false" name="W_ARES" vbProcedure="false">'0 Paramètres'!$C$17</definedName>
    <definedName function="false" hidden="false" name="W_EVER" vbProcedure="false">'0 Paramètres'!$C$21</definedName>
    <definedName function="false" hidden="false" name="W_FERMES" vbProcedure="false">'0 Paramètres'!$C$20</definedName>
    <definedName function="false" hidden="false" name="W_LIQ" vbProcedure="false">'0 Paramètres'!$C$18</definedName>
    <definedName function="false" hidden="false" name="W_MACQ" vbProcedure="false">'0 Paramètres'!$C$22</definedName>
    <definedName function="false" hidden="false" name="W_MAPIF" vbProcedure="false">'0 Paramètres'!$C$14</definedName>
    <definedName function="false" hidden="false" name="W_MSIG" vbProcedure="false">'0 Paramètres'!$C$15</definedName>
    <definedName function="false" hidden="false" name="W_PG" vbProcedure="false">'0 Paramètres'!$C$16</definedName>
    <definedName function="false" hidden="false" name="W_TOT" vbProcedure="false">'0 Paramètres'!$C$19</definedName>
    <definedName function="false" hidden="false" name="W_USD_BAS" vbProcedure="false">'0 Paramètres'!$C$23</definedName>
    <definedName function="false" hidden="false" name="W_USD_HAUT" vbProcedure="false">'0 Paramètres'!$C$24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<sst xmlns="http://schemas.openxmlformats.org/spreadsheetml/2006/main" count="1850" uniqueCount="1096">
  <si>
    <t xml:space="preserve">Openstone Infraworld  ·  Compartiment I</t>
  </si>
  <si>
    <t xml:space="preserve">Rapport de risque initial  ·  Octobre 2026  ·  Prospectus du 30/09/2026</t>
  </si>
  <si>
    <t xml:space="preserve">BAND</t>
  </si>
  <si>
    <t xml:space="preserve">COVER</t>
  </si>
  <si>
    <t xml:space="preserve">RAPPORT DE RISQUE INITIAL · OCTOBRE 2026</t>
  </si>
  <si>
    <t xml:space="preserve">Openstone Infraworld - Compartiment I</t>
  </si>
  <si>
    <t xml:space="preserve">Fonds de fonds d'infrastructure evergreen semi-liquide · quatre fonds cibles, deux fermés et deux evergreen</t>
  </si>
  <si>
    <t xml:space="preserve">Fonction permanente de gestion des risques - Fundcraft France</t>
  </si>
  <si>
    <t xml:space="preserve">PRÉ-LANCEMENT · PROSPECTUS PROJET DU 30 SEPTEMBRE 2026 · ACTIF NET CIBLE 50 M€ · SRI 4 / 7 · FPS - RG AMF ART. 423-27</t>
  </si>
  <si>
    <t xml:space="preserve">Document interne - ne pas diffuser · AIFMD art. 15-16 · ESMA 34-39-897</t>
  </si>
  <si>
    <t xml:space="preserve">SOCIÉTÉ DE GESTION</t>
  </si>
  <si>
    <t xml:space="preserve">Fundcraft France SAS - AMF GP-20260008</t>
  </si>
  <si>
    <t xml:space="preserve">CONSEILLER ET DISTRIBUTEUR PRINCIPAL</t>
  </si>
  <si>
    <t xml:space="preserve">Openstone (Innovative Finance SAS) - CIF ORIAS 23002459</t>
  </si>
  <si>
    <t xml:space="preserve">GÉRANTS DES FONDS CIBLES</t>
  </si>
  <si>
    <t xml:space="preserve">Macquarie (MAPIF II, MSIG 3) · Partners Group (Next Generation Infrastructure) · Ares (Global Infrastructure ELTIF)</t>
  </si>
  <si>
    <t xml:space="preserve">DÉPOSITAIRE · DÉLÉGATAIRE COMPTABLE · COMMISSAIRE AUX COMPTES</t>
  </si>
  <si>
    <t xml:space="preserve">BFCM · CIC · APLITEC</t>
  </si>
  <si>
    <t xml:space="preserve">Rapport établi sur la documentation : le Fonds n'est pas constitué, aucune valeur liquidative ni aucun porteur. Toutes les grandeurs en euros sont des cibles.</t>
  </si>
  <si>
    <t xml:space="preserve">00. Synthèse pour le Comité des Risques</t>
  </si>
  <si>
    <t xml:space="preserve">TITLE</t>
  </si>
  <si>
    <t xml:space="preserve">Verdict  ·  trois chiffres  ·  six décisions</t>
  </si>
  <si>
    <t xml:space="preserve">SUB</t>
  </si>
  <si>
    <t xml:space="preserve">VERDICT DE LA FONCTION RISQUES   charte Fundcraft, verdict d'ensemble = pire domaine
Échelle à cinq niveaux : Routine, Vigilance, Élevé, Sévère, Critique. Rapport initial : le verdict porte sur la conception du véhicule, non sur une position.</t>
  </si>
  <si>
    <t xml:space="preserve">SEC</t>
  </si>
  <si>
    <t xml:space="preserve">Domaine</t>
  </si>
  <si>
    <t xml:space="preserve">Verdict</t>
  </si>
  <si>
    <t xml:space="preserve">Fondement</t>
  </si>
  <si>
    <t xml:space="preserve">Implication</t>
  </si>
  <si>
    <t xml:space="preserve">HDR</t>
  </si>
  <si>
    <t xml:space="preserve">Liquidité structurelle</t>
  </si>
  <si>
    <t xml:space="preserve">Élevé</t>
  </si>
  <si>
    <t xml:space="preserve">Le plafonnement de 5 % est la seule digue ; au-delà de quatre dates, la suspension.</t>
  </si>
  <si>
    <t xml:space="preserve">ROW</t>
  </si>
  <si>
    <t xml:space="preserve">Stress tests</t>
  </si>
  <si>
    <t xml:space="preserve">Décision 5 : séquencer les engagements ; rejouer sur l'encours réel (R12).</t>
  </si>
  <si>
    <t xml:space="preserve">Concentration</t>
  </si>
  <si>
    <t xml:space="preserve">Décision 4 : limites internes gérant 40 % et fonds cible 35 %.</t>
  </si>
  <si>
    <t xml:space="preserve">Marché, change et valorisation</t>
  </si>
  <si>
    <t xml:space="preserve">Vigilance</t>
  </si>
  <si>
    <t xml:space="preserve">Décision 4 : limite de change ; décision 6 : revue des VL reçues.</t>
  </si>
  <si>
    <t xml:space="preserve">Documentation et gouvernance</t>
  </si>
  <si>
    <t xml:space="preserve">Décisions 1, 2 et 6 avant le dépôt du prospectus.</t>
  </si>
  <si>
    <t xml:space="preserve">Verdict d'ensemble</t>
  </si>
  <si>
    <t xml:space="preserve">ÉLEVÉ</t>
  </si>
  <si>
    <t xml:space="preserve">Fixé par la liquidité, les stress tests, la concentration et la documentation. Aucune limite du prospectus n'est testable avant la première valeur liquidative.</t>
  </si>
  <si>
    <t xml:space="preserve">Lancement conditionné aux décisions 1 à 3 ; revue à la première VL.</t>
  </si>
  <si>
    <t xml:space="preserve">TROIS CHIFFRES QUI COMMANDENT LES DÉCISIONS</t>
  </si>
  <si>
    <t xml:space="preserve">PART DE L'ACTIF SANS LIQUIDITÉ AVANT ÉCHÉANCE</t>
  </si>
  <si>
    <t xml:space="preserve">POINT DE RUPTURE DES RACHATS PERSISTANTS</t>
  </si>
  <si>
    <t xml:space="preserve">CONCENTRATION SUR UN SEUL GÉRANT</t>
  </si>
  <si>
    <t xml:space="preserve">KPI1</t>
  </si>
  <si>
    <t xml:space="preserve">KPI2</t>
  </si>
  <si>
    <t xml:space="preserve">KPI3</t>
  </si>
  <si>
    <t xml:space="preserve">SIX DÉCISIONS SOUMISES AU COMITÉ   détail en onglet 5</t>
  </si>
  <si>
    <t xml:space="preserve">N°</t>
  </si>
  <si>
    <t xml:space="preserve">Décision</t>
  </si>
  <si>
    <t xml:space="preserve">Proposition de la Fonction Risques</t>
  </si>
  <si>
    <t xml:space="preserve">Échéance</t>
  </si>
  <si>
    <t xml:space="preserve">1</t>
  </si>
  <si>
    <t xml:space="preserve">2</t>
  </si>
  <si>
    <t xml:space="preserve">3</t>
  </si>
  <si>
    <t xml:space="preserve">4</t>
  </si>
  <si>
    <t xml:space="preserve">5</t>
  </si>
  <si>
    <t xml:space="preserve">6</t>
  </si>
  <si>
    <t xml:space="preserve">Les douze recommandations de la Fonction Risques et les points suivis sans décision figurent en onglet 5. Le corps du rapport (pages 01 à 07) documente chaque chiffre ; l'annexe donne les sources et leur fraîcheur.</t>
  </si>
  <si>
    <t xml:space="preserve">NOTE</t>
  </si>
  <si>
    <t xml:space="preserve">01. Synthèse et caractéristiques du Fonds</t>
  </si>
  <si>
    <t xml:space="preserve">Conclusion  ·  chiffres clés  ·  points d'attention</t>
  </si>
  <si>
    <t xml:space="preserve">CONCLUSION DE LA GESTION DES RISQUES</t>
  </si>
  <si>
    <t xml:space="preserve">ACTIF NET CIBLE</t>
  </si>
  <si>
    <t xml:space="preserve">PLAFOND PAR DATE DE CENTRALISATION</t>
  </si>
  <si>
    <t xml:space="preserve">POCHE LIQUIDE / PLAFOND PAR DATE</t>
  </si>
  <si>
    <t xml:space="preserve">SCORE IRP DU FONDS</t>
  </si>
  <si>
    <t xml:space="preserve">SCORE IRP EN TRANSPARENCE</t>
  </si>
  <si>
    <t xml:space="preserve">prévision commerciale ; aucune souscription reçue</t>
  </si>
  <si>
    <t xml:space="preserve">Élevé - liquidité et crédit saturés, contrepartie et levier faibles</t>
  </si>
  <si>
    <t xml:space="preserve">CHIFFRES CLÉS   à l'allocation cible, en % de l'actif net sauf mention</t>
  </si>
  <si>
    <t xml:space="preserve">Indicateur</t>
  </si>
  <si>
    <t xml:space="preserve">Valeur</t>
  </si>
  <si>
    <t xml:space="preserve">Seuil / limite</t>
  </si>
  <si>
    <t xml:space="preserve">Statut</t>
  </si>
  <si>
    <t xml:space="preserve">Référence</t>
  </si>
  <si>
    <t xml:space="preserve">Commentaire</t>
  </si>
  <si>
    <t xml:space="preserve">Fonds fermés (MAPIF II, MSIG 3)</t>
  </si>
  <si>
    <t xml:space="preserve">À arrêter</t>
  </si>
  <si>
    <t xml:space="preserve">Seuil à arrêter</t>
  </si>
  <si>
    <t xml:space="preserve">KRI-09</t>
  </si>
  <si>
    <t xml:space="preserve">Aucune limite de division des risques au prospectus (art. 21.7)</t>
  </si>
  <si>
    <t xml:space="preserve">Fonds evergreen (PG NGI, Ares AGI)</t>
  </si>
  <si>
    <t xml:space="preserve">-</t>
  </si>
  <si>
    <t xml:space="preserve">Information</t>
  </si>
  <si>
    <t xml:space="preserve">Rachat trimestriel plafonné à 5 % chez chaque fonds cible</t>
  </si>
  <si>
    <t xml:space="preserve">Gérant Macquarie</t>
  </si>
  <si>
    <t xml:space="preserve">KRI-08</t>
  </si>
  <si>
    <t xml:space="preserve">Proposition : 40 %, alerte 35 %</t>
  </si>
  <si>
    <t xml:space="preserve">Actifs liquides</t>
  </si>
  <si>
    <t xml:space="preserve">Respectée</t>
  </si>
  <si>
    <t xml:space="preserve">RL-02</t>
  </si>
  <si>
    <t xml:space="preserve">Plancher permanent ; cible de gestion 16 %</t>
  </si>
  <si>
    <t xml:space="preserve">Dollar non couvert, hypothèse basse / haute</t>
  </si>
  <si>
    <t xml:space="preserve">KRI-10</t>
  </si>
  <si>
    <t xml:space="preserve">Aucune couverture possible : dérivés interdits (IR-07)</t>
  </si>
  <si>
    <t xml:space="preserve">Sur-engagement maximal</t>
  </si>
  <si>
    <t xml:space="preserve">Paramétré</t>
  </si>
  <si>
    <t xml:space="preserve">RL-01</t>
  </si>
  <si>
    <t xml:space="preserve">Sans ligne de crédit ; appels financés par la poche et les distributions</t>
  </si>
  <si>
    <t xml:space="preserve">Levier (engagement et brut)</t>
  </si>
  <si>
    <t xml:space="preserve">À réintroduire</t>
  </si>
  <si>
    <t xml:space="preserve">KRI-05</t>
  </si>
  <si>
    <t xml:space="preserve">Supprimé du projet du 30/09 ; art. 23 § 1 a) de la directive</t>
  </si>
  <si>
    <t xml:space="preserve">Délai moyen de liquidation de l'actif</t>
  </si>
  <si>
    <t xml:space="preserve">TTL</t>
  </si>
  <si>
    <t xml:space="preserve">Délai moyen de sortie d'un porteur</t>
  </si>
  <si>
    <t xml:space="preserve">Limites du prospectus franchies</t>
  </si>
  <si>
    <t xml:space="preserve">Onglet 1</t>
  </si>
  <si>
    <t xml:space="preserve">Aucune position : rien à tester avant la première VL</t>
  </si>
  <si>
    <t xml:space="preserve">Seuils internes à arrêter ou à valider</t>
  </si>
  <si>
    <t xml:space="preserve">Décision 4</t>
  </si>
  <si>
    <t xml:space="preserve">POINTS D'ATTENTION   décisions attendues</t>
  </si>
  <si>
    <t xml:space="preserve">Priorité</t>
  </si>
  <si>
    <t xml:space="preserve">Sujet</t>
  </si>
  <si>
    <t xml:space="preserve">Constat</t>
  </si>
  <si>
    <t xml:space="preserve">Décision attendue</t>
  </si>
  <si>
    <t xml:space="preserve">Haute</t>
  </si>
  <si>
    <t xml:space="preserve">Texte de liquidité</t>
  </si>
  <si>
    <t xml:space="preserve">Préavis de 91 jours au prospectus du 30/09 contre 180 jours dans la note de liquidité et le classeur de stress tests ; Demandes Prioritaires maintenues ; issue après 4 dates non écrite</t>
  </si>
  <si>
    <t xml:space="preserve">Décision 1 : figer le texte et recaler la note (R1)</t>
  </si>
  <si>
    <t xml:space="preserve">Construction du portefeuille</t>
  </si>
  <si>
    <t xml:space="preserve">Tickets minimaux de 10 M$ chez MAPIF II et MSIG 3 pour des lignes cibles de 17 et 8,5 M€ ; véhicule et manche de MSIG 3 non arrêtés</t>
  </si>
  <si>
    <t xml:space="preserve">Décision 3 : dérogations écrites avant tout engagement (R4, R5)</t>
  </si>
  <si>
    <t xml:space="preserve">Concentration et change</t>
  </si>
  <si>
    <t xml:space="preserve">51 % chez un gérant, 34 % sur une ligne, dollar non couvert jusqu'à 68 % ; aucun seuil au prospectus</t>
  </si>
  <si>
    <t xml:space="preserve">Décision 4 : limites internes KRI-08 à KRI-11 (R6)</t>
  </si>
  <si>
    <t xml:space="preserve">Moyenne</t>
  </si>
  <si>
    <t xml:space="preserve">Levier AIFM</t>
  </si>
  <si>
    <t xml:space="preserve">Niveau maximal de levier absent du projet du 30/09</t>
  </si>
  <si>
    <t xml:space="preserve">Décision 2 : 100 % engagement et brut (R3)</t>
  </si>
  <si>
    <t xml:space="preserve">Gouvernance</t>
  </si>
  <si>
    <t xml:space="preserve">Conseiller à la fois conseil, distributeur principal et titulaire du pouvoir de révocation de la Société de Gestion</t>
  </si>
  <si>
    <t xml:space="preserve">Décision 6 : cartographie du conflit et procédure de revue des VL (R9, R10)</t>
  </si>
  <si>
    <t xml:space="preserve">Statuts : Respectée, Surveillance, Paramétré, Non testable, Seuil à arrêter, À valider. Convention définie en onglet 1.</t>
  </si>
  <si>
    <t xml:space="preserve">02. Portefeuille cible et liquidité contractuelle</t>
  </si>
  <si>
    <t xml:space="preserve">Allocation  ·  conditions du Fonds  ·  calendrier de la première fenêtre</t>
  </si>
  <si>
    <t xml:space="preserve">ALLOCATION CIBLE   synthèse Openstone de septembre 2026, non contractuelle
Quatre fonds cibles : deux fermés (secondaires, dette) et deux evergreen (equity, equity et dette). Instruments visés : 50 % equity secondaire, 30 % dette, 20 % equity primaire.</t>
  </si>
  <si>
    <t xml:space="preserve">Ligne</t>
  </si>
  <si>
    <t xml:space="preserve">Poids</t>
  </si>
  <si>
    <t xml:space="preserve">Montant cible</t>
  </si>
  <si>
    <t xml:space="preserve">Forme</t>
  </si>
  <si>
    <t xml:space="preserve">Devise</t>
  </si>
  <si>
    <t xml:space="preserve">Liquidité pour le Fonds</t>
  </si>
  <si>
    <t xml:space="preserve">Macquarie Alliance Partners Infrastructure Fund II</t>
  </si>
  <si>
    <t xml:space="preserve">Fermé, secondaires</t>
  </si>
  <si>
    <t xml:space="preserve">USD</t>
  </si>
  <si>
    <t xml:space="preserve">Aucune avant échéance (10 à 14 ans) ; cession agréée par le GP</t>
  </si>
  <si>
    <t xml:space="preserve">Macquarie Specialized Infrastructure Global 3</t>
  </si>
  <si>
    <t xml:space="preserve">Fermé hybride, dette</t>
  </si>
  <si>
    <t xml:space="preserve">USD ou EUR</t>
  </si>
  <si>
    <t xml:space="preserve">Retrait annuel après 3 ans, payé par écoulement sans date</t>
  </si>
  <si>
    <t xml:space="preserve">Partners Group Next Generation Infrastructure</t>
  </si>
  <si>
    <t xml:space="preserve">Evergreen, equity</t>
  </si>
  <si>
    <t xml:space="preserve">USD (classe H possible)</t>
  </si>
  <si>
    <t xml:space="preserve">Mensuel, préavis 45 j.o., gate 5 % par trimestre distributions comprises</t>
  </si>
  <si>
    <t xml:space="preserve">Ares Global Infrastructure ELTIF</t>
  </si>
  <si>
    <t xml:space="preserve">Evergreen ELTIF, equity et dette</t>
  </si>
  <si>
    <t xml:space="preserve">EUR</t>
  </si>
  <si>
    <t xml:space="preserve">Trimestriel, gate 5 % net, déduction 5 % avant 24 mois</t>
  </si>
  <si>
    <t xml:space="preserve">Monétaire, dépôts, OPC obligataires</t>
  </si>
  <si>
    <t xml:space="preserve">Quotidienne ; plancher de 15 % de l'actif (art. 21.8)</t>
  </si>
  <si>
    <t xml:space="preserve">Total</t>
  </si>
  <si>
    <t xml:space="preserve">Aucun emprunt, aucun dérivé, aucun passif financier</t>
  </si>
  <si>
    <t xml:space="preserve">RACHAT ET LIQUIDITÉ DU FONDS   prospectus du 30 septembre 2026</t>
  </si>
  <si>
    <t xml:space="preserve">Paramètre</t>
  </si>
  <si>
    <t xml:space="preserve">Source</t>
  </si>
  <si>
    <t xml:space="preserve">Valeur liquidative</t>
  </si>
  <si>
    <t xml:space="preserve">Mensuelle, dernier Jour Ouvré</t>
  </si>
  <si>
    <t xml:space="preserve">Art. 6.1</t>
  </si>
  <si>
    <t xml:space="preserve">Souscriptions</t>
  </si>
  <si>
    <t xml:space="preserve">Mensuelles, à cours inconnu</t>
  </si>
  <si>
    <t xml:space="preserve">Art. 7.1</t>
  </si>
  <si>
    <t xml:space="preserve">Rachats</t>
  </si>
  <si>
    <t xml:space="preserve">Semestriels, VL du 30 juin et du 31 décembre</t>
  </si>
  <si>
    <t xml:space="preserve">Art. 7.2.1</t>
  </si>
  <si>
    <t xml:space="preserve">Centralisation le 31 mars et le 30 septembre à 12 h ; demandes définitives</t>
  </si>
  <si>
    <t xml:space="preserve">Période de Blocage</t>
  </si>
  <si>
    <t xml:space="preserve">Art. 7.2.2</t>
  </si>
  <si>
    <t xml:space="preserve">Imputation FIFO des rachats sur les parts les plus anciennes</t>
  </si>
  <si>
    <t xml:space="preserve">Préavis</t>
  </si>
  <si>
    <t xml:space="preserve">Art. 7.2.3 et 7.2.7</t>
  </si>
  <si>
    <t xml:space="preserve">La Société de Gestion connaît les demandes brutes trois mois avant la VL</t>
  </si>
  <si>
    <t xml:space="preserve">Plafonnement des Rachats</t>
  </si>
  <si>
    <t xml:space="preserve">Art. 7.2.6</t>
  </si>
  <si>
    <t xml:space="preserve">Suspension</t>
  </si>
  <si>
    <t xml:space="preserve">Circonstances exceptionnelles, L. 214-24-41 CMF</t>
  </si>
  <si>
    <t xml:space="preserve">Art. 7.2.8</t>
  </si>
  <si>
    <t xml:space="preserve">Souscriptions suspendues simultanément ; sans plafonnement préalable obligatoire</t>
  </si>
  <si>
    <t xml:space="preserve">Délai de règlement</t>
  </si>
  <si>
    <t xml:space="preserve">Art. 7.2.5</t>
  </si>
  <si>
    <t xml:space="preserve">5 Jours Ouvrés après publication ; en numéraire</t>
  </si>
  <si>
    <t xml:space="preserve">Frais de sortie</t>
  </si>
  <si>
    <t xml:space="preserve">Néant</t>
  </si>
  <si>
    <t xml:space="preserve">Art. 27.2.4</t>
  </si>
  <si>
    <t xml:space="preserve">Les déductions de sortie existent chez Ares (5 % avant 24 mois) et PG NGI (discrétionnaire)</t>
  </si>
  <si>
    <t xml:space="preserve">Dissolution</t>
  </si>
  <si>
    <t xml:space="preserve">Actif net sous 300 000 € pendant 30 jours ; sous 1 M€ ou rachats non exécutés au-delà de 50 % des parts, sur décision</t>
  </si>
  <si>
    <t xml:space="preserve">Règlement art. 2 et 15</t>
  </si>
  <si>
    <t xml:space="preserve">Accord du Conseiller requis pour la dissolution anticipée</t>
  </si>
  <si>
    <t xml:space="preserve">CALENDRIER DE LA PREMIÈRE FENÊTRE DE RACHAT   hypothèse : constitution au 31/12/2026</t>
  </si>
  <si>
    <t xml:space="preserve">Étape</t>
  </si>
  <si>
    <t xml:space="preserve">Date</t>
  </si>
  <si>
    <t xml:space="preserve">Écart</t>
  </si>
  <si>
    <t xml:space="preserve">Constitution du Fonds (hypothèse)</t>
  </si>
  <si>
    <t xml:space="preserve">31/12/2026</t>
  </si>
  <si>
    <t xml:space="preserve">Attestation de dépôt des fonds par le Dépositaire</t>
  </si>
  <si>
    <t xml:space="preserve">Fin de la Période de Blocage des premières parts</t>
  </si>
  <si>
    <t xml:space="preserve">31/12/2028</t>
  </si>
  <si>
    <t xml:space="preserve">24 mois</t>
  </si>
  <si>
    <t xml:space="preserve">Chaque souscription ultérieure porte son propre blocage</t>
  </si>
  <si>
    <t xml:space="preserve">Première Date de Centralisation des Rachats</t>
  </si>
  <si>
    <t xml:space="preserve">31/03/2029</t>
  </si>
  <si>
    <t xml:space="preserve">Première VL de rachat : 30/06/2029 ; règlement au plus tard mi-août 2029</t>
  </si>
  <si>
    <t xml:space="preserve">Demandes aux fonds evergreen</t>
  </si>
  <si>
    <t xml:space="preserve">Mi-avril 2029</t>
  </si>
  <si>
    <t xml:space="preserve">45 j.o. avant la VL</t>
  </si>
  <si>
    <t xml:space="preserve">PG NGI : préavis 45 Jours Ouvrés ; Ares : cut-off 1er Jour Ouvré de juin</t>
  </si>
  <si>
    <t xml:space="preserve">Fin de la déduction Ares pour des parts souscrites début 2027</t>
  </si>
  <si>
    <t xml:space="preserve">Début 2029</t>
  </si>
  <si>
    <t xml:space="preserve">Un rachat Ares avant 24 mois coûte 5 % de la ligne - recommandation R8</t>
  </si>
  <si>
    <t xml:space="preserve">Le classeur de stress tests part du 30/09/2028 avec toutes les parts rachetables : hypothèse prudente par rapport à ce calendrier.</t>
  </si>
  <si>
    <t xml:space="preserve">03. Profil de liquidité et couverture des rachats</t>
  </si>
  <si>
    <t xml:space="preserve">Actif  ·  passif  ·  adéquation  ·  ratios de couverture  ·  outils de gestion de la liquidité</t>
  </si>
  <si>
    <t xml:space="preserve">PROFIL DE LIQUIDITÉ DE L'ACTIF   format Annexe IV, à l'allocation cible
TTL (time to liquidate) : délai complet pour disposer du cash. Une position sans fenêtre garantie est classée au-delà de 365 jours.</t>
  </si>
  <si>
    <t xml:space="preserve">Tranche de liquidation</t>
  </si>
  <si>
    <t xml:space="preserve">% actif</t>
  </si>
  <si>
    <t xml:space="preserve">Contenu</t>
  </si>
  <si>
    <t xml:space="preserve">0 à 1 jour</t>
  </si>
  <si>
    <t xml:space="preserve">2 à 7 jours</t>
  </si>
  <si>
    <t xml:space="preserve">8 à 30 jours</t>
  </si>
  <si>
    <t xml:space="preserve">31 à 90 jours</t>
  </si>
  <si>
    <t xml:space="preserve">91 à 180 jours</t>
  </si>
  <si>
    <t xml:space="preserve">181 à 365 jours</t>
  </si>
  <si>
    <t xml:space="preserve">Plus de 365 jours</t>
  </si>
  <si>
    <t xml:space="preserve">ADÉQUATION ACTIF-PASSIF   en jours</t>
  </si>
  <si>
    <t xml:space="preserve">Mesure</t>
  </si>
  <si>
    <t xml:space="preserve">TTL actif</t>
  </si>
  <si>
    <t xml:space="preserve">TTL passif</t>
  </si>
  <si>
    <t xml:space="preserve">Lecture</t>
  </si>
  <si>
    <t xml:space="preserve">Délais moyens, préavis normal</t>
  </si>
  <si>
    <t xml:space="preserve">L'actif se liquide près de trois ans après la sortie moyenne d'un porteur : le plafonnement absorbe l'écart</t>
  </si>
  <si>
    <t xml:space="preserve">Délais moyens, préavis prolongé à 180 jours</t>
  </si>
  <si>
    <t xml:space="preserve">La prolongation gagne un trimestre ; elle n'est pas un correctif structurel</t>
  </si>
  <si>
    <t xml:space="preserve">Délais en stress (fonds evergreen en Special Dealing)</t>
  </si>
  <si>
    <t xml:space="preserve">Sortie la plus rapide d'un porteur contre actif le plus lent</t>
  </si>
  <si>
    <t xml:space="preserve">RATIOS DE COUVERTURE DES RACHATS</t>
  </si>
  <si>
    <t xml:space="preserve">Cible</t>
  </si>
  <si>
    <t xml:space="preserve">Définition</t>
  </si>
  <si>
    <t xml:space="preserve">Poche liquide / plafond par date</t>
  </si>
  <si>
    <t xml:space="preserve">Trois dates de plafond servies sur la seule poche</t>
  </si>
  <si>
    <t xml:space="preserve">Poche liquide / plafond annuel</t>
  </si>
  <si>
    <t xml:space="preserve">Une année de plafond servie sur la seule poche</t>
  </si>
  <si>
    <t xml:space="preserve">Capacité evergreen semestrielle / plafond par date</t>
  </si>
  <si>
    <t xml:space="preserve">Ressources à douze mois / plafond annuel</t>
  </si>
  <si>
    <t xml:space="preserve">Classeur de stress tests : poche, distributions et rachats evergreen</t>
  </si>
  <si>
    <t xml:space="preserve">Couverture de liquidité à douze mois au départ</t>
  </si>
  <si>
    <t xml:space="preserve">Nette des appels, frais et acomptes ; seuil vert 1,5 (KRI-04)</t>
  </si>
  <si>
    <t xml:space="preserve">OUTILS DE GESTION DE LA LIQUIDITÉ   annexe V de la directive (UE) 2024/927, note de liquidité § 3</t>
  </si>
  <si>
    <t xml:space="preserve">Outil</t>
  </si>
  <si>
    <t xml:space="preserve">Déclenchement</t>
  </si>
  <si>
    <t xml:space="preserve">Durée et levée</t>
  </si>
  <si>
    <t xml:space="preserve">Observation</t>
  </si>
  <si>
    <t xml:space="preserve">Plafonnement des Rachats (art. 7.2.6)</t>
  </si>
  <si>
    <t xml:space="preserve">Demandes nettes supérieures à 5 % de l'actif net à une date</t>
  </si>
  <si>
    <t xml:space="preserve">Quatre dates consécutives au plus ; levé dès le retour sous 5 %</t>
  </si>
  <si>
    <t xml:space="preserve">Issue au-delà de quatre dates à écrire</t>
  </si>
  <si>
    <t xml:space="preserve">Prolongation du préavis (art. 7.2.7)</t>
  </si>
  <si>
    <t xml:space="preserve">File supérieure à 10 % de l'actif net, couverture à douze mois sous 1,2, plafonnement chez un fonds cible</t>
  </si>
  <si>
    <t xml:space="preserve">180 jours au plus, douze mois au plus ; levée à couverture 1,5 et file sous 5 %</t>
  </si>
  <si>
    <t xml:space="preserve">Seul outil agissant avant l'exécution ; à décider une centralisation à l'avance</t>
  </si>
  <si>
    <t xml:space="preserve">Suspension des rachats (art. 7.2.8)</t>
  </si>
  <si>
    <t xml:space="preserve">Circonstances exceptionnelles ; durée maximale du plafonnement atteinte</t>
  </si>
  <si>
    <t xml:space="preserve">Souscriptions suspendues simultanément ; réexamen mensuel</t>
  </si>
  <si>
    <t xml:space="preserve">Notification AMF, Dépositaire, distributeurs et porteurs</t>
  </si>
  <si>
    <t xml:space="preserve">Suspension des souscriptions (art. 7.1.6)</t>
  </si>
  <si>
    <t xml:space="preserve">Circonstances exceptionnelles ou capacité d'investissement épuisée</t>
  </si>
  <si>
    <t xml:space="preserve">Sur décision de la Société de Gestion</t>
  </si>
  <si>
    <t xml:space="preserve">Évite la dilution de la poche en cas d'appels retardés</t>
  </si>
  <si>
    <t xml:space="preserve">04. Stress tests de liquidité</t>
  </si>
  <si>
    <t xml:space="preserve">Scénarios  ·  tests inversés  ·  lecture - classeur du 24 septembre 2026</t>
  </si>
  <si>
    <t xml:space="preserve">SCÉNARIOS DE LA NOTE DE LIQUIDITÉ   actif net 50 M€, départ 30/09/2028, 36 mois
Verdicts recalculés sur les seuils de la note (onglet 3) : rouge si file &gt; 25 %, poche &lt; 5 %, couverture &lt; 1,0, résorption &gt; 25 mois ou suspension ; orange si une date est plafonnée, poche &lt; 15 %, couverture &lt; 1,5 ou sur-engagement &gt; 120 %.</t>
  </si>
  <si>
    <t xml:space="preserve">Scénario</t>
  </si>
  <si>
    <t xml:space="preserve">Dates plafonnées</t>
  </si>
  <si>
    <t xml:space="preserve">File max</t>
  </si>
  <si>
    <t xml:space="preserve">Poche min</t>
  </si>
  <si>
    <t xml:space="preserve">Couverture 12 m</t>
  </si>
  <si>
    <t xml:space="preserve">Verdict et lecture</t>
  </si>
  <si>
    <t xml:space="preserve">Bilan</t>
  </si>
  <si>
    <t xml:space="preserve">Les scénarios rouges partagent une cause : des rachats supérieurs à 15 % sur deux dates consécutives</t>
  </si>
  <si>
    <t xml:space="preserve">TESTS INVERSÉS</t>
  </si>
  <si>
    <t xml:space="preserve">Question</t>
  </si>
  <si>
    <t xml:space="preserve">Réponse</t>
  </si>
  <si>
    <t xml:space="preserve">Niveau de rachats persistants par date qui conduit à la suspension</t>
  </si>
  <si>
    <t xml:space="preserve">Appels de fonds sur douze mois qui font passer la poche sous le plancher</t>
  </si>
  <si>
    <t xml:space="preserve">Non-appelé de départ de 25 % de l'actif net ; à 17,5 % la poche est épuisée et les cessions commencent</t>
  </si>
  <si>
    <t xml:space="preserve">Taille maximale d'un porteur unique sortant sans suspension ni cession</t>
  </si>
  <si>
    <t xml:space="preserve">Les autres porteurs demandent 2 % par date ; au-delà de 15 %, file non résorbée et suspension</t>
  </si>
  <si>
    <t xml:space="preserve">Rachats égaux au plafond (5 % par date) sur toute la période</t>
  </si>
  <si>
    <t xml:space="preserve">Poche 3,4 %</t>
  </si>
  <si>
    <t xml:space="preserve">Servis sans plafonnement, ils vident la poche sous 5 % en deux ans : le plafond ne protège pas quand la demande lui est exactement égale</t>
  </si>
  <si>
    <t xml:space="preserve">LECTURE DE LA GESTION DES RISQUES</t>
  </si>
  <si>
    <t xml:space="preserve">Le dispositif tient à trois conditions : une collecte qui ne s'arrête pas (le scénario de base suppose 5 % par trimestre), des distributions des fonds cibles qui arrivent (le scénario de distributions divisées par deux suffit à passer sous le plancher) et un non-appelé contenu (le point de rupture est à 25 % de l'actif net). Aucune de ces trois conditions ne dépend de la Société de Gestion seule. Les hypothèses structurantes - collecte, non-appelé de départ, décote de cession, part des parts de distribution - sont à arrêter en Comité des risques (R12), et le classeur est à recaler sur le préavis de 91 jours du prospectus du 30/09 (R1) : le préavis plus court ne change pas les résultats, il réduit de trois mois le temps de préparation de chaque date.</t>
  </si>
  <si>
    <t xml:space="preserve">Limites de la méthode : chocs de valorisation calibrés sur des indices Preqin corrigés du lissage (Geltner), sans historique propre ; comportement de rachat postulé, non modélisé ; capacité des fonds evergreen supposée pleine hors scénario au prorata ; cessions secondaires de parts de fonds fermés supposées possibles à 10 % de décote, ce qui est optimiste pour MAPIF II (accord du GP) et sans objet pour MSIG 3 (run-off). Niveau de confiance : moyen.</t>
  </si>
  <si>
    <t xml:space="preserve">05. Les quatre fonds cibles</t>
  </si>
  <si>
    <t xml:space="preserve">Conditions  ·  profil de risque initial  ·  points ouverts</t>
  </si>
  <si>
    <t xml:space="preserve">CONDITIONS STRUCTURANTES   lecture des prospectus et PPM ; forme, stratégie et prestataires en onglet 4</t>
  </si>
  <si>
    <t xml:space="preserve">Terme</t>
  </si>
  <si>
    <t xml:space="preserve">MAPIF II</t>
  </si>
  <si>
    <t xml:space="preserve">MSIG 3 (USD)</t>
  </si>
  <si>
    <t xml:space="preserve">PG NGI</t>
  </si>
  <si>
    <t xml:space="preserve">Ares AGI ELTIF</t>
  </si>
  <si>
    <t xml:space="preserve">Plafonnement</t>
  </si>
  <si>
    <t xml:space="preserve">Pénalité de sortie</t>
  </si>
  <si>
    <t xml:space="preserve">Frais de gestion</t>
  </si>
  <si>
    <t xml:space="preserve">Performance</t>
  </si>
  <si>
    <t xml:space="preserve">Levier</t>
  </si>
  <si>
    <t xml:space="preserve">Ticket minimum</t>
  </si>
  <si>
    <t xml:space="preserve">SFDR</t>
  </si>
  <si>
    <t xml:space="preserve">PROFIL DE RISQUE INITIAL   scores IRP 0 à 100, poids de l'allocation cible</t>
  </si>
  <si>
    <t xml:space="preserve">Fonds</t>
  </si>
  <si>
    <t xml:space="preserve">Score IRP</t>
  </si>
  <si>
    <t xml:space="preserve">Notation</t>
  </si>
  <si>
    <t xml:space="preserve">Allocation</t>
  </si>
  <si>
    <t xml:space="preserve">Contribution</t>
  </si>
  <si>
    <t xml:space="preserve">Typologies saturées</t>
  </si>
  <si>
    <t xml:space="preserve">Openstone Infraworld (caractéristiques propres)</t>
  </si>
  <si>
    <t xml:space="preserve">Liquidité, crédit</t>
  </si>
  <si>
    <t xml:space="preserve">Levier ; liquidité faible (fonds fermé)</t>
  </si>
  <si>
    <t xml:space="preserve">MSIG 3 (USD, levered)</t>
  </si>
  <si>
    <t xml:space="preserve">Crédit, levier</t>
  </si>
  <si>
    <t xml:space="preserve">PG Next Generation Infrastructure</t>
  </si>
  <si>
    <t xml:space="preserve">Liquidité, crédit, opérationnel, levier</t>
  </si>
  <si>
    <t xml:space="preserve">Liquidité, crédit, levier</t>
  </si>
  <si>
    <t xml:space="preserve">Score en transparence</t>
  </si>
  <si>
    <t xml:space="preserve">POINTS OUVERTS PAR FONDS CIBLE   à lever avant engagement</t>
  </si>
  <si>
    <t xml:space="preserve">Points ouverts</t>
  </si>
  <si>
    <t xml:space="preserve">Criticité</t>
  </si>
  <si>
    <t xml:space="preserve">Dérogation de ticket (10 M$) ; plafonds AIFM (annexe A du LPA) ; ligne de souscription sans durée maximale ; fréquence contractuelle de VL ; notification AMF du passeport</t>
  </si>
  <si>
    <t xml:space="preserve">Élevée</t>
  </si>
  <si>
    <t xml:space="preserve">MSIG 3</t>
  </si>
  <si>
    <t xml:space="preserve">Véhicule USD ou EUR et manche levered ou unlevered ; dérogation de ticket ; admission comme Automatic Withdrawing Investor ; first closing inconnu ; aucun dépositaire AIFMD identifié ; non-appelé survivant au retrait</t>
  </si>
  <si>
    <t xml:space="preserve">Classe souscrite (I ou H couverte) ; Redemption Fee discrétionnaire sans butoir ; distributions imputées sur le gate ; Special Dealing à 180 jours ; levier 200 % engagement</t>
  </si>
  <si>
    <t xml:space="preserve">Classe souscrite ; composition de l'entrepôt d'actifs ; limite ELTIF de rachat (27,3 %) ; levier non plafonné avant 2029 ; calendrier de la déduction de 24 mois</t>
  </si>
  <si>
    <t xml:space="preserve">06. Valorisation, contrepartie, opérationnel et gouvernance</t>
  </si>
  <si>
    <t xml:space="preserve">Risques non quantifiés  ·  dispositif  ·  lacunes  ·  actions</t>
  </si>
  <si>
    <t xml:space="preserve">VALORISATION   art. 19 de la directive, art. 67 à 74 du règlement délégué</t>
  </si>
  <si>
    <t xml:space="preserve">Réf.</t>
  </si>
  <si>
    <t xml:space="preserve">Risque</t>
  </si>
  <si>
    <t xml:space="preserve">Exposition à l'allocation cible</t>
  </si>
  <si>
    <t xml:space="preserve">Dispositif et lacune</t>
  </si>
  <si>
    <t xml:space="preserve">Action</t>
  </si>
  <si>
    <t xml:space="preserve">V-1</t>
  </si>
  <si>
    <t xml:space="preserve">Dépendance aux VL des gérants cibles</t>
  </si>
  <si>
    <t xml:space="preserve">IPEV déclaré par les gérants ; aucune procédure de revue de la VL reçue, ni seuil de péremption</t>
  </si>
  <si>
    <t xml:space="preserve">R9 : procédure de revue et seuil KRI-11</t>
  </si>
  <si>
    <t xml:space="preserve">V-2</t>
  </si>
  <si>
    <t xml:space="preserve">VL mensuelle du Fonds construite sur des VL trimestrielles</t>
  </si>
  <si>
    <t xml:space="preserve">Mois sans VL fraîche pour MAPIF II et MSIG 3 ; souscriptions mensuelles à cours inconnu</t>
  </si>
  <si>
    <t xml:space="preserve">Ajustement des VL des mouvements financiers (art. 13) ; aucun ajustement de marché prévu</t>
  </si>
  <si>
    <t xml:space="preserve">Documenter le stale pricing dans la politique de valorisation</t>
  </si>
  <si>
    <t xml:space="preserve">V-3</t>
  </si>
  <si>
    <t xml:space="preserve">Souscription au nominal tant que la VL est inférieure à 100 €</t>
  </si>
  <si>
    <t xml:space="preserve">Nouveaux porteurs servis au-dessus de la VL en cas de baisse initiale</t>
  </si>
  <si>
    <t xml:space="preserve">Aucun garde-fou ; question de traitement équitable (art. 11)</t>
  </si>
  <si>
    <t xml:space="preserve">R2 : limiter le nominal à la période de lancement</t>
  </si>
  <si>
    <t xml:space="preserve">CONTREPARTIE ET PRESTATAIRES   art. 38 et 43 du règlement délégué</t>
  </si>
  <si>
    <t xml:space="preserve">Exposition</t>
  </si>
  <si>
    <t xml:space="preserve">C-1</t>
  </si>
  <si>
    <t xml:space="preserve">Concentration sur un sponsor</t>
  </si>
  <si>
    <t xml:space="preserve">Diversification d'actifs, non de contrepartie ; aucune limite</t>
  </si>
  <si>
    <t xml:space="preserve">Décision 4 : KRI-08 à 40 %</t>
  </si>
  <si>
    <t xml:space="preserve">C-2</t>
  </si>
  <si>
    <t xml:space="preserve">Dépositaire et banques de dépôt</t>
  </si>
  <si>
    <t xml:space="preserve">Contreparties OCDE BBB+ (art. 15) ; revue sous A-</t>
  </si>
  <si>
    <t xml:space="preserve">Revue annuelle du Dépositaire au dossier</t>
  </si>
  <si>
    <t xml:space="preserve">C-3</t>
  </si>
  <si>
    <t xml:space="preserve">Fonds cibles sans dépositaire AIFMD</t>
  </si>
  <si>
    <t xml:space="preserve">MSIG 3 : SCSp non qualifiées de FIA à la date du PPM, aucun dépositaire désigné</t>
  </si>
  <si>
    <t xml:space="preserve">Éligibilité et look-through Annexe IV à vérifier</t>
  </si>
  <si>
    <t xml:space="preserve">R5 : vérifier avant engagement</t>
  </si>
  <si>
    <t xml:space="preserve">OPÉRATIONNEL ET GOUVERNANCE   art. 38 et 40 du règlement délégué</t>
  </si>
  <si>
    <t xml:space="preserve">O-1</t>
  </si>
  <si>
    <t xml:space="preserve">Appels de fonds à 10 Jours Ouvrés contre collecte mensuelle</t>
  </si>
  <si>
    <t xml:space="preserve">Deux fonds fermés appelant à vue ; défaut d'appel sanctionnable jusqu'à la perte de la participation</t>
  </si>
  <si>
    <t xml:space="preserve">Poche et séquencement ; aucune ligne de crédit</t>
  </si>
  <si>
    <t xml:space="preserve">Décision 5 : règle de séquencement</t>
  </si>
  <si>
    <t xml:space="preserve">O-2</t>
  </si>
  <si>
    <t xml:space="preserve">Conflit d'intérêts du Conseiller</t>
  </si>
  <si>
    <t xml:space="preserve">Conseil, distribution principale, accord préalable sur le prospectus et faculté de révoquer la Société de Gestion</t>
  </si>
  <si>
    <t xml:space="preserve">Politique de conflits d'intérêts ; décision d'investissement réservée à la Société de Gestion</t>
  </si>
  <si>
    <t xml:space="preserve">R10 : cartographie et comité</t>
  </si>
  <si>
    <t xml:space="preserve">O-3</t>
  </si>
  <si>
    <t xml:space="preserve">Chaîne de données et Annexe IV</t>
  </si>
  <si>
    <t xml:space="preserve">MSIG 3 : exercice au 31/03 et reporting à 30 j.o. ; MAPIF II : états trimestriels non audités</t>
  </si>
  <si>
    <t xml:space="preserve">Aucun calendrier de collecte formalisé</t>
  </si>
  <si>
    <t xml:space="preserve">R9 : calendrier Annexe IV</t>
  </si>
  <si>
    <t xml:space="preserve">O-4</t>
  </si>
  <si>
    <t xml:space="preserve">Cohérence documentaire</t>
  </si>
  <si>
    <t xml:space="preserve">Douze écarts au registre du prospectus ; vingt écarts entre classeur, modèle et documents des fonds cibles</t>
  </si>
  <si>
    <t xml:space="preserve">Registre tenu par la Fonction Risques</t>
  </si>
  <si>
    <t xml:space="preserve">Décisions 1 et 2</t>
  </si>
  <si>
    <t xml:space="preserve">Aucun de ces points n'est chiffré et aucun ne doit l'être en l'état : il n'existe ni série, ni historique de perte, ni référence sectorielle qui permette une mesure défendable. Ils sont traités par le dispositif et les décisions, puis suivis au registre des incidents dès le lancement.</t>
  </si>
  <si>
    <t xml:space="preserve">07. Limites, décisions et conclusion</t>
  </si>
  <si>
    <t xml:space="preserve">Suivi des limites  ·  décisions  ·  conclusion  ·  contrôles avant diffusion</t>
  </si>
  <si>
    <t xml:space="preserve">SUIVI DES LIMITES   référentiel en onglet 1</t>
  </si>
  <si>
    <t xml:space="preserve">Catégorie</t>
  </si>
  <si>
    <t xml:space="preserve">Nombre</t>
  </si>
  <si>
    <t xml:space="preserve">Ce que cela impose</t>
  </si>
  <si>
    <t xml:space="preserve">Limites et seuils recensés</t>
  </si>
  <si>
    <t xml:space="preserve">Prospectus (14), seuils internes (11)</t>
  </si>
  <si>
    <t xml:space="preserve">Franchissements de limite du prospectus</t>
  </si>
  <si>
    <t xml:space="preserve">Fiche incident, escalade aux dirigeants effectifs, information de l'AMF</t>
  </si>
  <si>
    <t xml:space="preserve">Limites non testables avant lancement</t>
  </si>
  <si>
    <t xml:space="preserve">Premier test à la première valeur liquidative</t>
  </si>
  <si>
    <t xml:space="preserve">Seuils internes à valider</t>
  </si>
  <si>
    <t xml:space="preserve">Validation des seuils de la note de liquidité § 5</t>
  </si>
  <si>
    <t xml:space="preserve">Seuils internes à arrêter</t>
  </si>
  <si>
    <t xml:space="preserve">Gérant, fonds cible, dollar non couvert, péremption des VL</t>
  </si>
  <si>
    <t xml:space="preserve">DÉCISIONS SOUMISES AU COMITÉ DES RISQUES</t>
  </si>
  <si>
    <t xml:space="preserve">CONCLUSION</t>
  </si>
  <si>
    <t xml:space="preserve">CONTRÔLES AVANT DIFFUSION   avertissements</t>
  </si>
  <si>
    <t xml:space="preserve">Contrôle</t>
  </si>
  <si>
    <t xml:space="preserve">Constaté</t>
  </si>
  <si>
    <t xml:space="preserve">Attendu</t>
  </si>
  <si>
    <t xml:space="preserve">Allocation cible bouclée</t>
  </si>
  <si>
    <t xml:space="preserve">Somme des cinq lignes de l'onglet 0</t>
  </si>
  <si>
    <t xml:space="preserve">Tranches Annexe IV bouclées</t>
  </si>
  <si>
    <t xml:space="preserve">Onglet 2</t>
  </si>
  <si>
    <t xml:space="preserve">Sources périmées</t>
  </si>
  <si>
    <t xml:space="preserve">Note de liquidité alignée sur le prospectus</t>
  </si>
  <si>
    <t xml:space="preserve">180 jours</t>
  </si>
  <si>
    <t xml:space="preserve">Avertissement</t>
  </si>
  <si>
    <t xml:space="preserve">Écart de préavis : décision 1</t>
  </si>
  <si>
    <t xml:space="preserve">Score IRP recalculé</t>
  </si>
  <si>
    <t xml:space="preserve">Onglet 4 contre classeur IRP du 06/10/2026</t>
  </si>
  <si>
    <t xml:space="preserve">Rapport établi par la fonction permanente de gestion des risques - Fundcraft France SAS. Document interne, ne pas diffuser.</t>
  </si>
  <si>
    <t xml:space="preserve">Annexe. Caractéristiques, base réglementaire et sources</t>
  </si>
  <si>
    <t xml:space="preserve">Caractéristiques générales  ·  parts  ·  base réglementaire  ·  fraîcheur des données</t>
  </si>
  <si>
    <t xml:space="preserve">CARACTÉRISTIQUES GÉNÉRALES</t>
  </si>
  <si>
    <t xml:space="preserve">Élément</t>
  </si>
  <si>
    <t xml:space="preserve">Dénomination</t>
  </si>
  <si>
    <t xml:space="preserve">Prospectus art. 1.1 et 18</t>
  </si>
  <si>
    <t xml:space="preserve">Forme juridique</t>
  </si>
  <si>
    <t xml:space="preserve">FPS à compartiments sous forme de FCP - art. L. 214-154 CMF ; FIA non agréé</t>
  </si>
  <si>
    <t xml:space="preserve">Prospectus art. 1.2</t>
  </si>
  <si>
    <t xml:space="preserve">Société de gestion</t>
  </si>
  <si>
    <t xml:space="preserve">Fundcraft France SAS - agrément AMF GP-20260008 du 4 juin 2026</t>
  </si>
  <si>
    <t xml:space="preserve">Prospectus art. 2.1</t>
  </si>
  <si>
    <t xml:space="preserve">Conseiller</t>
  </si>
  <si>
    <t xml:space="preserve">Innovative Finance SAS (Openstone) - CIF ORIAS 23002459, distributeur principal</t>
  </si>
  <si>
    <t xml:space="preserve">Prospectus art. 2.7 et 2.9</t>
  </si>
  <si>
    <t xml:space="preserve">Dépositaire, comptable, CAC</t>
  </si>
  <si>
    <t xml:space="preserve">BFCM ; CIC ; APLITEC</t>
  </si>
  <si>
    <t xml:space="preserve">Prospectus art. 2.2 à 2.6</t>
  </si>
  <si>
    <t xml:space="preserve">Stratégie</t>
  </si>
  <si>
    <t xml:space="preserve">Fonds de fonds d'infrastructure evergreen : fonds fermés et evergreen, secondaires, dette, equity ; co-investissements ≤ 30 %</t>
  </si>
  <si>
    <t xml:space="preserve">Prospectus art. 19 à 22</t>
  </si>
  <si>
    <t xml:space="preserve">Durée</t>
  </si>
  <si>
    <t xml:space="preserve">99 ans ; durée de placement recommandée supérieure à 10 ans</t>
  </si>
  <si>
    <t xml:space="preserve">Prospectus art. 1.3 et 4.2</t>
  </si>
  <si>
    <t xml:space="preserve">Investisseurs</t>
  </si>
  <si>
    <t xml:space="preserve">Investisseurs Autorisés (RG AMF 423-27) ; minimum 100 000 € ; aucune personne physique au-delà de 10 % des parts</t>
  </si>
  <si>
    <t xml:space="preserve">Avertissement ; art. 5.1</t>
  </si>
  <si>
    <t xml:space="preserve">Article 6 ; PAI non mesurées ; aucun engagement taxonomie</t>
  </si>
  <si>
    <t xml:space="preserve">Prospectus art. 21.4 et 21.5</t>
  </si>
  <si>
    <t xml:space="preserve">Indicateur de risque</t>
  </si>
  <si>
    <t xml:space="preserve">DIC PRIIPs du 29/09/2026</t>
  </si>
  <si>
    <t xml:space="preserve">Date d'arrêté</t>
  </si>
  <si>
    <t xml:space="preserve">Rapport initial sur documentation</t>
  </si>
  <si>
    <t xml:space="preserve">CATÉGORIES DE PARTS   huit catégories en euros, minimum 100 000 €</t>
  </si>
  <si>
    <t xml:space="preserve">Part</t>
  </si>
  <si>
    <t xml:space="preserve">ISIN</t>
  </si>
  <si>
    <t xml:space="preserve">Affectation</t>
  </si>
  <si>
    <t xml:space="preserve">Souscription</t>
  </si>
  <si>
    <t xml:space="preserve">Conseil + distribution</t>
  </si>
  <si>
    <t xml:space="preserve">A1c</t>
  </si>
  <si>
    <t xml:space="preserve">FR001401BDP7</t>
  </si>
  <si>
    <t xml:space="preserve">Capitalisation</t>
  </si>
  <si>
    <t xml:space="preserve">Après la Date de Déclenchement</t>
  </si>
  <si>
    <t xml:space="preserve">1,07 % + 0,75 %</t>
  </si>
  <si>
    <t xml:space="preserve">Barème A, avec rétrocession</t>
  </si>
  <si>
    <t xml:space="preserve">A1d</t>
  </si>
  <si>
    <t xml:space="preserve">FR001401BDQ5</t>
  </si>
  <si>
    <t xml:space="preserve">Distribution</t>
  </si>
  <si>
    <t xml:space="preserve">Acomptes trimestriels examinés</t>
  </si>
  <si>
    <t xml:space="preserve">A3c</t>
  </si>
  <si>
    <t xml:space="preserve">FR001401BDR3</t>
  </si>
  <si>
    <t xml:space="preserve">1,07 %</t>
  </si>
  <si>
    <t xml:space="preserve">Clean share ; ISIN à corriger au prospectus (« FFR »)</t>
  </si>
  <si>
    <t xml:space="preserve">A3d</t>
  </si>
  <si>
    <t xml:space="preserve">FR001401BDS1</t>
  </si>
  <si>
    <t xml:space="preserve">Clean share</t>
  </si>
  <si>
    <t xml:space="preserve">B1c</t>
  </si>
  <si>
    <t xml:space="preserve">FR001401BDT9</t>
  </si>
  <si>
    <t xml:space="preserve">Avant la Date de Déclenchement</t>
  </si>
  <si>
    <t xml:space="preserve">0,57 % + 0,75 %</t>
  </si>
  <si>
    <t xml:space="preserve">Conseil réduit jusqu'à 10 M€ ou 2 ans</t>
  </si>
  <si>
    <t xml:space="preserve">B1d</t>
  </si>
  <si>
    <t xml:space="preserve">FR001401BDU7</t>
  </si>
  <si>
    <t xml:space="preserve">B3c</t>
  </si>
  <si>
    <t xml:space="preserve">FR001401BDV5</t>
  </si>
  <si>
    <t xml:space="preserve">0,57 %</t>
  </si>
  <si>
    <t xml:space="preserve">B3d</t>
  </si>
  <si>
    <t xml:space="preserve">FR001401BDW3</t>
  </si>
  <si>
    <t xml:space="preserve">BASE RÉGLEMENTAIRE</t>
  </si>
  <si>
    <t xml:space="preserve">Rapport établi au titre de l'article 15 de la directive 2011/61/UE et des articles 38 à 49 du règlement délégué (UE) 231/2013 (gestion des risques et de la liquidité). Outils de gestion de la liquidité : article 16 § 2 ter et annexe V de la directive, tels qu'introduits par la directive (UE) 2024/927 ; instruction AMF DOC-2017-05 pour le plafonnement. Simulations de crise de liquidité : orientations ESMA 34-39-897 (2020). Déclaration Annexe IV : article 24 de la directive et article 110 du règlement délégué. Indicateur de risque : règlement (UE) 1286/2014 et règlement délégué (UE) 2017/653 (PRIIPs). Régime du FPS : articles L. 214-154 et suivants du CMF, 423-27 et suivants du RG AMF. Les seuils internes relèvent de la pratique de marché et non d'une obligation réglementaire.</t>
  </si>
  <si>
    <t xml:space="preserve">SOURCES ET FRAÎCHEUR DES DONNÉES   détail en onglet DATA</t>
  </si>
  <si>
    <t xml:space="preserve">Ancienneté</t>
  </si>
  <si>
    <t xml:space="preserve">Usage</t>
  </si>
  <si>
    <t xml:space="preserve">Toutes les valeurs de ce rapport découlent du bloc de paramètres de l'onglet 0 et des calculs qui en dérivent. Aucune valeur n'est ressaisie dans le document.</t>
  </si>
  <si>
    <t xml:space="preserve">PARAMÈTRES - OPENSTONE INFRAWORLD, COMPARTIMENT I · rapport de risque initial, octobre 2026</t>
  </si>
  <si>
    <t xml:space="preserve">Toutes les valeurs du rapport découlent de ce bloc ; aucune autre feuille ne redéfinit un paramètre. Saisies sur fond crème, valeurs dérivées en formules.</t>
  </si>
  <si>
    <t xml:space="preserve">Unité</t>
  </si>
  <si>
    <t xml:space="preserve">Fiabilité</t>
  </si>
  <si>
    <t xml:space="preserve">Réserve</t>
  </si>
  <si>
    <t xml:space="preserve">FONDS ET DATES</t>
  </si>
  <si>
    <t xml:space="preserve">Date d'arrêté du rapport</t>
  </si>
  <si>
    <t xml:space="preserve">date</t>
  </si>
  <si>
    <t xml:space="preserve">Date de l'analyse ; prospectus projet du 30 septembre 2026</t>
  </si>
  <si>
    <t xml:space="preserve">Le Fonds n'est pas constitué : rapport initial sur documentation, sans valeur liquidative ni passif.</t>
  </si>
  <si>
    <t xml:space="preserve">Date du projet de prospectus</t>
  </si>
  <si>
    <t xml:space="preserve">Prospectus Openstone Infraworld, projet du 30 septembre 2026</t>
  </si>
  <si>
    <t xml:space="preserve">Plusieurs mentions restent à compléter (SRI, ISIN A3c, mentions de liquidité).</t>
  </si>
  <si>
    <t xml:space="preserve">Actif net cible</t>
  </si>
  <si>
    <t xml:space="preserve">euros</t>
  </si>
  <si>
    <t xml:space="preserve">Encours cible retenu par la note de liquidité et l'IRP</t>
  </si>
  <si>
    <t xml:space="preserve">Prévision commerciale ; les simulations sont rejouées sur l'encours réel une fois le Fonds lancé.</t>
  </si>
  <si>
    <t xml:space="preserve">Actif net minimal réglementaire</t>
  </si>
  <si>
    <t xml:space="preserve">Règlement art. 2 ; dissolution si l'actif reste en deçà 30 jours</t>
  </si>
  <si>
    <t xml:space="preserve">Seuil de la Date de Déclenchement</t>
  </si>
  <si>
    <t xml:space="preserve">Prospectus, définitions du Compartiment I : 10 M€ d'engagements cumulés ou 2e anniversaire</t>
  </si>
  <si>
    <t xml:space="preserve">Bascule des parts B (conseil 0,57 %) vers le barème des parts A (1,07 %).</t>
  </si>
  <si>
    <t xml:space="preserve">Valeur nominale de la part</t>
  </si>
  <si>
    <t xml:space="preserve">Prospectus art. 26.3 - souscription au nominal tant que la VL lui est inférieure</t>
  </si>
  <si>
    <t xml:space="preserve">Souscription au-dessus de la VL si celle-ci passe sous 100 € : point de traitement équitable (registre, n° 9).</t>
  </si>
  <si>
    <t xml:space="preserve">ALLOCATION CIBLE  ·  synthèse Openstone de septembre 2026, non contractuelle</t>
  </si>
  <si>
    <t xml:space="preserve">Macquarie Alliance Partners Infrastructure Fund II (MAPIF II)</t>
  </si>
  <si>
    <t xml:space="preserve">% AN</t>
  </si>
  <si>
    <t xml:space="preserve">Synthèse Openstone septembre 2026, p. 2</t>
  </si>
  <si>
    <t xml:space="preserve">Fonds fermé de secondaires, USD ; conditionné à l'acceptation de la souscription et à la dérogation de ticket (10 M$).</t>
  </si>
  <si>
    <t xml:space="preserve">Macquarie Specialized Infrastructure Global 3 (MSIG 3)</t>
  </si>
  <si>
    <t xml:space="preserve">Fonds de dette fermé hybride ; véhicule (USD / EUR) et manche (levered / unlevered) non arrêtés.</t>
  </si>
  <si>
    <t xml:space="preserve">Partners Group Next Generation Infrastructure (PG NGI)</t>
  </si>
  <si>
    <t xml:space="preserve">Evergreen, devise de référence USD ; classe I ou classe H couverte à arrêter.</t>
  </si>
  <si>
    <t xml:space="preserve">Ares Global Infrastructure ELTIF (Ares AGI)</t>
  </si>
  <si>
    <t xml:space="preserve">Evergreen ELTIF en EUR ; souscription au nominal jusqu'au 01/11/2026 attendu.</t>
  </si>
  <si>
    <t xml:space="preserve">Synthèse septembre 2026 ; prospectus art. 21.8 (minimum 15 % de l'actif)</t>
  </si>
  <si>
    <t xml:space="preserve">Plancher écrit comme obligation permanente, sans clause de dépassement passif (registre, n° 2).</t>
  </si>
  <si>
    <t xml:space="preserve">Total de l'allocation</t>
  </si>
  <si>
    <t xml:space="preserve">dérivé</t>
  </si>
  <si>
    <t xml:space="preserve">Doit boucler à 100 %.</t>
  </si>
  <si>
    <t xml:space="preserve">Part des fonds fermés (MAPIF II + MSIG 3)</t>
  </si>
  <si>
    <t xml:space="preserve">Aucune liquidité avant échéance ; sortie par cession secondaire décotée.</t>
  </si>
  <si>
    <t xml:space="preserve">Part des fonds evergreen (PG NGI + Ares AGI)</t>
  </si>
  <si>
    <t xml:space="preserve">Rachat trimestriel plafonné à 5 % du fonds cible.</t>
  </si>
  <si>
    <t xml:space="preserve">Part gérée par Macquarie</t>
  </si>
  <si>
    <t xml:space="preserve">Concentration gérant : 51 % de l'allocation cible chez un seul groupe.</t>
  </si>
  <si>
    <t xml:space="preserve">Part libellée en dollars - hypothèse basse (MAPIF II)</t>
  </si>
  <si>
    <t xml:space="preserve">Si MSIG 3 est souscrit via le fonds EUR et PG NGI en classe couverte.</t>
  </si>
  <si>
    <t xml:space="preserve">Part libellée en dollars - hypothèse haute (MAPIF II + MSIG 3 USD + PG NGI)</t>
  </si>
  <si>
    <t xml:space="preserve">Devise de référence de PG NGI : USD (supplément 2) ; MSIG 3 (USD) sans classe EUR.</t>
  </si>
  <si>
    <t xml:space="preserve">CONDITIONS DE LIQUIDITÉ DU FONDS  ·  prospectus du 30 septembre 2026</t>
  </si>
  <si>
    <t xml:space="preserve">Période de Blocage par souscription</t>
  </si>
  <si>
    <t xml:space="preserve">mois</t>
  </si>
  <si>
    <t xml:space="preserve">Prospectus art. 7.2.2 - 2 ans à compter de chaque souscription, imputation FIFO</t>
  </si>
  <si>
    <t xml:space="preserve">Préavis de rachat</t>
  </si>
  <si>
    <t xml:space="preserve">jours</t>
  </si>
  <si>
    <t xml:space="preserve">Prospectus art. 7.2.3 - centralisation le 31 mars pour la VL du 30 juin, le 30 septembre pour celle du 31 décembre</t>
  </si>
  <si>
    <t xml:space="preserve">La note de liquidité du 24/09 et le classeur de stress tests retiennent 180 jours : à recaler.</t>
  </si>
  <si>
    <t xml:space="preserve">Préavis prolongé au plus</t>
  </si>
  <si>
    <t xml:space="preserve">Prospectus art. 7.2.7 - 180 jours calendaires au plus, 12 mois au plus</t>
  </si>
  <si>
    <t xml:space="preserve">Plafonnement des Rachats par date de centralisation</t>
  </si>
  <si>
    <t xml:space="preserve">Prospectus art. 7.2.6 - 5 % de l'Actif Net, demandes nettes des souscriptions</t>
  </si>
  <si>
    <t xml:space="preserve">Assiette : actif net de la VL d'exécution, inconnue à l'activation (registre, n° 7).</t>
  </si>
  <si>
    <t xml:space="preserve">Reports successifs au plus</t>
  </si>
  <si>
    <t xml:space="preserve">dates</t>
  </si>
  <si>
    <t xml:space="preserve">Prospectus art. 7.2.6 - 4 Dates de Centralisation ; Demandes Prioritaires après 2 reports</t>
  </si>
  <si>
    <t xml:space="preserve">L'issue au-delà de 4 dates n'est pas écrite ; la note de liquidité prévoit l'examen de la suspension.</t>
  </si>
  <si>
    <t xml:space="preserve">Délai de règlement des rachats</t>
  </si>
  <si>
    <t xml:space="preserve">j.o.</t>
  </si>
  <si>
    <t xml:space="preserve">Prospectus art. 7.2.5 - 5 Jours Ouvrés après publication, publication sous 30 Jours Ouvrés</t>
  </si>
  <si>
    <t xml:space="preserve">Centralisation des souscriptions avant la VL</t>
  </si>
  <si>
    <t xml:space="preserve">Prospectus art. 7.1.2</t>
  </si>
  <si>
    <t xml:space="preserve">Paiement intégral à la centralisation ; sommes bloquées hors actif net.</t>
  </si>
  <si>
    <t xml:space="preserve">Publication de la valeur liquidative</t>
  </si>
  <si>
    <t xml:space="preserve">Prospectus art. 6.2</t>
  </si>
  <si>
    <t xml:space="preserve">VL mensuelle au dernier Jour Ouvré du mois.</t>
  </si>
  <si>
    <t xml:space="preserve">Plancher d'actifs liquides</t>
  </si>
  <si>
    <t xml:space="preserve">Prospectus art. 21.8</t>
  </si>
  <si>
    <t xml:space="preserve">Assiette en actif, les autres limites en actif net (registre, n° 8).</t>
  </si>
  <si>
    <t xml:space="preserve">Poche liquide visée par la gestion</t>
  </si>
  <si>
    <t xml:space="preserve">Note de liquidité du 24/09/2026, § 1</t>
  </si>
  <si>
    <t xml:space="preserve">Dont monétaire et dépôts au minimum (règle interne)</t>
  </si>
  <si>
    <t xml:space="preserve">Note de liquidité, § 2</t>
  </si>
  <si>
    <t xml:space="preserve">Règle interne, non opposable.</t>
  </si>
  <si>
    <t xml:space="preserve">Plafond de Sur-Engagement</t>
  </si>
  <si>
    <t xml:space="preserve">Prospectus art. 23 ; art. 3.1.1 (engagements hors bilan, 130 %)</t>
  </si>
  <si>
    <t xml:space="preserve">Deux plafonds à 130 % sans précision de cumul (registre, n° 6).</t>
  </si>
  <si>
    <t xml:space="preserve">Emprunts d'espèces</t>
  </si>
  <si>
    <t xml:space="preserve">Prospectus art. 22 - néant ; ni ligne de crédit ni instrument dérivé</t>
  </si>
  <si>
    <t xml:space="preserve">Les art. 3.1.1, 14.2 et 25.2.6 supposent encore un emprunt (registre, n° 1).</t>
  </si>
  <si>
    <t xml:space="preserve">Levier AIFM, méthode de l'engagement</t>
  </si>
  <si>
    <t xml:space="preserve">Note de liquidité § 4 ; à réintroduire au prospectus (art. 23 § 1 a) de la directive 2011/61/UE)</t>
  </si>
  <si>
    <t xml:space="preserve">Le projet du 30/09 ne mentionne plus de niveau maximal de levier.</t>
  </si>
  <si>
    <t xml:space="preserve">Entreprises Cibles (co-investissements directs)</t>
  </si>
  <si>
    <t xml:space="preserve">Prospectus art. 22</t>
  </si>
  <si>
    <t xml:space="preserve">Traitement d'un dépassement passif non précisé.</t>
  </si>
  <si>
    <t xml:space="preserve">Détention maximale d'une personne physique</t>
  </si>
  <si>
    <t xml:space="preserve">% parts</t>
  </si>
  <si>
    <t xml:space="preserve">Prospectus art. 5.1 et 8.1</t>
  </si>
  <si>
    <t xml:space="preserve">Contrôle à la souscription et au transfert.</t>
  </si>
  <si>
    <t xml:space="preserve">FRAIS  ·  prospectus art. 27</t>
  </si>
  <si>
    <t xml:space="preserve">Commission de Gestion (tranche 0 - 100 M€)</t>
  </si>
  <si>
    <t xml:space="preserve">Prospectus art. 27.2.1 - 0,18 % ; 0,15 % de 100 à 500 M€ ; 0,10 % au-delà ; minimum 60 000 € par an</t>
  </si>
  <si>
    <t xml:space="preserve">Le minimum de 60 000 € pèse 0,12 % à 50 M€ et 1,2 % à 5 M€.</t>
  </si>
  <si>
    <t xml:space="preserve">Commission de Conseil, parts A (tranche 0 - 100 M€)</t>
  </si>
  <si>
    <t xml:space="preserve">Prospectus art. 27.2.2 - 1,07 % ; 1,10 % ; 1,15 %</t>
  </si>
  <si>
    <t xml:space="preserve">Barème qualifié de dégressif alors que les taux croissent (registre, n° 11).</t>
  </si>
  <si>
    <t xml:space="preserve">Commission de Conseil, parts B jusqu'à la Date de Déclenchement</t>
  </si>
  <si>
    <t xml:space="preserve">Prospectus art. 27.2.2</t>
  </si>
  <si>
    <t xml:space="preserve">Commission de Distribution, parts A1 et B1</t>
  </si>
  <si>
    <t xml:space="preserve">Prospectus art. 27.2.3</t>
  </si>
  <si>
    <t xml:space="preserve">Rétrocédée au Conseiller pour les Distributeurs.</t>
  </si>
  <si>
    <t xml:space="preserve">Droits d'entrée au plus</t>
  </si>
  <si>
    <t xml:space="preserve">% prix</t>
  </si>
  <si>
    <t xml:space="preserve">Prospectus art. 27.2.4</t>
  </si>
  <si>
    <t xml:space="preserve">Non acquis au Fonds.</t>
  </si>
  <si>
    <t xml:space="preserve">Frais de constitution au plus</t>
  </si>
  <si>
    <t xml:space="preserve">Prospectus art. 27.1 - le plus élevé de 60 000 € ou 1,25 % de l'actif net au 1er anniversaire, amortis sur 5 exercices</t>
  </si>
  <si>
    <t xml:space="preserve">Frais récurrents directs, part A1 (hors frais fixes)</t>
  </si>
  <si>
    <t xml:space="preserve">Hors dépositaire, comptable, CAC et frais des fonds cibles (1,00 à 1,25 % plus carried 12,5 à 15 %).</t>
  </si>
  <si>
    <t xml:space="preserve">SEUILS D'ALERTE DE LA NOTE DE LIQUIDITÉ  ·  § 5, vert / orange / rouge</t>
  </si>
  <si>
    <t xml:space="preserve">File d'attente (% AN) - rouge au-delà de</t>
  </si>
  <si>
    <t xml:space="preserve">Note de liquidité § 5</t>
  </si>
  <si>
    <t xml:space="preserve">Orange entre 0 et 25 %.</t>
  </si>
  <si>
    <t xml:space="preserve">Délai de résorption de la file - rouge au-delà de</t>
  </si>
  <si>
    <t xml:space="preserve">Orange de 12 à 25 mois.</t>
  </si>
  <si>
    <t xml:space="preserve">Poche d'actifs liquides - rouge en deçà de</t>
  </si>
  <si>
    <t xml:space="preserve">Orange de 5 à 15 %.</t>
  </si>
  <si>
    <t xml:space="preserve">Couverture de liquidité à 12 mois - vert au-delà de</t>
  </si>
  <si>
    <t xml:space="preserve">ratio</t>
  </si>
  <si>
    <t xml:space="preserve">Orange de 1,0 à 1,5 ; rouge en deçà de 1,0.</t>
  </si>
  <si>
    <t xml:space="preserve">Couverture de liquidité à 12 mois - rouge en deçà de</t>
  </si>
  <si>
    <t xml:space="preserve">Sur-engagement - orange au-delà de</t>
  </si>
  <si>
    <t xml:space="preserve">Rouge au-delà de 130 %.</t>
  </si>
  <si>
    <t xml:space="preserve">Premier porteur - orange au-delà de</t>
  </si>
  <si>
    <t xml:space="preserve">Rouge au-delà de 15 %.</t>
  </si>
  <si>
    <t xml:space="preserve">Cinq premiers porteurs - orange au-delà de</t>
  </si>
  <si>
    <t xml:space="preserve">Rouge au-delà de 40 %.</t>
  </si>
  <si>
    <t xml:space="preserve">INITIAL RISK PROFILE  ·  classeur du 06/10/2026, scores 0 à 100</t>
  </si>
  <si>
    <t xml:space="preserve">Score IRP du Fonds, caractéristiques propres</t>
  </si>
  <si>
    <t xml:space="preserve">/100</t>
  </si>
  <si>
    <t xml:space="preserve">Initial Risk Profile Openstone Infraworld, onglet Openstone_Infraworld</t>
  </si>
  <si>
    <t xml:space="preserve">ÉLEVÉ ; liquidité, crédit saturés ; contrepartie et levier faibles.</t>
  </si>
  <si>
    <t xml:space="preserve">Score IRP en transparence, pondéré par l'allocation cible</t>
  </si>
  <si>
    <t xml:space="preserve">Idem, bloc Transparence</t>
  </si>
  <si>
    <t xml:space="preserve">73,1 hors poche liquide.</t>
  </si>
  <si>
    <t xml:space="preserve">Score IRP MAPIF II</t>
  </si>
  <si>
    <t xml:space="preserve">Idem, onglet MAPIF_II</t>
  </si>
  <si>
    <t xml:space="preserve">MOYEN - fonds fermé sans risque de liquidité propre ; levier et opérationnel élevés.</t>
  </si>
  <si>
    <t xml:space="preserve">Score IRP MSIG 3 (USD, manche levered)</t>
  </si>
  <si>
    <t xml:space="preserve">Idem, onglet MSIG_3</t>
  </si>
  <si>
    <t xml:space="preserve">ÉLEVÉ - crédit et levier saturés ; fonds non lancé à la date du PPM.</t>
  </si>
  <si>
    <t xml:space="preserve">Score IRP PG Next Generation Infrastructure</t>
  </si>
  <si>
    <t xml:space="preserve">Idem, onglet PG_NGI</t>
  </si>
  <si>
    <t xml:space="preserve">ÉLEVÉ - liquidité, opérationnel, levier saturés ; seul fonds cible en activité.</t>
  </si>
  <si>
    <t xml:space="preserve">Score IRP Ares Global Infrastructure ELTIF</t>
  </si>
  <si>
    <t xml:space="preserve">Idem, onglet Ares_AGI</t>
  </si>
  <si>
    <t xml:space="preserve">ÉLEVÉ - blind pool en montée en charge, levier AIFM 400 % / 500 %.</t>
  </si>
  <si>
    <t xml:space="preserve">Indicateur synthétique de risque (DIC PRIIPs)</t>
  </si>
  <si>
    <t xml:space="preserve">/7</t>
  </si>
  <si>
    <t xml:space="preserve">DIC du 29/09/2026, parts A1 à B3 - classe 4, relèvement prudentiel d'une classe</t>
  </si>
  <si>
    <t xml:space="preserve">Le prospectus du 30/09 et la synthèse laissent le SRI à compléter (X/7).</t>
  </si>
  <si>
    <t xml:space="preserve">Période de détention recommandée</t>
  </si>
  <si>
    <t xml:space="preserve">ans</t>
  </si>
  <si>
    <t xml:space="preserve">Prospectus art. 4.2 (supérieure à 10 ans) ; DIC du 29/09 (10 ans)</t>
  </si>
  <si>
    <t xml:space="preserve">La synthèse Openstone affiche 8 ans : à aligner (registre, n° 10).</t>
  </si>
  <si>
    <t xml:space="preserve">Fiabilité : Élevée = texte contractuel ou classeur validé ; Moyenne = prévision, hypothèse interne ou document commercial. Les montants en euros sont des cibles : le Fonds n'a ni valeur liquidative ni porteur à la date d'arrêté.</t>
  </si>
  <si>
    <t xml:space="preserve">RÉFÉRENTIEL DES LIMITES - OPENSTONE INFRAWORLD, COMPARTIMENT I</t>
  </si>
  <si>
    <t xml:space="preserve">Limites du prospectus (projet du 30/09/2026), seuils internes de la note de liquidité et points de contrôle. Statut à la date d'arrêté : le Fonds n'est pas constitué.</t>
  </si>
  <si>
    <t xml:space="preserve">Limite</t>
  </si>
  <si>
    <t xml:space="preserve">Type</t>
  </si>
  <si>
    <t xml:space="preserve">Alerte</t>
  </si>
  <si>
    <t xml:space="preserve">Base et contrôle</t>
  </si>
  <si>
    <t xml:space="preserve">Source et commentaire</t>
  </si>
  <si>
    <t xml:space="preserve">A. LIMITES DU PROSPECTUS - opposables</t>
  </si>
  <si>
    <t xml:space="preserve">IR-01</t>
  </si>
  <si>
    <t xml:space="preserve">Fonds Cibles principalement d'infrastructure</t>
  </si>
  <si>
    <t xml:space="preserve">Qualitative</t>
  </si>
  <si>
    <t xml:space="preserve">Non testable</t>
  </si>
  <si>
    <t xml:space="preserve">Chaque investissement</t>
  </si>
  <si>
    <t xml:space="preserve">Art. 19 et 21.2 ; « principalement », sans seuil chiffré.</t>
  </si>
  <si>
    <t xml:space="preserve">IR-03</t>
  </si>
  <si>
    <t xml:space="preserve">Zone : Europe privilégiée, Amérique du Nord et Asie admises</t>
  </si>
  <si>
    <t xml:space="preserve">Art. 21.2 ; aucun seuil. Allocation cible : environ 80 % Amérique du Nord et Europe par transparence.</t>
  </si>
  <si>
    <t xml:space="preserve">IR-04</t>
  </si>
  <si>
    <t xml:space="preserve">Dure</t>
  </si>
  <si>
    <t xml:space="preserve">Actif net, chaque VL</t>
  </si>
  <si>
    <t xml:space="preserve">Art. 22 ; traitement d'un dépassement passif non précisé.</t>
  </si>
  <si>
    <t xml:space="preserve">IR-06</t>
  </si>
  <si>
    <t xml:space="preserve">Parts de fonds (OPCVM, FIA, fonds étrangers)</t>
  </si>
  <si>
    <t xml:space="preserve">Art. 22 ; sous le plafond de sur-engagement.</t>
  </si>
  <si>
    <t xml:space="preserve">IR-07</t>
  </si>
  <si>
    <t xml:space="preserve">Instruments dérivés</t>
  </si>
  <si>
    <t xml:space="preserve">Pré-négociation</t>
  </si>
  <si>
    <t xml:space="preserve">Art. 22 : néant. Exclut toute couverture de change ou de taux.</t>
  </si>
  <si>
    <t xml:space="preserve">IR-08</t>
  </si>
  <si>
    <t xml:space="preserve">Actifs immobiliers, acquisitions et cessions temporaires de titres</t>
  </si>
  <si>
    <t xml:space="preserve">Art. 22 : néant.</t>
  </si>
  <si>
    <t xml:space="preserve">IR-10</t>
  </si>
  <si>
    <t xml:space="preserve">Fonds gérés par la Société de Gestion</t>
  </si>
  <si>
    <t xml:space="preserve">Procédure</t>
  </si>
  <si>
    <t xml:space="preserve">Art. 21.2 ; politique de conflits d'intérêts à appliquer avant investissement.</t>
  </si>
  <si>
    <t xml:space="preserve">Sur-engagement : engagements appelés et non appelés / actif net</t>
  </si>
  <si>
    <t xml:space="preserve">Avant chaque engagement et chaque VL</t>
  </si>
  <si>
    <t xml:space="preserve">Art. 23 ; dépassement passif toléré sans nouvel engagement.</t>
  </si>
  <si>
    <t xml:space="preserve">Actif, chaque VL</t>
  </si>
  <si>
    <t xml:space="preserve">Art. 21.8 ; écrit comme obligation permanente, assiette en actif (registre n° 2 et 8).</t>
  </si>
  <si>
    <t xml:space="preserve">RL-03</t>
  </si>
  <si>
    <t xml:space="preserve">Engagements hors bilan (garanties, nantissements)</t>
  </si>
  <si>
    <t xml:space="preserve">Actif net</t>
  </si>
  <si>
    <t xml:space="preserve">Art. 3.1.1 ; cumul avec RL-01 non précisé (registre n° 6).</t>
  </si>
  <si>
    <t xml:space="preserve">RL-04</t>
  </si>
  <si>
    <t xml:space="preserve">Art. 22 : néant ; art. 3.1.1, 14.2 et 25.2.6 à nettoyer (registre n° 1).</t>
  </si>
  <si>
    <t xml:space="preserve">RL-05</t>
  </si>
  <si>
    <t xml:space="preserve">Détention par une personne physique</t>
  </si>
  <si>
    <t xml:space="preserve">Parts émises, souscription et transfert</t>
  </si>
  <si>
    <t xml:space="preserve">Art. 5.1 et 8.1.</t>
  </si>
  <si>
    <t xml:space="preserve">RL-06</t>
  </si>
  <si>
    <t xml:space="preserve">Plafonnement des Rachats par Date de Centralisation</t>
  </si>
  <si>
    <t xml:space="preserve">Actif net de la VL d'exécution</t>
  </si>
  <si>
    <t xml:space="preserve">Art. 7.2.6 ; nette des souscriptions ; 4 reports au plus.</t>
  </si>
  <si>
    <t xml:space="preserve">RL-07</t>
  </si>
  <si>
    <t xml:space="preserve">Contreparties : établissements OCDE notés au moins BBB+</t>
  </si>
  <si>
    <t xml:space="preserve">À la mise en place</t>
  </si>
  <si>
    <t xml:space="preserve">Art. 15 ; revue spécifique sous A-.</t>
  </si>
  <si>
    <t xml:space="preserve">B. SEUILS INTERNES - note de liquidité du 24/09/2026, § 5, à valider en Comité des risques</t>
  </si>
  <si>
    <t xml:space="preserve">KRI-01</t>
  </si>
  <si>
    <t xml:space="preserve">Demande nette de rachat par date</t>
  </si>
  <si>
    <t xml:space="preserve">Interne</t>
  </si>
  <si>
    <t xml:space="preserve">À valider</t>
  </si>
  <si>
    <t xml:space="preserve">Rouge au-delà de 10 % ; orange de 5 à 10 %.</t>
  </si>
  <si>
    <t xml:space="preserve">KRI-02</t>
  </si>
  <si>
    <t xml:space="preserve">File d'attente de rachats reportés</t>
  </si>
  <si>
    <t xml:space="preserve">Rouge au-delà de 25 % ; orange dès la première file.</t>
  </si>
  <si>
    <t xml:space="preserve">KRI-03</t>
  </si>
  <si>
    <t xml:space="preserve">Dates plafonnées consécutives</t>
  </si>
  <si>
    <t xml:space="preserve">Au-delà de 4 : suspension examinée.</t>
  </si>
  <si>
    <t xml:space="preserve">KRI-04</t>
  </si>
  <si>
    <t xml:space="preserve">Couverture de liquidité à douze mois</t>
  </si>
  <si>
    <t xml:space="preserve">Ressources 12 mois / besoins 12 mois</t>
  </si>
  <si>
    <t xml:space="preserve">Rouge en deçà de 1,0 ; orange de 1,0 à 1,5.</t>
  </si>
  <si>
    <t xml:space="preserve">Levier, méthode de l'engagement</t>
  </si>
  <si>
    <t xml:space="preserve">Niveau maximal à réintroduire au prospectus.</t>
  </si>
  <si>
    <t xml:space="preserve">KRI-06</t>
  </si>
  <si>
    <t xml:space="preserve">Premier porteur</t>
  </si>
  <si>
    <t xml:space="preserve">KRI-07</t>
  </si>
  <si>
    <t xml:space="preserve">Cinq premiers porteurs</t>
  </si>
  <si>
    <t xml:space="preserve">Concentration par gérant de fonds cibles</t>
  </si>
  <si>
    <t xml:space="preserve">Aucune limite au prospectus ; 51 % chez Macquarie à l'allocation cible. Proposition : 40 %, alerte 35 %.</t>
  </si>
  <si>
    <t xml:space="preserve">Concentration par fonds cible</t>
  </si>
  <si>
    <t xml:space="preserve">34 % sur MAPIF II à l'allocation cible. Proposition : 35 %, alerte 30 %.</t>
  </si>
  <si>
    <t xml:space="preserve">Exposition au dollar non couverte</t>
  </si>
  <si>
    <t xml:space="preserve">34 % à 68 % selon les véhicules retenus ; aucune couverture possible (IR-07).</t>
  </si>
  <si>
    <t xml:space="preserve">KRI-11</t>
  </si>
  <si>
    <t xml:space="preserve">Péremption des VL reçues des fonds cibles</t>
  </si>
  <si>
    <t xml:space="preserve">Jours depuis la VL du fonds cible</t>
  </si>
  <si>
    <t xml:space="preserve">VL trimestrielles et décalées pour MAPIF II et MSIG 3 ; mensuelles à 15-21 j.o. pour Ares et PG NGI.</t>
  </si>
  <si>
    <t xml:space="preserve">C. SYNTHÈSE</t>
  </si>
  <si>
    <t xml:space="preserve">Statuts : Paramétré (limite inscrite au dispositif de contrôle, sans position à tester) ; Non testable (nécessite une valeur liquidative ou un registre) ; À valider (seuil interne proposé par la Fonction Risques, non encore arrêté par le Comité) ; Seuil à arrêter (aucune valeur proposée dans les documents) ; Dépassée (franchissement constaté).</t>
  </si>
  <si>
    <t xml:space="preserve">PROFIL DE LIQUIDITÉ À L'ALLOCATION CIBLE - actif, passif, couverture</t>
  </si>
  <si>
    <t xml:space="preserve">Délais de liquidation par ligne (classeur de stress tests du 24/09/2026), passif recalculé sur le préavis du prospectus du 30/09/2026 (91 jours). Format Annexe IV.</t>
  </si>
  <si>
    <t xml:space="preserve">Poids cible</t>
  </si>
  <si>
    <t xml:space="preserve">Délai normal (j)</t>
  </si>
  <si>
    <t xml:space="preserve">Délai stress (j)</t>
  </si>
  <si>
    <t xml:space="preserve">Rachat au fonds cible</t>
  </si>
  <si>
    <t xml:space="preserve">Source et hypothèse</t>
  </si>
  <si>
    <t xml:space="preserve">MAPIF II - secondaires, fermé</t>
  </si>
  <si>
    <t xml:space="preserve">PPM avril 2026 : aucun retrait ; durée 10 ans + 2 + 2. Sortie par cession agréée par le GP.</t>
  </si>
  <si>
    <t xml:space="preserve">MSIG 3 - dette, fermé hybride</t>
  </si>
  <si>
    <t xml:space="preserve">USD / EUR</t>
  </si>
  <si>
    <t xml:space="preserve">Annuel, run-off</t>
  </si>
  <si>
    <t xml:space="preserve">PPM février 2026 : lock-up 3 ans puis retrait au 31/03 payé par écoulement, sans date.</t>
  </si>
  <si>
    <t xml:space="preserve">PG NGI - evergreen</t>
  </si>
  <si>
    <t xml:space="preserve">5 % / trimestre</t>
  </si>
  <si>
    <t xml:space="preserve">Supplément 2 : rachat mensuel, préavis 45 j.o., gate 5 % distributions comprises ; Special Dealing à 180 j.</t>
  </si>
  <si>
    <t xml:space="preserve">Ares AGI ELTIF - evergreen</t>
  </si>
  <si>
    <t xml:space="preserve">Annexe 7 : rachat trimestriel, cut-off 1er j.o. du dernier mois, gate 5 % net, limite ELTIF.</t>
  </si>
  <si>
    <t xml:space="preserve">Quotidien</t>
  </si>
  <si>
    <t xml:space="preserve">Art. 21.8 : monétaire, dépôts, OPC obligataires à VL quotidienne.</t>
  </si>
  <si>
    <t xml:space="preserve">Délai moyen pondéré de liquidation de l'actif (TTL actif)</t>
  </si>
  <si>
    <t xml:space="preserve">jours (stress)</t>
  </si>
  <si>
    <t xml:space="preserve">PASSIF - délai de sortie d'un porteur après la Période de Blocage</t>
  </si>
  <si>
    <t xml:space="preserve">Jours</t>
  </si>
  <si>
    <t xml:space="preserve">Règlement après la date de VL (35 j.o.)</t>
  </si>
  <si>
    <t xml:space="preserve">Art. 7.2.5 : publication sous 30 j.o. puis paiement sous 5 j.o.</t>
  </si>
  <si>
    <t xml:space="preserve">Délai minimal de sortie (demande déposée à la centralisation)</t>
  </si>
  <si>
    <t xml:space="preserve">Centralisation le 31/03 ou le 30/09 pour la VL semestrielle suivante.</t>
  </si>
  <si>
    <t xml:space="preserve">Délai moyen de sortie</t>
  </si>
  <si>
    <t xml:space="preserve">Attente moyenne d'une date de centralisation : un trimestre.</t>
  </si>
  <si>
    <t xml:space="preserve">Délai maximal de sortie</t>
  </si>
  <si>
    <t xml:space="preserve">Demande déposée juste après une centralisation.</t>
  </si>
  <si>
    <t xml:space="preserve">Délai moyen avec préavis prolongé (180 jours)</t>
  </si>
  <si>
    <t xml:space="preserve">Art. 7.2.7 : outil de gestion de la liquidité, 12 mois au plus.</t>
  </si>
  <si>
    <t xml:space="preserve">Écart actif - passif (délais moyens)</t>
  </si>
  <si>
    <t xml:space="preserve">Positif : l'actif se liquide bien après la sortie des porteurs ; le plafonnement absorbe l'écart.</t>
  </si>
  <si>
    <t xml:space="preserve">ACTIF LIQUIDABLE PAR TRANCHE - format Annexe IV, à l'allocation cible</t>
  </si>
  <si>
    <t xml:space="preserve">Néant : la trésorerie est placée en monétaire et dépôts à J+2.</t>
  </si>
  <si>
    <t xml:space="preserve">Actifs liquides (art. 21.8).</t>
  </si>
  <si>
    <t xml:space="preserve">Néant.</t>
  </si>
  <si>
    <t xml:space="preserve">Ares AGI : rachat trimestriel sous gate.</t>
  </si>
  <si>
    <t xml:space="preserve">PG NGI : préavis de 45 j.o. puis règlement.</t>
  </si>
  <si>
    <t xml:space="preserve">MAPIF II et MSIG 3 : aucune fenêtre avant échéance.</t>
  </si>
  <si>
    <t xml:space="preserve">COUVERTURE DES RACHATS - ratios structurels à l'allocation cible</t>
  </si>
  <si>
    <t xml:space="preserve">Plafond de rachat annuel (deux dates)</t>
  </si>
  <si>
    <t xml:space="preserve">Deux Dates de Centralisation par an à 5 % chacune.</t>
  </si>
  <si>
    <t xml:space="preserve">La poche cible couvre trois dates de plafond sans autre ressource.</t>
  </si>
  <si>
    <t xml:space="preserve">Une année de plafond servie sur la seule poche.</t>
  </si>
  <si>
    <t xml:space="preserve">Capacité de rachat semestrielle des fonds evergreen</t>
  </si>
  <si>
    <t xml:space="preserve">Deux trimestres à 5 % de chaque ligne evergreen, hors gate chez les fonds cibles.</t>
  </si>
  <si>
    <t xml:space="preserve">Capacité evergreen / plafond par date</t>
  </si>
  <si>
    <t xml:space="preserve">Les deux lignes evergreen ne financent pas seules une date de plafond.</t>
  </si>
  <si>
    <t xml:space="preserve">Ressources à douze mois / plafond annuel (classeur de stress tests)</t>
  </si>
  <si>
    <t xml:space="preserve">Classeur du 24/09/2026 : poche, distributions et rachats evergreen sur 12 mois, départ 30/09/2028.</t>
  </si>
  <si>
    <t xml:space="preserve">Couverture de liquidité à douze mois au départ (nette des appels, frais et acomptes)</t>
  </si>
  <si>
    <t xml:space="preserve">Même classeur ; seuil vert 1,5.</t>
  </si>
  <si>
    <t xml:space="preserve">Convention TTL : délai complet pour disposer du cash, préavis et règlement compris ; une position sans fenêtre garantie est classée au-delà de 365 jours. Les délais des fonds cibles sont ceux du classeur de stress tests du 24/09/2026 ; le passif est recalculé sur le préavis contractuel du projet du 30/09/2026 (91 jours), là où la note de liquidité retenait 180 jours.</t>
  </si>
  <si>
    <t xml:space="preserve">STRESS TESTS DE LIQUIDITÉ - résultats du classeur du 24/09/2026 et verdicts</t>
  </si>
  <si>
    <t xml:space="preserve">Projection trimestrielle sur 36 mois à partir du 30/09/2028, actif net de 50 M€, allocation cible, plafond 5 % par date, 4 dates au plus. Valeurs importées ; verdicts recalculés sur les seuils de la note de liquidité.</t>
  </si>
  <si>
    <t xml:space="preserve">Dates plaf.</t>
  </si>
  <si>
    <t xml:space="preserve">Résorption (mois)</t>
  </si>
  <si>
    <t xml:space="preserve">Couv. 12 m min</t>
  </si>
  <si>
    <t xml:space="preserve">Sur-eng. max</t>
  </si>
  <si>
    <t xml:space="preserve">Change max</t>
  </si>
  <si>
    <t xml:space="preserve">Cession (M€)</t>
  </si>
  <si>
    <t xml:space="preserve">Base : rachats 2 % par date, collecte 5 % par trimestre</t>
  </si>
  <si>
    <t xml:space="preserve">Régime de croisière : aucune date plafonnée, poche au-dessus du plancher.</t>
  </si>
  <si>
    <t xml:space="preserve">Adverse : rachats de 10 % sur deux dates</t>
  </si>
  <si>
    <t xml:space="preserve">Quatre dates plafonnées, file résorbée en 24 mois ; poche sous le plancher pendant la résorption.</t>
  </si>
  <si>
    <t xml:space="preserve">Extrême : rachats de 15 % puis 20 %</t>
  </si>
  <si>
    <t xml:space="preserve">12/2030</t>
  </si>
  <si>
    <t xml:space="preserve">File de 26 % non résorbée ; suspension examinée à la 5e date (fin 2030).</t>
  </si>
  <si>
    <t xml:space="preserve">Concentration : sortie des cinq premiers porteurs (35 %)</t>
  </si>
  <si>
    <t xml:space="preserve">Servi sous plafonnement ordinaire ; les autres porteurs demandent 2 % par date.</t>
  </si>
  <si>
    <t xml:space="preserve">Distributions des fonds cibles divisées par deux et retardées d'un an</t>
  </si>
  <si>
    <t xml:space="preserve">Poche entamée par les appels de fonds non compensés.</t>
  </si>
  <si>
    <t xml:space="preserve">Appels de fonds accélérés, dollar + 15 %</t>
  </si>
  <si>
    <t xml:space="preserve">Appels de MAPIF II renchéris par le dollar ; sur-engagement au-dessus de 100 %.</t>
  </si>
  <si>
    <t xml:space="preserve">Valorisation - 20 % (capital), - 10 % (dette), dollar - 15 %</t>
  </si>
  <si>
    <t xml:space="preserve">Poche juste sous le plancher par effet de dénominateur.</t>
  </si>
  <si>
    <t xml:space="preserve">Crise combinée : chocs de passif et d'actif simultanés</t>
  </si>
  <si>
    <t xml:space="preserve">Poche épuisée dès 2029, cessions secondaires de 6,6 M€ à 10 % de décote, suspension fin 2030, triple gel dès 12/2028.</t>
  </si>
  <si>
    <t xml:space="preserve">Scénarios verts</t>
  </si>
  <si>
    <t xml:space="preserve">Scénarios orange</t>
  </si>
  <si>
    <t xml:space="preserve">Scénarios rouges</t>
  </si>
  <si>
    <t xml:space="preserve">Résorption « 99 » : file non résorbée à l'horizon de 36 mois. Les scénarios reprennent la note de liquidité § 6 ; le scénario « fonds evergreen au prorata » n'est pas restitué par le tableau de bord du classeur et reste à documenter.</t>
  </si>
  <si>
    <t xml:space="preserve">Rachats persistants par date (% AN)</t>
  </si>
  <si>
    <t xml:space="preserve">Poche min (gate)</t>
  </si>
  <si>
    <t xml:space="preserve">Cession sans gate (M€)</t>
  </si>
  <si>
    <t xml:space="preserve">Décote (M€)</t>
  </si>
  <si>
    <t xml:space="preserve">Demandes égales au plafond : servies sans plafonnement, la poche passe sous 5 % dès la deuxième année.</t>
  </si>
  <si>
    <t xml:space="preserve">Point de rupture : quatre dates plafonnées puis suspension ; sans gate, 5,2 M€ de cessions.</t>
  </si>
  <si>
    <t xml:space="preserve">Point de rupture (suspension ou cession)</t>
  </si>
  <si>
    <t xml:space="preserve">Appels de fonds à 12 mois (% AN)</t>
  </si>
  <si>
    <t xml:space="preserve">Non-appelé départ</t>
  </si>
  <si>
    <t xml:space="preserve">Poche sous le plancher de 15 %.</t>
  </si>
  <si>
    <t xml:space="preserve">Poche épuisée, cessions.</t>
  </si>
  <si>
    <t xml:space="preserve">Tout le non-appelé tiré en un an.</t>
  </si>
  <si>
    <t xml:space="preserve">Point de rupture : poche sous le plancher</t>
  </si>
  <si>
    <t xml:space="preserve">Sortie d'un porteur unique (% AN)</t>
  </si>
  <si>
    <t xml:space="preserve">Taille maximale sans suspension ni cession.</t>
  </si>
  <si>
    <t xml:space="preserve">Sortie maximale d'un porteur sans suspension</t>
  </si>
  <si>
    <t xml:space="preserve">Hypothèses du classeur : poche de 15 % au départ, non-appelé 15 % tiré sur trois ans, rachats evergreen à 5 % par trimestre, décote de cession 10 %, frais 2 % par an, acomptes 5 % sur 20 % de parts de distribution, toutes les parts rachetables dès le départ (prudent). Préavis retenu : 180 jours, à recaler sur les 91 jours du projet du 30/09/2026 ; un préavis plus court ne change ni la file ni les verdicts, il réduit le délai d'information de la Société de Gestion avant chaque date.</t>
  </si>
  <si>
    <t xml:space="preserve">FONDS CIBLES - conditions contractuelles et profil de risque initial</t>
  </si>
  <si>
    <t xml:space="preserve">Lecture des prospectus et PPM (classeur « Openstone underlying funds risk and liquidity terms », 3 septembre 2026) et Initial Risk Profile du 06/10/2026.</t>
  </si>
  <si>
    <t xml:space="preserve">Dénomination et forme</t>
  </si>
  <si>
    <t xml:space="preserve">Macquarie Alliance Partners Infrastructure Fund II SCSp, Luxembourg, non réglementée, FIA fermé</t>
  </si>
  <si>
    <t xml:space="preserve">Macquarie Specialized Infrastructure Global 3 (USD) : LP Delaware et SCSp luxembourgeoises, non réglementées</t>
  </si>
  <si>
    <t xml:space="preserve">Partners Group Evergreen SICAV, compartiment Next Generation Infrastructure, SICAV Partie II</t>
  </si>
  <si>
    <t xml:space="preserve">Ares Global Infrastructure ELTIF, compartiment d'AEFS SICAV, ELTIF agréé CSSF</t>
  </si>
  <si>
    <t xml:space="preserve">Secondaires d'infrastructure : LP-led 55-75 %, GP-led 25-45 %, directs et primaires ≤ 5 %</t>
  </si>
  <si>
    <t xml:space="preserve">Dette d'infrastructure senior et subordonnée, originée ou acquise, OCDE à 80 % au moins</t>
  </si>
  <si>
    <t xml:space="preserve">Infrastructure « next generation » : directs 50-90 %, fonds 10-50 %, liquidités 0-20 %</t>
  </si>
  <si>
    <t xml:space="preserve">Infrastructure core, fonds propres et dette, ≥ 70 % d'actifs éligibles ELTIF, ≤ 30 % liquides</t>
  </si>
  <si>
    <t xml:space="preserve">Statut à la date d'arrêté</t>
  </si>
  <si>
    <t xml:space="preserve">Non opérationnel, blind pool (PPM avril 2026)</t>
  </si>
  <si>
    <t xml:space="preserve">Aucun actif, LPA non signés (PPM février 2026)</t>
  </si>
  <si>
    <t xml:space="preserve">En activité depuis 2024, seul fonds cible avec portefeuille</t>
  </si>
  <si>
    <t xml:space="preserve">Période de souscription initiale, blind pool, fin attendue le 01/11/2026</t>
  </si>
  <si>
    <t xml:space="preserve">Devise de référence</t>
  </si>
  <si>
    <t xml:space="preserve">USD, catégorie unique</t>
  </si>
  <si>
    <t xml:space="preserve">USD ; MSIG 3 (EUR) est un fonds distinct</t>
  </si>
  <si>
    <t xml:space="preserve">USD ; classes « H » couvertes sans obligation</t>
  </si>
  <si>
    <t xml:space="preserve">Allocation cible</t>
  </si>
  <si>
    <t xml:space="preserve">34 %</t>
  </si>
  <si>
    <t xml:space="preserve">17 %</t>
  </si>
  <si>
    <t xml:space="preserve">Closings sur 12 mois (+ 6), appels à 10 j.o. de préavis</t>
  </si>
  <si>
    <t xml:space="preserve">Closings sur 2 ans (+ 6 mois), hausses d'engagement semestrielles</t>
  </si>
  <si>
    <t xml:space="preserve">Mensuelles, préavis 10 j.o.</t>
  </si>
  <si>
    <t xml:space="preserve">Mensuelles, cut-off 15 jours calendaires</t>
  </si>
  <si>
    <t xml:space="preserve">Aucun ; durée 10 ans + 2 + 2 ; cession agréée par le GP</t>
  </si>
  <si>
    <t xml:space="preserve">Annuel au 31/03 après lock-up de 3 ans, préavis 45 jours, payé au run-off (Withdrawing Account), minimum 10 M$</t>
  </si>
  <si>
    <t xml:space="preserve">Mensuels, préavis 45 j.o., règlement 4 j.o. après VL</t>
  </si>
  <si>
    <t xml:space="preserve">Trimestriels, cut-off le 1er j.o. du dernier mois, règlement 2 j.o. après publication</t>
  </si>
  <si>
    <t xml:space="preserve">Sans objet</t>
  </si>
  <si>
    <t xml:space="preserve">Sans objet ; conversion forcée possible sous 300 M$ de VL</t>
  </si>
  <si>
    <t xml:space="preserve">5 % de la VL par trimestre, distributions et conversions comprises ; Special Dealing à 180 jours, prix discrétionnaire</t>
  </si>
  <si>
    <t xml:space="preserve">5 % de la VL par trimestre (net) et limite ELTIF (27,3 % de l'assiette liquide)</t>
  </si>
  <si>
    <t xml:space="preserve">Aucune ; non-appelé survivant au retrait</t>
  </si>
  <si>
    <t xml:space="preserve">Redemption Fee discrétionnaire ≤ 5 % (classe I) et Exit Fee ≤ 5 %, sans butoir de durée</t>
  </si>
  <si>
    <t xml:space="preserve">Early Redemption Deduction de 5 % avant 24 mois</t>
  </si>
  <si>
    <t xml:space="preserve">Au moins annuelle ; états trimestriels non audités</t>
  </si>
  <si>
    <t xml:space="preserve">Trimestrielle, US GAAP, exercice au 31/03, reporting à 30 j.o.</t>
  </si>
  <si>
    <t xml:space="preserve">Mensuelle, publiée 21 j.o. après le Dealing Day</t>
  </si>
  <si>
    <t xml:space="preserve">Mensuelle, publiée 15 j.o. après la Subscription Date</t>
  </si>
  <si>
    <t xml:space="preserve">1,25 % des engagements puis de la VL et du non-appelé</t>
  </si>
  <si>
    <t xml:space="preserve">1,00 % du capital investi, levier compris</t>
  </si>
  <si>
    <t xml:space="preserve">1,25 % de la VL augmentée des engagements non appelés</t>
  </si>
  <si>
    <t xml:space="preserve">Jusqu'à 1,25 % de la VL (classe C)</t>
  </si>
  <si>
    <t xml:space="preserve">Commission de performance</t>
  </si>
  <si>
    <t xml:space="preserve">12,5 %, preferred return 8 %, catch-up 100 %, clawback</t>
  </si>
  <si>
    <t xml:space="preserve">12,5 %, catch-up 80 %, hurdle 8 % (levered) ou 6 % (unlevered), look-back 3 ans</t>
  </si>
  <si>
    <t xml:space="preserve">15 %, hurdle 5 %, high water mark, catch-up 100 %</t>
  </si>
  <si>
    <t xml:space="preserve">12,5 %, hurdle 5 %, high water mark, catch-up 100 %</t>
  </si>
  <si>
    <t xml:space="preserve">Emprunts ≤ 30 % des engagements, facilités ≤ 30 % de la VL, filiales non plafonnées ; plafonds AIFM non communiqués</t>
  </si>
  <si>
    <t xml:space="preserve">Manche levered : financement ≤ 2,5 fois les apports (≈ 350 % de la VL) ; dette non-recourse exclue</t>
  </si>
  <si>
    <t xml:space="preserve">Emprunt ≤ 40 % de la VL ; AIFM 200 % engagement, 410 % brut</t>
  </si>
  <si>
    <t xml:space="preserve">Emprunt ELTIF ≤ 50 % à partir de 2029 ; AIFM 400 % engagement, 500 % brut</t>
  </si>
  <si>
    <t xml:space="preserve">10 M$, dérogation à obtenir par écrit</t>
  </si>
  <si>
    <t xml:space="preserve">10 M$, dérogation à obtenir par écrit ; élection AWI au Subscription Agreement</t>
  </si>
  <si>
    <t xml:space="preserve">1 M USD (classe I)</t>
  </si>
  <si>
    <t xml:space="preserve">1 M€ (classe C)</t>
  </si>
  <si>
    <t xml:space="preserve">TRI net cible</t>
  </si>
  <si>
    <t xml:space="preserve">12 à 15 % (synthèse : 12 à 14 %)</t>
  </si>
  <si>
    <t xml:space="preserve">10 à 12 % (levered) ou 8 à 10 % (unlevered)</t>
  </si>
  <si>
    <t xml:space="preserve">Non chiffré au prospectus (synthèse : 10 à 12 %)</t>
  </si>
  <si>
    <t xml:space="preserve">Non chiffré au prospectus (synthèse : 8 à 10 %)</t>
  </si>
  <si>
    <t xml:space="preserve">Article 6</t>
  </si>
  <si>
    <t xml:space="preserve">Fonds USD non classé article 8 ; MSIG 3 (EUR) attendu article 8</t>
  </si>
  <si>
    <t xml:space="preserve">Article 8</t>
  </si>
  <si>
    <t xml:space="preserve">Prestataires</t>
  </si>
  <si>
    <t xml:space="preserve">AIFM Macquarie Asset Management Europe ; dépositaire J.P. Morgan SE ; PwC</t>
  </si>
  <si>
    <t xml:space="preserve">AIFM Macquarie Asset Management Credit Advisers US ; administrateur SEI ; aucun dépositaire AIFMD identifié</t>
  </si>
  <si>
    <t xml:space="preserve">AIFM Partners Group (Luxembourg) ; dépositaire Northern Trust ; PwC</t>
  </si>
  <si>
    <t xml:space="preserve">AIFM Ares Management Luxembourg ; dépositaire BNY Mellon ; EY</t>
  </si>
  <si>
    <t xml:space="preserve">INITIAL RISK PROFILE - scores par typologie (score / maximum atteignable), pondération 25 / 30 / 10 / 10 / 15 / 10</t>
  </si>
  <si>
    <t xml:space="preserve">Typologie</t>
  </si>
  <si>
    <t xml:space="preserve">Fonds (propre)</t>
  </si>
  <si>
    <t xml:space="preserve">Risque de marché</t>
  </si>
  <si>
    <t xml:space="preserve">10 / 13</t>
  </si>
  <si>
    <t xml:space="preserve">11 / 13</t>
  </si>
  <si>
    <t xml:space="preserve">Risque de liquidité</t>
  </si>
  <si>
    <t xml:space="preserve">4 / 4</t>
  </si>
  <si>
    <t xml:space="preserve">1 / 4</t>
  </si>
  <si>
    <t xml:space="preserve">3 / 4</t>
  </si>
  <si>
    <t xml:space="preserve">Risque de crédit</t>
  </si>
  <si>
    <t xml:space="preserve">2 / 2</t>
  </si>
  <si>
    <t xml:space="preserve">0 / 2</t>
  </si>
  <si>
    <t xml:space="preserve">Risque de contrepartie</t>
  </si>
  <si>
    <t xml:space="preserve">1 / 6</t>
  </si>
  <si>
    <t xml:space="preserve">2 / 6</t>
  </si>
  <si>
    <t xml:space="preserve">4 / 6</t>
  </si>
  <si>
    <t xml:space="preserve">5 / 6</t>
  </si>
  <si>
    <t xml:space="preserve">Risque opérationnel</t>
  </si>
  <si>
    <t xml:space="preserve">7 / 10</t>
  </si>
  <si>
    <t xml:space="preserve">8 / 10</t>
  </si>
  <si>
    <t xml:space="preserve">10 / 10</t>
  </si>
  <si>
    <t xml:space="preserve">Risque de levier</t>
  </si>
  <si>
    <t xml:space="preserve">0 / 3</t>
  </si>
  <si>
    <t xml:space="preserve">3 / 3</t>
  </si>
  <si>
    <t xml:space="preserve">Score pondéré (0 à 100)</t>
  </si>
  <si>
    <t xml:space="preserve">Score en transparence (pondéré par l'allocation, poche liquide à 0)</t>
  </si>
  <si>
    <t xml:space="preserve">Score en transparence rebasé hors poche liquide</t>
  </si>
  <si>
    <t xml:space="preserve">Échelle IRP : Faible 0 à 34, Moyen 34 à 56, Élevé 56 à 100. Les scores sont ceux du classeur Initial Risk Profile du 06/10/2026, recalculés ici à partir des scores par typologie ; les notations détaillées et sources figurent dans ce classeur.</t>
  </si>
  <si>
    <t xml:space="preserve">RECOMMANDATIONS DE LA FONCTION RISQUES ET DÉCISIONS SOUMISES AU COMITÉ</t>
  </si>
  <si>
    <t xml:space="preserve">Classées par urgence ; chaque recommandation indique l'instance compétente et le délai proposé.</t>
  </si>
  <si>
    <t xml:space="preserve">Recommandation</t>
  </si>
  <si>
    <t xml:space="preserve">Motif</t>
  </si>
  <si>
    <t xml:space="preserve">Instance</t>
  </si>
  <si>
    <t xml:space="preserve">Délai</t>
  </si>
  <si>
    <t xml:space="preserve">R1</t>
  </si>
  <si>
    <t xml:space="preserve">Recaler la note de liquidité et le classeur de stress tests sur le projet de prospectus du 30/09/2026</t>
  </si>
  <si>
    <t xml:space="preserve">Préavis de 91 jours (centralisation 31/03 et 30/09) et non 180 ; Demandes Prioritaires maintenues à l'art. 7.2.6 ; issue du différé après 4 dates à écrire.</t>
  </si>
  <si>
    <t xml:space="preserve">Fonction Risques</t>
  </si>
  <si>
    <t xml:space="preserve">Avant le dépôt du prospectus</t>
  </si>
  <si>
    <t xml:space="preserve">R2</t>
  </si>
  <si>
    <t xml:space="preserve">Trancher les onze écarts du registre des limites du prospectus</t>
  </si>
  <si>
    <t xml:space="preserve">Emprunt interdit mais supposé aux art. 3.1.1, 14.2 et 25.2.6 ; plancher de 15 % permanent sans clause de dépassement passif ; double plafond de 130 % ; assiette du plafonnement ; souscription au nominal ; durée de placement 10 ans contre 8 ans en synthèse ; barème de conseil.</t>
  </si>
  <si>
    <t xml:space="preserve">Société de Gestion, Conseiller, Paul Hastings</t>
  </si>
  <si>
    <t xml:space="preserve">R3</t>
  </si>
  <si>
    <t xml:space="preserve">Réintroduire au prospectus le niveau maximal de levier (brut et engagement)</t>
  </si>
  <si>
    <t xml:space="preserve">Art. 23 § 1 a) de la directive 2011/61/UE ; le projet du 30/09 l'a supprimé. Proposition : 100 % en engagement et en brut, trésorerie exclue.</t>
  </si>
  <si>
    <t xml:space="preserve">Société de Gestion</t>
  </si>
  <si>
    <t xml:space="preserve">R4</t>
  </si>
  <si>
    <t xml:space="preserve">Obtenir par écrit les dérogations de ticket minimum de MAPIF II et de MSIG 3 (10 M$ chacun)</t>
  </si>
  <si>
    <t xml:space="preserve">À 50 M€ d'encours cible, 34 % et 17 % représentent 17 et 8,5 M€ : l'allocation cible n'est pas constructible sans dérogation.</t>
  </si>
  <si>
    <t xml:space="preserve">Conseiller, puis Comité d'investissement</t>
  </si>
  <si>
    <t xml:space="preserve">Avant tout engagement</t>
  </si>
  <si>
    <t xml:space="preserve">R5</t>
  </si>
  <si>
    <t xml:space="preserve">Arrêter le véhicule et la manche de MSIG 3, et la classe de PG NGI</t>
  </si>
  <si>
    <t xml:space="preserve">USD ou EUR ; levered (≈ 350 % de levier, hurdle 8 %) ou unlevered ; classe I ou classe H couverte. Confirmer l'admission d'Openstone Infraworld comme Automatic Withdrawing Investor avant signature.</t>
  </si>
  <si>
    <t xml:space="preserve">Comité d'investissement, avis de la Fonction Risques</t>
  </si>
  <si>
    <t xml:space="preserve">R6</t>
  </si>
  <si>
    <t xml:space="preserve">Fixer des limites internes de concentration et de change</t>
  </si>
  <si>
    <t xml:space="preserve">Gérant unique 40 % de l'actif net (alerte 35 %) ; fonds cible 35 % (alerte 30 %) ; dollar non couvert 40 %. L'allocation cible (Macquarie 51 %, MAPIF II 34 %) devra être justifiée ou revue.</t>
  </si>
  <si>
    <t xml:space="preserve">Comité des risques</t>
  </si>
  <si>
    <t xml:space="preserve">Prochain comité</t>
  </si>
  <si>
    <t xml:space="preserve">R7</t>
  </si>
  <si>
    <t xml:space="preserve">Séquencer les engagements fermés pour que les appels à douze mois restent couverts</t>
  </si>
  <si>
    <t xml:space="preserve">Point de rupture du test inversé : appels de 12,5 % de l'actif net sur douze mois (non-appelé de 25 %). Rythme d'engagement et non-appelé plafonné à 15 % de l'actif net à la fin du blocage.</t>
  </si>
  <si>
    <t xml:space="preserve">Comité d'investissement</t>
  </si>
  <si>
    <t xml:space="preserve">À chaque engagement</t>
  </si>
  <si>
    <t xml:space="preserve">R8</t>
  </si>
  <si>
    <t xml:space="preserve">Caler la première fenêtre de rachat sur la fin de la déduction Ares (24 mois)</t>
  </si>
  <si>
    <t xml:space="preserve">Un rachat chez Ares avant 24 mois coûte 5 % de la ligne ; la première Date de Centralisation (31/03/2029 pour une constitution fin 2026) doit suivre les 24 mois de détention des parts Ares.</t>
  </si>
  <si>
    <t xml:space="preserve">Fonction Risques, gestion de trésorerie</t>
  </si>
  <si>
    <t xml:space="preserve">Au lancement</t>
  </si>
  <si>
    <t xml:space="preserve">R9</t>
  </si>
  <si>
    <t xml:space="preserve">Écrire la procédure de revue des valeurs liquidatives reçues</t>
  </si>
  <si>
    <t xml:space="preserve">Seuil de péremption des VL des fonds cibles (trimestrielles et décalées pour MAPIF II et MSIG 3), contrôle de cohérence, escalade en cas d'écart. Calendrier Annexe IV tenant compte de l'exercice MSIG 3 au 31/03.</t>
  </si>
  <si>
    <t xml:space="preserve">T4 2026</t>
  </si>
  <si>
    <t xml:space="preserve">R10</t>
  </si>
  <si>
    <t xml:space="preserve">Documenter la gestion du conflit d'intérêts du Conseiller</t>
  </si>
  <si>
    <t xml:space="preserve">Le Conseiller cumule conseil en investissement, distribution principale et faculté de révoquer la Société de Gestion (art. 3.1.2 à 3.1.5) ; accord préalable requis pour toute modification du prospectus.</t>
  </si>
  <si>
    <t xml:space="preserve">Dirigeants effectifs, Conformité</t>
  </si>
  <si>
    <t xml:space="preserve">R11</t>
  </si>
  <si>
    <t xml:space="preserve">Compléter le DIC et la synthèse commerciale</t>
  </si>
  <si>
    <t xml:space="preserve">SRI 4 à reporter au prospectus et à la synthèse ; durée de détention 10 ans ; commission de rachat « néant » alors que le prospectus mentionne des droits de sortie de 5 % avant 2 ans dans des versions antérieures.</t>
  </si>
  <si>
    <t xml:space="preserve">Société de Gestion, Conseiller</t>
  </si>
  <si>
    <t xml:space="preserve">Avant la commercialisation</t>
  </si>
  <si>
    <t xml:space="preserve">R12</t>
  </si>
  <si>
    <t xml:space="preserve">Rejouer les stress tests sur l'encours réel à chaque arrêté trimestriel et avant chaque décision de plafonnement</t>
  </si>
  <si>
    <t xml:space="preserve">Hypothèses du classeur à arrêter en Comité : collecte, non-appelé de départ, décote de cession, part des parts de distribution.</t>
  </si>
  <si>
    <t xml:space="preserve">Dès la première VL</t>
  </si>
  <si>
    <t xml:space="preserve">SIX DÉCISIONS SOUMISES AU COMITÉ DES RISQUES</t>
  </si>
  <si>
    <t xml:space="preserve">Recommandations</t>
  </si>
  <si>
    <t xml:space="preserve">Figer le texte de liquidité du prospectus avant dépôt</t>
  </si>
  <si>
    <t xml:space="preserve">Préavis 91 jours, Demandes Prioritaires, issue après 4 dates, assiette du plafonnement, clause de dépassement passif du plancher de 15 %.</t>
  </si>
  <si>
    <t xml:space="preserve">R1, R2</t>
  </si>
  <si>
    <t xml:space="preserve">Comité des risques puis Société de Gestion et Conseiller</t>
  </si>
  <si>
    <t xml:space="preserve">Avant le dépôt</t>
  </si>
  <si>
    <t xml:space="preserve">Réintroduire le levier maximal AIFM (100 % engagement et brut)</t>
  </si>
  <si>
    <t xml:space="preserve">Obligation de l'art. 23 § 1 a) de la directive ; sans emprunt ni dérivé, le niveau est sans coût.</t>
  </si>
  <si>
    <t xml:space="preserve">Conditionner tout engagement fermé aux dérogations écrites et aux choix de véhicule</t>
  </si>
  <si>
    <t xml:space="preserve">Dérogations de ticket MAPIF II et MSIG 3, confirmation AWI, manche et devise de MSIG 3, classe PG NGI.</t>
  </si>
  <si>
    <t xml:space="preserve">R4, R5</t>
  </si>
  <si>
    <t xml:space="preserve">Arrêter les limites internes KRI-08 à KRI-11</t>
  </si>
  <si>
    <t xml:space="preserve">Gérant 40 %, fonds cible 35 %, dollar non couvert 40 %, péremption des VL à 120 jours pour les fonds fermés.</t>
  </si>
  <si>
    <t xml:space="preserve">R6, R9</t>
  </si>
  <si>
    <t xml:space="preserve">Adopter la règle de séquencement des engagements et de la première fenêtre</t>
  </si>
  <si>
    <t xml:space="preserve">Appels à douze mois couverts par la poche ; non-appelé ≤ 15 % de l'actif net à la fin du blocage ; première centralisation après 24 mois de détention Ares.</t>
  </si>
  <si>
    <t xml:space="preserve">R7, R8</t>
  </si>
  <si>
    <t xml:space="preserve">Formaliser la gouvernance du Conseiller et la revue des VL reçues</t>
  </si>
  <si>
    <t xml:space="preserve">Cartographie du conflit conseil / distribution / révocation ; procédure de revue des VL et calendrier Annexe IV.</t>
  </si>
  <si>
    <t xml:space="preserve">R9, R10</t>
  </si>
  <si>
    <t xml:space="preserve">Dirigeants effectifs</t>
  </si>
  <si>
    <t xml:space="preserve">Les recommandations R11 et R12 sont suivies par la Fonction Risques sans décision du Comité. Les points entérinés sans débat : échelle de verdict de la charte, convention TTL (positions sans fenêtre garantie au-delà de 365 jours), scénarios de la note de liquidité § 6.</t>
  </si>
  <si>
    <t xml:space="preserve">SOURCES ET FRAÎCHEUR DES DONNÉES</t>
  </si>
  <si>
    <t xml:space="preserve">Chaque source, sa date, son ancienneté à la date d'arrêté et le seuil de péremption retenu.</t>
  </si>
  <si>
    <t xml:space="preserve">Ancienneté (j)</t>
  </si>
  <si>
    <t xml:space="preserve">Seuil (j)</t>
  </si>
  <si>
    <t xml:space="preserve">Usage dans le rapport</t>
  </si>
  <si>
    <t xml:space="preserve">Prospectus et Règlement Openstone Infraworld, projet</t>
  </si>
  <si>
    <t xml:space="preserve">Référentiel des limites, conditions de rachat, frais, gouvernance.</t>
  </si>
  <si>
    <t xml:space="preserve">Synthèse commerciale Openstone Infraworld v5.4</t>
  </si>
  <si>
    <t xml:space="preserve">Allocation cible, fonds sélectionnés, frais des fonds cibles, objectifs non garantis. Document de pré-commercialisation.</t>
  </si>
  <si>
    <t xml:space="preserve">Note de liquidité Openstone Infraworld</t>
  </si>
  <si>
    <t xml:space="preserve">Outils de gestion de la liquidité, seuils d'alerte, programme de simulations. Préavis de 180 jours à recaler.</t>
  </si>
  <si>
    <t xml:space="preserve">Classeur « Openstone Stress Test liquidité »</t>
  </si>
  <si>
    <t xml:space="preserve">Résultats des neuf scénarios et des tests inversés (onglet 3).</t>
  </si>
  <si>
    <t xml:space="preserve">Registre des limites du prospectus (25/09/2026) et liste des douze écarts</t>
  </si>
  <si>
    <t xml:space="preserve">Onglet 1 et recommandation R2.</t>
  </si>
  <si>
    <t xml:space="preserve">Initial Risk Profile Openstone Infraworld et quatre fonds cibles</t>
  </si>
  <si>
    <t xml:space="preserve">Scores IRP (onglet 4).</t>
  </si>
  <si>
    <t xml:space="preserve">Classeur « Openstone underlying funds risk and liquidity terms »</t>
  </si>
  <si>
    <t xml:space="preserve">Conditions des fonds cibles et vingt écarts documentaires (onglet 4).</t>
  </si>
  <si>
    <t xml:space="preserve">Documents d'informations clés PRIIPs, parts A1 à B3</t>
  </si>
  <si>
    <t xml:space="preserve">SRI 4, période de détention 10 ans, scénarios de performance, coûts.</t>
  </si>
  <si>
    <t xml:space="preserve">Prospectus AEFS SICAV, annexe 7 Ares Global Infrastructure ELTIF</t>
  </si>
  <si>
    <t xml:space="preserve">Termes Ares (visa CSSF du 11/08/2026).</t>
  </si>
  <si>
    <t xml:space="preserve">Prospectus Partners Group Evergreen SICAV, supplément 2</t>
  </si>
  <si>
    <t xml:space="preserve">Termes PG NGI (visa CSSF du 09/06/2026).</t>
  </si>
  <si>
    <t xml:space="preserve">PPM Macquarie Alliance Partners Infrastructure Fund II</t>
  </si>
  <si>
    <t xml:space="preserve">Termes MAPIF II ; LPA du 20/03/2026.</t>
  </si>
  <si>
    <t xml:space="preserve">PPM Macquarie Specialized Infrastructure Global 3 (USD)</t>
  </si>
  <si>
    <t xml:space="preserve">Termes MSIG 3 ; first closing non connu.</t>
  </si>
  <si>
    <t xml:space="preserve">Sources recensées</t>
  </si>
  <si>
    <t xml:space="preserve">Cadre : directive 2011/61/UE art. 15 et 16, modifiée par la directive (UE) 2024/927 (annexe V) ; règlement délégué (UE) 231/2013 art. 38 à 49 ; orientations ESMA 34-39-897 (simulations de crise de liquidité) ; instruction AMF DOC-2017-05 (plafonnement des rachats) ; règlement (UE) 1286/2014 PRIIPs ; art. L. 214-154 et suivants du CMF et 423-27 et suivants du RG AMF.</t>
  </si>
</sst>
</file>

<file path=xl/styles.xml><?xml version="1.0" encoding="utf-8"?>
<styleSheet xmlns="http://schemas.openxmlformats.org/spreadsheetml/2006/main">
  <numFmts count="14">
    <numFmt numFmtId="164" formatCode="General"/>
    <numFmt numFmtId="165" formatCode="General"/>
    <numFmt numFmtId="166" formatCode="0\ %"/>
    <numFmt numFmtId="167" formatCode="0"/>
    <numFmt numFmtId="168" formatCode="#\ ##0"/>
    <numFmt numFmtId="169" formatCode="0.0\x"/>
    <numFmt numFmtId="170" formatCode="0.0\ %"/>
    <numFmt numFmtId="171" formatCode="0.00"/>
    <numFmt numFmtId="172" formatCode="0.0"/>
    <numFmt numFmtId="173" formatCode="dd/mm/yyyy"/>
    <numFmt numFmtId="174" formatCode="#\ ##0.00"/>
    <numFmt numFmtId="175" formatCode="00\ %"/>
    <numFmt numFmtId="176" formatCode="000\ %"/>
    <numFmt numFmtId="177" formatCode="0.00\x"/>
  </numFmts>
  <fonts count="15">
    <font>
      <sz val="11"/>
      <color theme="1"/>
      <name val="Calibri"/>
      <family val="2"/>
      <charset val="1"/>
    </font>
    <font>
      <sz val="10"/>
      <name val="Arial"/>
      <family val="0"/>
    </font>
    <font>
      <sz val="10"/>
      <name val="Arial"/>
      <family val="0"/>
    </font>
    <font>
      <sz val="10"/>
      <name val="Arial"/>
      <family val="0"/>
    </font>
    <font>
      <b val="true"/>
      <sz val="9"/>
      <color rgb="FFFFFFFF"/>
      <name val="Calibri"/>
      <family val="0"/>
      <charset val="1"/>
    </font>
    <font>
      <sz val="9"/>
      <color rgb="FFB8C2C6"/>
      <name val="Calibri"/>
      <family val="0"/>
      <charset val="1"/>
    </font>
    <font>
      <sz val="9"/>
      <color rgb="FFFFFFFF"/>
      <name val="Calibri"/>
      <family val="0"/>
      <charset val="1"/>
    </font>
    <font>
      <b val="true"/>
      <sz val="9"/>
      <color rgb="FFB8C2C6"/>
      <name val="Calibri"/>
      <family val="0"/>
      <charset val="1"/>
    </font>
    <font>
      <sz val="9"/>
      <color rgb="FF6A7A85"/>
      <name val="Calibri"/>
      <family val="0"/>
      <charset val="1"/>
    </font>
    <font>
      <b val="true"/>
      <sz val="9"/>
      <color rgb="FF01313E"/>
      <name val="Calibri"/>
      <family val="0"/>
      <charset val="1"/>
    </font>
    <font>
      <b val="true"/>
      <sz val="9"/>
      <color rgb="FF0287AA"/>
      <name val="Calibri"/>
      <family val="0"/>
      <charset val="1"/>
    </font>
    <font>
      <sz val="9"/>
      <color rgb="FF1A2027"/>
      <name val="Calibri"/>
      <family val="0"/>
      <charset val="1"/>
    </font>
    <font>
      <sz val="9"/>
      <color rgb="FF01313E"/>
      <name val="Calibri"/>
      <family val="0"/>
      <charset val="1"/>
    </font>
    <font>
      <b val="true"/>
      <sz val="10"/>
      <color rgb="FF01313E"/>
      <name val="Calibri"/>
      <family val="0"/>
      <charset val="1"/>
    </font>
    <font>
      <b val="true"/>
      <sz val="9"/>
      <color rgb="FF1A2027"/>
      <name val="Calibri"/>
      <family val="0"/>
      <charset val="1"/>
    </font>
  </fonts>
  <fills count="6">
    <fill>
      <patternFill patternType="none"/>
    </fill>
    <fill>
      <patternFill patternType="gray125"/>
    </fill>
    <fill>
      <patternFill patternType="solid">
        <fgColor rgb="FF01313E"/>
        <bgColor rgb="FF1A2027"/>
      </patternFill>
    </fill>
    <fill>
      <patternFill patternType="solid">
        <fgColor rgb="FF0287AA"/>
        <bgColor rgb="FF008080"/>
      </patternFill>
    </fill>
    <fill>
      <patternFill patternType="solid">
        <fgColor rgb="FFFFF8F2"/>
        <bgColor rgb="FFFFFFFF"/>
      </patternFill>
    </fill>
    <fill>
      <patternFill patternType="solid">
        <fgColor rgb="FFD9F785"/>
        <bgColor rgb="FFCCFFCC"/>
      </patternFill>
    </fill>
  </fills>
  <borders count="3">
    <border diagonalUp="false" diagonalDown="false">
      <left/>
      <right/>
      <top/>
      <bottom/>
      <diagonal/>
    </border>
    <border diagonalUp="false" diagonalDown="false">
      <left/>
      <right/>
      <top/>
      <bottom style="medium">
        <color rgb="FF01313E"/>
      </bottom>
      <diagonal/>
    </border>
    <border diagonalUp="false" diagonalDown="false">
      <left/>
      <right/>
      <top/>
      <bottom style="thin">
        <color rgb="FFDCE5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5" fontId="11"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6" fontId="11" fillId="0" borderId="2" xfId="0" applyFont="true" applyBorder="true" applyAlignment="true" applyProtection="false">
      <alignment horizontal="center" vertical="center" textRotation="0" wrapText="true" indent="0" shrinkToFit="false"/>
      <protection locked="true" hidden="false"/>
    </xf>
    <xf numFmtId="167" fontId="11" fillId="0" borderId="2" xfId="0" applyFont="true" applyBorder="true" applyAlignment="true" applyProtection="false">
      <alignment horizontal="center" vertical="center" textRotation="0" wrapText="true" indent="0" shrinkToFit="false"/>
      <protection locked="true" hidden="false"/>
    </xf>
    <xf numFmtId="168" fontId="11" fillId="0"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9" fontId="11" fillId="0" borderId="2" xfId="0" applyFont="true" applyBorder="true" applyAlignment="true" applyProtection="false">
      <alignment horizontal="center" vertical="center" textRotation="0" wrapText="true" indent="0" shrinkToFit="false"/>
      <protection locked="true" hidden="false"/>
    </xf>
    <xf numFmtId="170" fontId="11" fillId="0" borderId="2" xfId="0" applyFont="true" applyBorder="true" applyAlignment="true" applyProtection="false">
      <alignment horizontal="center" vertical="center" textRotation="0" wrapText="true" indent="0" shrinkToFit="false"/>
      <protection locked="true" hidden="false"/>
    </xf>
    <xf numFmtId="171" fontId="11" fillId="0" borderId="2" xfId="0" applyFont="true" applyBorder="true" applyAlignment="true" applyProtection="false">
      <alignment horizontal="center" vertical="center" textRotation="0" wrapText="true" indent="0" shrinkToFit="false"/>
      <protection locked="true" hidden="false"/>
    </xf>
    <xf numFmtId="172" fontId="11" fillId="0" borderId="2" xfId="0" applyFont="true" applyBorder="true" applyAlignment="true" applyProtection="false">
      <alignment horizontal="center" vertical="center" textRotation="0" wrapText="true" indent="0" shrinkToFit="false"/>
      <protection locked="true" hidden="false"/>
    </xf>
    <xf numFmtId="173" fontId="11" fillId="0"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73" fontId="11" fillId="4" borderId="2" xfId="0" applyFont="true" applyBorder="true" applyAlignment="true" applyProtection="false">
      <alignment horizontal="left" vertical="top" textRotation="0" wrapText="true" indent="0" shrinkToFit="false"/>
      <protection locked="true" hidden="false"/>
    </xf>
    <xf numFmtId="168" fontId="11" fillId="4" borderId="2" xfId="0" applyFont="true" applyBorder="true" applyAlignment="true" applyProtection="false">
      <alignment horizontal="left" vertical="top" textRotation="0" wrapText="true" indent="0" shrinkToFit="false"/>
      <protection locked="true" hidden="false"/>
    </xf>
    <xf numFmtId="174" fontId="11" fillId="4" borderId="2" xfId="0" applyFont="true" applyBorder="true" applyAlignment="true" applyProtection="false">
      <alignment horizontal="left" vertical="top" textRotation="0" wrapText="true" indent="0" shrinkToFit="false"/>
      <protection locked="true" hidden="false"/>
    </xf>
    <xf numFmtId="166" fontId="11" fillId="4" borderId="2" xfId="0" applyFont="true" applyBorder="true" applyAlignment="true" applyProtection="false">
      <alignment horizontal="left" vertical="top" textRotation="0" wrapText="true" indent="0" shrinkToFit="false"/>
      <protection locked="true" hidden="false"/>
    </xf>
    <xf numFmtId="166" fontId="11" fillId="0"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75" fontId="11" fillId="4" borderId="2" xfId="0" applyFont="true" applyBorder="true" applyAlignment="true" applyProtection="false">
      <alignment horizontal="left" vertical="top" textRotation="0" wrapText="true" indent="0" shrinkToFit="false"/>
      <protection locked="true" hidden="false"/>
    </xf>
    <xf numFmtId="176" fontId="11" fillId="4" borderId="2" xfId="0" applyFont="true" applyBorder="true" applyAlignment="true" applyProtection="false">
      <alignment horizontal="left" vertical="top" textRotation="0" wrapText="true" indent="0" shrinkToFit="false"/>
      <protection locked="true" hidden="false"/>
    </xf>
    <xf numFmtId="176" fontId="11" fillId="0" borderId="2" xfId="0" applyFont="true" applyBorder="true" applyAlignment="true" applyProtection="false">
      <alignment horizontal="left" vertical="top" textRotation="0" wrapText="true" indent="0" shrinkToFit="false"/>
      <protection locked="true" hidden="false"/>
    </xf>
    <xf numFmtId="172" fontId="11" fillId="4" borderId="2" xfId="0" applyFont="true" applyBorder="true" applyAlignment="true" applyProtection="false">
      <alignment horizontal="left" vertical="top" textRotation="0" wrapText="true" indent="0" shrinkToFit="false"/>
      <protection locked="true" hidden="false"/>
    </xf>
    <xf numFmtId="167" fontId="11" fillId="0" borderId="2" xfId="0" applyFont="true" applyBorder="true" applyAlignment="true" applyProtection="false">
      <alignment horizontal="left" vertical="top" textRotation="0" wrapText="true" indent="0" shrinkToFit="false"/>
      <protection locked="true" hidden="false"/>
    </xf>
    <xf numFmtId="172" fontId="11" fillId="0" borderId="2" xfId="0" applyFont="true" applyBorder="true" applyAlignment="true" applyProtection="false">
      <alignment horizontal="left" vertical="top" textRotation="0" wrapText="true" indent="0" shrinkToFit="false"/>
      <protection locked="true" hidden="false"/>
    </xf>
    <xf numFmtId="167" fontId="11" fillId="4" borderId="2" xfId="0" applyFont="true" applyBorder="true" applyAlignment="true" applyProtection="false">
      <alignment horizontal="left" vertical="top" textRotation="0" wrapText="true" indent="0" shrinkToFit="false"/>
      <protection locked="true" hidden="false"/>
    </xf>
    <xf numFmtId="167" fontId="14" fillId="5" borderId="2" xfId="0" applyFont="true" applyBorder="true" applyAlignment="true" applyProtection="false">
      <alignment horizontal="left" vertical="top" textRotation="0" wrapText="true" indent="0" shrinkToFit="false"/>
      <protection locked="true" hidden="false"/>
    </xf>
    <xf numFmtId="166" fontId="14" fillId="5" borderId="2" xfId="0" applyFont="true" applyBorder="true" applyAlignment="true" applyProtection="false">
      <alignment horizontal="left" vertical="top" textRotation="0" wrapText="true" indent="0" shrinkToFit="false"/>
      <protection locked="true" hidden="false"/>
    </xf>
    <xf numFmtId="169" fontId="14" fillId="5" borderId="2" xfId="0" applyFont="true" applyBorder="true" applyAlignment="true" applyProtection="false">
      <alignment horizontal="left" vertical="top" textRotation="0" wrapText="true" indent="0" shrinkToFit="false"/>
      <protection locked="true" hidden="false"/>
    </xf>
    <xf numFmtId="169" fontId="11" fillId="0" borderId="2" xfId="0" applyFont="true" applyBorder="true" applyAlignment="true" applyProtection="false">
      <alignment horizontal="left" vertical="top" textRotation="0" wrapText="true" indent="0" shrinkToFit="false"/>
      <protection locked="true" hidden="false"/>
    </xf>
    <xf numFmtId="170" fontId="11" fillId="0" borderId="2" xfId="0" applyFont="true" applyBorder="true" applyAlignment="true" applyProtection="false">
      <alignment horizontal="left" vertical="top" textRotation="0" wrapText="true" indent="0" shrinkToFit="false"/>
      <protection locked="true" hidden="false"/>
    </xf>
    <xf numFmtId="177" fontId="11" fillId="4" borderId="2" xfId="0" applyFont="true" applyBorder="true" applyAlignment="true" applyProtection="false">
      <alignment horizontal="left" vertical="top" textRotation="0" wrapText="true" indent="0" shrinkToFit="false"/>
      <protection locked="true" hidden="false"/>
    </xf>
    <xf numFmtId="170" fontId="11" fillId="4" borderId="2" xfId="0" applyFont="true" applyBorder="true" applyAlignment="true" applyProtection="false">
      <alignment horizontal="left" vertical="top" textRotation="0" wrapText="true" indent="0" shrinkToFit="false"/>
      <protection locked="true" hidden="false"/>
    </xf>
    <xf numFmtId="171" fontId="11" fillId="4" borderId="2" xfId="0" applyFont="true" applyBorder="true" applyAlignment="true" applyProtection="false">
      <alignment horizontal="left" vertical="top" textRotation="0" wrapText="true" indent="0" shrinkToFit="false"/>
      <protection locked="true" hidden="false"/>
    </xf>
    <xf numFmtId="170" fontId="14" fillId="5" borderId="2" xfId="0" applyFont="true" applyBorder="true" applyAlignment="true" applyProtection="false">
      <alignment horizontal="left" vertical="top" textRotation="0" wrapText="true" indent="0" shrinkToFit="false"/>
      <protection locked="true" hidden="false"/>
    </xf>
    <xf numFmtId="172" fontId="14" fillId="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87AA"/>
      <rgbColor rgb="FFB8C2C6"/>
      <rgbColor rgb="FF6A7A85"/>
      <rgbColor rgb="FF9999FF"/>
      <rgbColor rgb="FF993366"/>
      <rgbColor rgb="FFFFF8F2"/>
      <rgbColor rgb="FFCCFFFF"/>
      <rgbColor rgb="FF660066"/>
      <rgbColor rgb="FFFF8080"/>
      <rgbColor rgb="FF0066CC"/>
      <rgbColor rgb="FFDCE5EA"/>
      <rgbColor rgb="FF000080"/>
      <rgbColor rgb="FFFF00FF"/>
      <rgbColor rgb="FFFFFF00"/>
      <rgbColor rgb="FF00FFFF"/>
      <rgbColor rgb="FF800080"/>
      <rgbColor rgb="FF800000"/>
      <rgbColor rgb="FF008080"/>
      <rgbColor rgb="FF0000FF"/>
      <rgbColor rgb="FF00CCFF"/>
      <rgbColor rgb="FFCCFFFF"/>
      <rgbColor rgb="FFCCFFCC"/>
      <rgbColor rgb="FFD9F785"/>
      <rgbColor rgb="FF99CCFF"/>
      <rgbColor rgb="FFFF99CC"/>
      <rgbColor rgb="FFCC99FF"/>
      <rgbColor rgb="FFFFCC99"/>
      <rgbColor rgb="FF3366FF"/>
      <rgbColor rgb="FF33CCCC"/>
      <rgbColor rgb="FF99CC00"/>
      <rgbColor rgb="FFFFCC00"/>
      <rgbColor rgb="FFFF9900"/>
      <rgbColor rgb="FFFF6600"/>
      <rgbColor rgb="FF666699"/>
      <rgbColor rgb="FF969696"/>
      <rgbColor rgb="FF01313E"/>
      <rgbColor rgb="FF339966"/>
      <rgbColor rgb="FF003300"/>
      <rgbColor rgb="FF333300"/>
      <rgbColor rgb="FF993300"/>
      <rgbColor rgb="FF993366"/>
      <rgbColor rgb="FF333399"/>
      <rgbColor rgb="FF1A202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6" min="3" style="0" width="15"/>
    <col collapsed="false" customWidth="true" hidden="false" outlineLevel="0" max="7" min="7" style="0" width="46"/>
    <col collapsed="false" customWidth="true" hidden="false" outlineLevel="0" max="8" min="8" style="0" width="2"/>
  </cols>
  <sheetData>
    <row r="1" customFormat="false" ht="19.5" hidden="false" customHeight="true" outlineLevel="0" collapsed="false">
      <c r="B1" s="1" t="s">
        <v>0</v>
      </c>
      <c r="C1" s="2"/>
      <c r="D1" s="2"/>
      <c r="E1" s="2"/>
      <c r="F1" s="2"/>
      <c r="G1" s="3" t="s">
        <v>1</v>
      </c>
      <c r="H1" s="4" t="s">
        <v>2</v>
      </c>
    </row>
    <row r="2" customFormat="false" ht="9.75" hidden="false" customHeight="true" outlineLevel="0" collapsed="false">
      <c r="B2" s="5"/>
      <c r="C2" s="5"/>
      <c r="D2" s="5"/>
      <c r="E2" s="5"/>
      <c r="F2" s="5"/>
      <c r="G2" s="5"/>
      <c r="H2" s="4" t="s">
        <v>3</v>
      </c>
    </row>
    <row r="3" customFormat="false" ht="21.75" hidden="false" customHeight="true" outlineLevel="0" collapsed="false">
      <c r="B3" s="6" t="s">
        <v>4</v>
      </c>
      <c r="C3" s="6"/>
      <c r="D3" s="6"/>
      <c r="E3" s="6"/>
      <c r="F3" s="6"/>
      <c r="G3" s="6"/>
      <c r="H3" s="4" t="s">
        <v>3</v>
      </c>
    </row>
    <row r="4" customFormat="false" ht="30" hidden="false" customHeight="true" outlineLevel="0" collapsed="false">
      <c r="B4" s="7" t="s">
        <v>5</v>
      </c>
      <c r="C4" s="7"/>
      <c r="D4" s="7"/>
      <c r="E4" s="7"/>
      <c r="F4" s="7"/>
      <c r="G4" s="7"/>
      <c r="H4" s="4" t="s">
        <v>3</v>
      </c>
    </row>
    <row r="5" customFormat="false" ht="30" hidden="false" customHeight="true" outlineLevel="0" collapsed="false">
      <c r="B5" s="5" t="s">
        <v>6</v>
      </c>
      <c r="C5" s="5"/>
      <c r="D5" s="5"/>
      <c r="E5" s="5"/>
      <c r="F5" s="5"/>
      <c r="G5" s="5"/>
      <c r="H5" s="4" t="s">
        <v>3</v>
      </c>
    </row>
    <row r="6" customFormat="false" ht="18" hidden="false" customHeight="true" outlineLevel="0" collapsed="false">
      <c r="B6" s="8" t="s">
        <v>7</v>
      </c>
      <c r="C6" s="8"/>
      <c r="D6" s="8"/>
      <c r="E6" s="8"/>
      <c r="F6" s="8"/>
      <c r="G6" s="8"/>
      <c r="H6" s="4" t="s">
        <v>3</v>
      </c>
    </row>
    <row r="7" customFormat="false" ht="7.5" hidden="false" customHeight="true" outlineLevel="0" collapsed="false">
      <c r="B7" s="5"/>
      <c r="C7" s="5"/>
      <c r="D7" s="5"/>
      <c r="E7" s="5"/>
      <c r="F7" s="5"/>
      <c r="G7" s="5"/>
      <c r="H7" s="4" t="s">
        <v>3</v>
      </c>
    </row>
    <row r="8" customFormat="false" ht="30" hidden="false" customHeight="true" outlineLevel="0" collapsed="false">
      <c r="B8" s="7" t="s">
        <v>8</v>
      </c>
      <c r="C8" s="7"/>
      <c r="D8" s="7"/>
      <c r="E8" s="7"/>
      <c r="F8" s="7"/>
      <c r="G8" s="7"/>
      <c r="H8" s="4" t="s">
        <v>3</v>
      </c>
    </row>
    <row r="9" customFormat="false" ht="18" hidden="false" customHeight="true" outlineLevel="0" collapsed="false">
      <c r="B9" s="8" t="s">
        <v>9</v>
      </c>
      <c r="C9" s="8"/>
      <c r="D9" s="8"/>
      <c r="E9" s="8"/>
      <c r="F9" s="8"/>
      <c r="G9" s="8"/>
      <c r="H9" s="4" t="s">
        <v>3</v>
      </c>
    </row>
    <row r="10" customFormat="false" ht="7.5" hidden="false" customHeight="true" outlineLevel="0" collapsed="false">
      <c r="B10" s="5"/>
      <c r="C10" s="5"/>
      <c r="D10" s="5"/>
      <c r="E10" s="5"/>
      <c r="F10" s="5"/>
      <c r="G10" s="5"/>
      <c r="H10" s="4" t="s">
        <v>3</v>
      </c>
    </row>
    <row r="11" customFormat="false" ht="15.75" hidden="false" customHeight="true" outlineLevel="0" collapsed="false">
      <c r="B11" s="6" t="s">
        <v>10</v>
      </c>
      <c r="C11" s="6"/>
      <c r="D11" s="6"/>
      <c r="E11" s="6"/>
      <c r="F11" s="6"/>
      <c r="G11" s="6"/>
      <c r="H11" s="4" t="s">
        <v>3</v>
      </c>
    </row>
    <row r="12" customFormat="false" ht="15.75" hidden="false" customHeight="true" outlineLevel="0" collapsed="false">
      <c r="B12" s="5" t="s">
        <v>11</v>
      </c>
      <c r="C12" s="5"/>
      <c r="D12" s="5"/>
      <c r="E12" s="5"/>
      <c r="F12" s="5"/>
      <c r="G12" s="5"/>
      <c r="H12" s="4" t="s">
        <v>3</v>
      </c>
    </row>
    <row r="13" customFormat="false" ht="15.75" hidden="false" customHeight="true" outlineLevel="0" collapsed="false">
      <c r="B13" s="6" t="s">
        <v>12</v>
      </c>
      <c r="C13" s="6"/>
      <c r="D13" s="6"/>
      <c r="E13" s="6"/>
      <c r="F13" s="6"/>
      <c r="G13" s="6"/>
      <c r="H13" s="4" t="s">
        <v>3</v>
      </c>
    </row>
    <row r="14" customFormat="false" ht="15.75" hidden="false" customHeight="true" outlineLevel="0" collapsed="false">
      <c r="B14" s="5" t="s">
        <v>13</v>
      </c>
      <c r="C14" s="5"/>
      <c r="D14" s="5"/>
      <c r="E14" s="5"/>
      <c r="F14" s="5"/>
      <c r="G14" s="5"/>
      <c r="H14" s="4" t="s">
        <v>3</v>
      </c>
    </row>
    <row r="15" customFormat="false" ht="15.75" hidden="false" customHeight="true" outlineLevel="0" collapsed="false">
      <c r="B15" s="6" t="s">
        <v>14</v>
      </c>
      <c r="C15" s="6"/>
      <c r="D15" s="6"/>
      <c r="E15" s="6"/>
      <c r="F15" s="6"/>
      <c r="G15" s="6"/>
      <c r="H15" s="4" t="s">
        <v>3</v>
      </c>
    </row>
    <row r="16" customFormat="false" ht="30" hidden="false" customHeight="true" outlineLevel="0" collapsed="false">
      <c r="B16" s="5" t="s">
        <v>15</v>
      </c>
      <c r="C16" s="5"/>
      <c r="D16" s="5"/>
      <c r="E16" s="5"/>
      <c r="F16" s="5"/>
      <c r="G16" s="5"/>
      <c r="H16" s="4" t="s">
        <v>3</v>
      </c>
    </row>
    <row r="17" customFormat="false" ht="15.75" hidden="false" customHeight="true" outlineLevel="0" collapsed="false">
      <c r="B17" s="6" t="s">
        <v>16</v>
      </c>
      <c r="C17" s="6"/>
      <c r="D17" s="6"/>
      <c r="E17" s="6"/>
      <c r="F17" s="6"/>
      <c r="G17" s="6"/>
      <c r="H17" s="4" t="s">
        <v>3</v>
      </c>
    </row>
    <row r="18" customFormat="false" ht="15.75" hidden="false" customHeight="true" outlineLevel="0" collapsed="false">
      <c r="B18" s="5" t="s">
        <v>17</v>
      </c>
      <c r="C18" s="5"/>
      <c r="D18" s="5"/>
      <c r="E18" s="5"/>
      <c r="F18" s="5"/>
      <c r="G18" s="5"/>
      <c r="H18" s="4" t="s">
        <v>3</v>
      </c>
    </row>
    <row r="19" customFormat="false" ht="7.5" hidden="false" customHeight="true" outlineLevel="0" collapsed="false">
      <c r="B19" s="5"/>
      <c r="C19" s="5"/>
      <c r="D19" s="5"/>
      <c r="E19" s="5"/>
      <c r="F19" s="5"/>
      <c r="G19" s="5"/>
      <c r="H19" s="4" t="s">
        <v>3</v>
      </c>
    </row>
    <row r="20" customFormat="false" ht="30" hidden="false" customHeight="true" outlineLevel="0" collapsed="false">
      <c r="B20" s="8" t="s">
        <v>18</v>
      </c>
      <c r="C20" s="8"/>
      <c r="D20" s="8"/>
      <c r="E20" s="8"/>
      <c r="F20" s="8"/>
      <c r="G20" s="8"/>
      <c r="H20" s="4" t="s">
        <v>3</v>
      </c>
    </row>
    <row r="21" customFormat="false" ht="9.75" hidden="false" customHeight="true" outlineLevel="0" collapsed="false">
      <c r="B21" s="5"/>
      <c r="C21" s="5"/>
      <c r="D21" s="5"/>
      <c r="E21" s="5"/>
      <c r="F21" s="5"/>
      <c r="G21" s="5"/>
      <c r="H21" s="4" t="s">
        <v>3</v>
      </c>
    </row>
    <row r="23" customFormat="false" ht="19.5" hidden="false" customHeight="true" outlineLevel="0" collapsed="false">
      <c r="B23" s="1" t="s">
        <v>0</v>
      </c>
      <c r="C23" s="2"/>
      <c r="D23" s="2"/>
      <c r="E23" s="2"/>
      <c r="F23" s="2"/>
      <c r="G23" s="3" t="s">
        <v>1</v>
      </c>
      <c r="H23" s="4" t="s">
        <v>2</v>
      </c>
    </row>
    <row r="24" customFormat="false" ht="21.75" hidden="false" customHeight="true" outlineLevel="0" collapsed="false">
      <c r="B24" s="9" t="s">
        <v>19</v>
      </c>
      <c r="C24" s="10"/>
      <c r="D24" s="10"/>
      <c r="E24" s="10"/>
      <c r="F24" s="10"/>
      <c r="G24" s="10"/>
      <c r="H24" s="4" t="s">
        <v>20</v>
      </c>
    </row>
    <row r="25" customFormat="false" ht="15.75" hidden="false" customHeight="true" outlineLevel="0" collapsed="false">
      <c r="B25" s="11" t="s">
        <v>21</v>
      </c>
      <c r="C25" s="10"/>
      <c r="D25" s="10"/>
      <c r="E25" s="10"/>
      <c r="F25" s="10"/>
      <c r="G25" s="10"/>
      <c r="H25" s="4" t="s">
        <v>22</v>
      </c>
    </row>
    <row r="27" customFormat="false" ht="25.5" hidden="false" customHeight="true" outlineLevel="0" collapsed="false">
      <c r="B27" s="12" t="s">
        <v>23</v>
      </c>
      <c r="C27" s="12"/>
      <c r="D27" s="12"/>
      <c r="E27" s="12"/>
      <c r="F27" s="12"/>
      <c r="G27" s="12"/>
      <c r="H27" s="4" t="s">
        <v>24</v>
      </c>
    </row>
    <row r="28" customFormat="false" ht="18" hidden="false" customHeight="true" outlineLevel="0" collapsed="false">
      <c r="B28" s="1" t="s">
        <v>25</v>
      </c>
      <c r="C28" s="13" t="s">
        <v>26</v>
      </c>
      <c r="D28" s="13" t="s">
        <v>27</v>
      </c>
      <c r="E28" s="13"/>
      <c r="F28" s="13"/>
      <c r="G28" s="1" t="s">
        <v>28</v>
      </c>
      <c r="H28" s="4" t="s">
        <v>29</v>
      </c>
    </row>
    <row r="29" customFormat="false" ht="30" hidden="false" customHeight="true" outlineLevel="0" collapsed="false">
      <c r="B29" s="14" t="s">
        <v>30</v>
      </c>
      <c r="C29" s="15" t="s">
        <v>31</v>
      </c>
      <c r="D29" s="16" t="str">
        <f aca="false">(ROUND((W_FERMES)*100,0)&amp;" %")&amp;" de l'actif sans fenêtre avant échéance ; écart actif-passif de "&amp;(ROUND(Ecart_TTL,0)&amp;"")&amp;" jours"</f>
        <v>51 % de l'actif sans fenêtre avant échéance ; écart actif-passif de 733 jours</v>
      </c>
      <c r="E29" s="16"/>
      <c r="F29" s="16"/>
      <c r="G29" s="17" t="s">
        <v>32</v>
      </c>
      <c r="H29" s="4" t="s">
        <v>33</v>
      </c>
    </row>
    <row r="30" customFormat="false" ht="30" hidden="false" customHeight="true" outlineLevel="0" collapsed="false">
      <c r="B30" s="14" t="s">
        <v>34</v>
      </c>
      <c r="C30" s="15" t="s">
        <v>31</v>
      </c>
      <c r="D30" s="16" t="str">
        <f aca="false">N_rouge&amp;" scénarios rouges sur "&amp;(N_vert+N_orange+N_rouge)&amp;" : rachats de 15 % puis 20 %, crise combinée ; point de rupture à "&amp;(SUBSTITUTE(ROUND((Rupture_rachats)*100,1)&amp;"",".",",")&amp;" %")&amp;" par date"</f>
        <v>2 scénarios rouges sur 8 : rachats de 15 % puis 20 %, crise combinée ; point de rupture à 7,5 % par date</v>
      </c>
      <c r="E30" s="16"/>
      <c r="F30" s="16"/>
      <c r="G30" s="17" t="s">
        <v>35</v>
      </c>
      <c r="H30" s="4" t="s">
        <v>33</v>
      </c>
    </row>
    <row r="31" customFormat="false" ht="30" hidden="false" customHeight="true" outlineLevel="0" collapsed="false">
      <c r="B31" s="14" t="s">
        <v>36</v>
      </c>
      <c r="C31" s="15" t="s">
        <v>31</v>
      </c>
      <c r="D31" s="16" t="str">
        <f aca="false">(ROUND((W_MACQ)*100,0)&amp;" %")&amp;" de l'allocation chez Macquarie, "&amp;(ROUND((W_MAPIF)*100,0)&amp;" %")&amp;" sur MAPIF II ; aucune limite au prospectus"</f>
        <v>51 % de l'allocation chez Macquarie, 34 % sur MAPIF II ; aucune limite au prospectus</v>
      </c>
      <c r="E31" s="16"/>
      <c r="F31" s="16"/>
      <c r="G31" s="17" t="s">
        <v>37</v>
      </c>
      <c r="H31" s="4" t="s">
        <v>33</v>
      </c>
    </row>
    <row r="32" customFormat="false" ht="30" hidden="false" customHeight="true" outlineLevel="0" collapsed="false">
      <c r="B32" s="14" t="s">
        <v>38</v>
      </c>
      <c r="C32" s="15" t="s">
        <v>39</v>
      </c>
      <c r="D32" s="16" t="str">
        <f aca="false">"Dollar non couvert de "&amp;(ROUND((W_USD_BAS)*100,0)&amp;" %")&amp;" à "&amp;(ROUND((W_USD_HAUT)*100,0)&amp;" %")&amp;" de l'actif ; VL trimestrielles décalées sur "&amp;(ROUND((W_FERMES)*100,0)&amp;" %")</f>
        <v>Dollar non couvert de 34 % à 68 % de l'actif ; VL trimestrielles décalées sur 51 %</v>
      </c>
      <c r="E32" s="16"/>
      <c r="F32" s="16"/>
      <c r="G32" s="17" t="s">
        <v>40</v>
      </c>
      <c r="H32" s="4" t="s">
        <v>33</v>
      </c>
    </row>
    <row r="33" customFormat="false" ht="30" hidden="false" customHeight="true" outlineLevel="0" collapsed="false">
      <c r="B33" s="14" t="s">
        <v>41</v>
      </c>
      <c r="C33" s="15" t="s">
        <v>31</v>
      </c>
      <c r="D33" s="16" t="str">
        <f aca="false">"Préavis 91 jours au prospectus contre 180 dans la note de liquidité ; "&amp;Lim_a_arreter&amp;" seuils à arrêter, "&amp;Lim_a_valider&amp;" à valider ; douze écarts au registre"</f>
        <v>Préavis 91 jours au prospectus contre 180 dans la note de liquidité ; 4 seuils à arrêter, 7 à valider ; douze écarts au registre</v>
      </c>
      <c r="E33" s="16"/>
      <c r="F33" s="16"/>
      <c r="G33" s="17" t="s">
        <v>42</v>
      </c>
      <c r="H33" s="4" t="s">
        <v>33</v>
      </c>
    </row>
    <row r="34" customFormat="false" ht="30" hidden="false" customHeight="true" outlineLevel="0" collapsed="false">
      <c r="B34" s="14" t="s">
        <v>43</v>
      </c>
      <c r="C34" s="15" t="s">
        <v>44</v>
      </c>
      <c r="D34" s="16" t="s">
        <v>45</v>
      </c>
      <c r="E34" s="16"/>
      <c r="F34" s="16"/>
      <c r="G34" s="17" t="s">
        <v>46</v>
      </c>
      <c r="H34" s="4" t="s">
        <v>33</v>
      </c>
    </row>
    <row r="36" customFormat="false" ht="18" hidden="false" customHeight="true" outlineLevel="0" collapsed="false">
      <c r="B36" s="12" t="s">
        <v>47</v>
      </c>
      <c r="C36" s="12"/>
      <c r="D36" s="12"/>
      <c r="E36" s="12"/>
      <c r="F36" s="12"/>
      <c r="G36" s="12"/>
      <c r="H36" s="4" t="s">
        <v>24</v>
      </c>
    </row>
    <row r="37" customFormat="false" ht="24" hidden="false" customHeight="true" outlineLevel="0" collapsed="false">
      <c r="B37" s="18" t="s">
        <v>48</v>
      </c>
      <c r="C37" s="18" t="s">
        <v>49</v>
      </c>
      <c r="D37" s="18" t="s">
        <v>50</v>
      </c>
      <c r="H37" s="4" t="s">
        <v>51</v>
      </c>
    </row>
    <row r="38" customFormat="false" ht="18" hidden="false" customHeight="true" outlineLevel="0" collapsed="false">
      <c r="B38" s="19" t="str">
        <f aca="false">(ROUND((W_FERMES)*100,0)&amp;" %")&amp;" de l'actif net"</f>
        <v>51 % de l'actif net</v>
      </c>
      <c r="C38" s="19" t="str">
        <f aca="false">(SUBSTITUTE(ROUND((Rupture_rachats)*100,1)&amp;"",".",",")&amp;" %")&amp;" par date"</f>
        <v>7,5 % par date</v>
      </c>
      <c r="D38" s="19" t="str">
        <f aca="false">(ROUND((W_MACQ)*100,0)&amp;" %")&amp;" de l'actif net"</f>
        <v>51 % de l'actif net</v>
      </c>
      <c r="H38" s="4" t="s">
        <v>52</v>
      </c>
    </row>
    <row r="39" customFormat="false" ht="33.75" hidden="false" customHeight="true" outlineLevel="0" collapsed="false">
      <c r="B39" s="18" t="str">
        <f aca="false">"MAPIF II et MSIG 3 ; délai moyen de liquidation de l'actif "&amp;(ROUND(TTL_actif,0)&amp;"")&amp;" jours contre "&amp;(ROUND(TTL_passif,0)&amp;"")&amp;" jours pour la sortie d'un porteur"</f>
        <v>MAPIF II et MSIG 3 ; délai moyen de liquidation de l'actif 964 jours contre 231 jours pour la sortie d'un porteur</v>
      </c>
      <c r="C39" s="18" t="str">
        <f aca="false">"Quatre dates plafonnées puis suspension fin 2030 ; sans plafonnement, "&amp;SUBSTITUTE(ROUND(Rupture_cession,1)&amp;"",".",",")&amp;" M€ de cessions secondaires - décisions 1 et 5"</f>
        <v>Quatre dates plafonnées puis suspension fin 2030 ; sans plafonnement, 5,2 M€ de cessions secondaires - décisions 1 et 5</v>
      </c>
      <c r="D39" s="18" t="str">
        <f aca="false">"Macquarie, deux fonds fermés dont un non lancé ; score IRP en transparence "&amp;SUBSTITUTE(ROUND(IRPc_Transp,1)&amp;"",".",",")&amp;" sur 100 - décision 4"</f>
        <v>Macquarie, deux fonds fermés dont un non lancé ; score IRP en transparence 62,1 sur 100 - décision 4</v>
      </c>
      <c r="H39" s="4" t="s">
        <v>53</v>
      </c>
    </row>
    <row r="41" customFormat="false" ht="18" hidden="false" customHeight="true" outlineLevel="0" collapsed="false">
      <c r="B41" s="12" t="s">
        <v>54</v>
      </c>
      <c r="C41" s="12"/>
      <c r="D41" s="12"/>
      <c r="E41" s="12"/>
      <c r="F41" s="12"/>
      <c r="G41" s="12"/>
      <c r="H41" s="4" t="s">
        <v>24</v>
      </c>
    </row>
    <row r="42" customFormat="false" ht="18" hidden="false" customHeight="true" outlineLevel="0" collapsed="false">
      <c r="B42" s="1" t="s">
        <v>55</v>
      </c>
      <c r="C42" s="13" t="s">
        <v>56</v>
      </c>
      <c r="D42" s="13"/>
      <c r="E42" s="13" t="s">
        <v>57</v>
      </c>
      <c r="F42" s="13"/>
      <c r="G42" s="1" t="s">
        <v>58</v>
      </c>
      <c r="H42" s="4" t="s">
        <v>29</v>
      </c>
    </row>
    <row r="43" customFormat="false" ht="43.5" hidden="false" customHeight="true" outlineLevel="0" collapsed="false">
      <c r="B43" s="20" t="s">
        <v>59</v>
      </c>
      <c r="C43" s="16" t="str">
        <f aca="false">Dec1</f>
        <v>Figer le texte de liquidité du prospectus avant dépôt</v>
      </c>
      <c r="D43" s="16"/>
      <c r="E43" s="16" t="str">
        <f aca="false">DecP1</f>
        <v>Préavis 91 jours, Demandes Prioritaires, issue après 4 dates, assiette du plafonnement, clause de dépassement passif du plancher de 15 %.</v>
      </c>
      <c r="F43" s="16"/>
      <c r="G43" s="17" t="str">
        <f aca="false">DecE1</f>
        <v>Avant le dépôt</v>
      </c>
      <c r="H43" s="4" t="s">
        <v>33</v>
      </c>
    </row>
    <row r="44" customFormat="false" ht="43.5" hidden="false" customHeight="true" outlineLevel="0" collapsed="false">
      <c r="B44" s="20" t="s">
        <v>60</v>
      </c>
      <c r="C44" s="16" t="str">
        <f aca="false">Dec2</f>
        <v>Réintroduire le levier maximal AIFM (100 % engagement et brut)</v>
      </c>
      <c r="D44" s="16"/>
      <c r="E44" s="16" t="str">
        <f aca="false">DecP2</f>
        <v>Obligation de l'art. 23 § 1 a) de la directive ; sans emprunt ni dérivé, le niveau est sans coût.</v>
      </c>
      <c r="F44" s="16"/>
      <c r="G44" s="17" t="str">
        <f aca="false">DecE2</f>
        <v>Avant le dépôt</v>
      </c>
      <c r="H44" s="4" t="s">
        <v>33</v>
      </c>
    </row>
    <row r="45" customFormat="false" ht="43.5" hidden="false" customHeight="true" outlineLevel="0" collapsed="false">
      <c r="B45" s="20" t="s">
        <v>61</v>
      </c>
      <c r="C45" s="16" t="str">
        <f aca="false">Dec3</f>
        <v>Conditionner tout engagement fermé aux dérogations écrites et aux choix de véhicule</v>
      </c>
      <c r="D45" s="16"/>
      <c r="E45" s="16" t="str">
        <f aca="false">DecP3</f>
        <v>Dérogations de ticket MAPIF II et MSIG 3, confirmation AWI, manche et devise de MSIG 3, classe PG NGI.</v>
      </c>
      <c r="F45" s="16"/>
      <c r="G45" s="17" t="str">
        <f aca="false">DecE3</f>
        <v>Avant tout engagement</v>
      </c>
      <c r="H45" s="4" t="s">
        <v>33</v>
      </c>
    </row>
    <row r="46" customFormat="false" ht="43.5" hidden="false" customHeight="true" outlineLevel="0" collapsed="false">
      <c r="B46" s="20" t="s">
        <v>62</v>
      </c>
      <c r="C46" s="16" t="str">
        <f aca="false">Dec4</f>
        <v>Arrêter les limites internes KRI-08 à KRI-11</v>
      </c>
      <c r="D46" s="16"/>
      <c r="E46" s="16" t="str">
        <f aca="false">DecP4</f>
        <v>Gérant 40 %, fonds cible 35 %, dollar non couvert 40 %, péremption des VL à 120 jours pour les fonds fermés.</v>
      </c>
      <c r="F46" s="16"/>
      <c r="G46" s="17" t="str">
        <f aca="false">DecE4</f>
        <v>Prochain comité</v>
      </c>
      <c r="H46" s="4" t="s">
        <v>33</v>
      </c>
    </row>
    <row r="47" customFormat="false" ht="43.5" hidden="false" customHeight="true" outlineLevel="0" collapsed="false">
      <c r="B47" s="20" t="s">
        <v>63</v>
      </c>
      <c r="C47" s="16" t="str">
        <f aca="false">Dec5</f>
        <v>Adopter la règle de séquencement des engagements et de la première fenêtre</v>
      </c>
      <c r="D47" s="16"/>
      <c r="E47" s="16" t="str">
        <f aca="false">DecP5</f>
        <v>Appels à douze mois couverts par la poche ; non-appelé ≤ 15 % de l'actif net à la fin du blocage ; première centralisation après 24 mois de détention Ares.</v>
      </c>
      <c r="F47" s="16"/>
      <c r="G47" s="17" t="str">
        <f aca="false">DecE5</f>
        <v>Au lancement</v>
      </c>
      <c r="H47" s="4" t="s">
        <v>33</v>
      </c>
    </row>
    <row r="48" customFormat="false" ht="43.5" hidden="false" customHeight="true" outlineLevel="0" collapsed="false">
      <c r="B48" s="20" t="s">
        <v>64</v>
      </c>
      <c r="C48" s="16" t="str">
        <f aca="false">Dec6</f>
        <v>Formaliser la gouvernance du Conseiller et la revue des VL reçues</v>
      </c>
      <c r="D48" s="16"/>
      <c r="E48" s="16" t="str">
        <f aca="false">DecP6</f>
        <v>Cartographie du conflit conseil / distribution / révocation ; procédure de revue des VL et calendrier Annexe IV.</v>
      </c>
      <c r="F48" s="16"/>
      <c r="G48" s="17" t="str">
        <f aca="false">DecE6</f>
        <v>T4 2026</v>
      </c>
      <c r="H48" s="4" t="s">
        <v>33</v>
      </c>
    </row>
    <row r="49" customFormat="false" ht="25.5" hidden="false" customHeight="true" outlineLevel="0" collapsed="false">
      <c r="B49" s="21" t="s">
        <v>65</v>
      </c>
      <c r="C49" s="21"/>
      <c r="D49" s="21"/>
      <c r="E49" s="21"/>
      <c r="F49" s="21"/>
      <c r="G49" s="21"/>
      <c r="H49" s="4" t="s">
        <v>66</v>
      </c>
    </row>
    <row r="51" customFormat="false" ht="19.5" hidden="false" customHeight="true" outlineLevel="0" collapsed="false">
      <c r="B51" s="1" t="s">
        <v>0</v>
      </c>
      <c r="C51" s="2"/>
      <c r="D51" s="2"/>
      <c r="E51" s="2"/>
      <c r="F51" s="2"/>
      <c r="G51" s="3" t="s">
        <v>1</v>
      </c>
      <c r="H51" s="4" t="s">
        <v>2</v>
      </c>
    </row>
    <row r="52" customFormat="false" ht="21.75" hidden="false" customHeight="true" outlineLevel="0" collapsed="false">
      <c r="B52" s="9" t="s">
        <v>67</v>
      </c>
      <c r="C52" s="10"/>
      <c r="D52" s="10"/>
      <c r="E52" s="10"/>
      <c r="F52" s="10"/>
      <c r="G52" s="10"/>
      <c r="H52" s="4" t="s">
        <v>20</v>
      </c>
    </row>
    <row r="53" customFormat="false" ht="15.75" hidden="false" customHeight="true" outlineLevel="0" collapsed="false">
      <c r="B53" s="11" t="s">
        <v>68</v>
      </c>
      <c r="C53" s="10"/>
      <c r="D53" s="10"/>
      <c r="E53" s="10"/>
      <c r="F53" s="10"/>
      <c r="G53" s="10"/>
      <c r="H53" s="4" t="s">
        <v>22</v>
      </c>
    </row>
    <row r="55" customFormat="false" ht="18" hidden="false" customHeight="true" outlineLevel="0" collapsed="false">
      <c r="B55" s="12" t="s">
        <v>69</v>
      </c>
      <c r="C55" s="12"/>
      <c r="D55" s="12"/>
      <c r="E55" s="12"/>
      <c r="F55" s="12"/>
      <c r="G55" s="12"/>
      <c r="H55" s="4" t="s">
        <v>24</v>
      </c>
    </row>
    <row r="56" customFormat="false" ht="103.5" hidden="false" customHeight="true" outlineLevel="0" collapsed="false">
      <c r="B56" s="21" t="str">
        <f aca="false">"À la date d'arrêté, le Fonds n'est pas constitué : aucune limite du prospectus n'est franchie ni testable. Le dispositif est cohérent sur le papier - ni emprunt ni dérivé, poche liquide de "&amp;(ROUND((Liq_min)*100,0)&amp;" %")&amp;" au moins, plafonnement de "&amp;(ROUND((Gate)*100,0)&amp;" %")&amp;" par date, prolongation du préavis et suspension - mais il repose sur un actif dont "&amp;(ROUND((W_FERMES)*100,0)&amp;" %")&amp;" ne se liquide qu'à l'échéance des fonds cibles. Les stress tests du 24/09/2026 donnent "&amp;N_vert&amp;" scénarios verts, "&amp;N_orange&amp;" orange et "&amp;N_rouge&amp;" rouges : le Fonds absorbe des rachats de 10 % par date au prix de quatre dates plafonnées, il ne résiste pas à 15 % puis 20 % ni à une crise combinée sans cessions et suspension. Trois chantiers conditionnent le lancement : figer le texte de liquidité (préavis, Demandes Prioritaires, issue du plafonnement), obtenir les dérogations de ticket des deux fonds Macquarie, et arrêter des limites internes de concentration et de change que le prospectus ne contient pas."</f>
        <v>À la date d'arrêté, le Fonds n'est pas constitué : aucune limite du prospectus n'est franchie ni testable. Le dispositif est cohérent sur le papier - ni emprunt ni dérivé, poche liquide de 15 % au moins, plafonnement de 5 % par date, prolongation du préavis et suspension - mais il repose sur un actif dont 51 % ne se liquide qu'à l'échéance des fonds cibles. Les stress tests du 24/09/2026 donnent 2 scénarios verts, 4 orange et 2 rouges : le Fonds absorbe des rachats de 10 % par date au prix de quatre dates plafonnées, il ne résiste pas à 15 % puis 20 % ni à une crise combinée sans cessions et suspension. Trois chantiers conditionnent le lancement : figer le texte de liquidité (préavis, Demandes Prioritaires, issue du plafonnement), obtenir les dérogations de ticket des deux fonds Macquarie, et arrêter des limites internes de concentration et de change que le prospectus ne contient pas.</v>
      </c>
      <c r="C56" s="21"/>
      <c r="D56" s="21"/>
      <c r="E56" s="21"/>
      <c r="F56" s="21"/>
      <c r="G56" s="21"/>
      <c r="H56" s="4" t="s">
        <v>66</v>
      </c>
    </row>
    <row r="58" customFormat="false" ht="24" hidden="false" customHeight="true" outlineLevel="0" collapsed="false">
      <c r="B58" s="18" t="s">
        <v>70</v>
      </c>
      <c r="C58" s="18" t="s">
        <v>71</v>
      </c>
      <c r="D58" s="18" t="s">
        <v>72</v>
      </c>
      <c r="E58" s="18" t="s">
        <v>73</v>
      </c>
      <c r="F58" s="18" t="s">
        <v>74</v>
      </c>
      <c r="H58" s="4" t="s">
        <v>51</v>
      </c>
    </row>
    <row r="59" customFormat="false" ht="18" hidden="false" customHeight="true" outlineLevel="0" collapsed="false">
      <c r="B59" s="19" t="str">
        <f aca="false">(ROUND(AN_cible/1000000,0)&amp;"")&amp;" M€"</f>
        <v>50 M€</v>
      </c>
      <c r="C59" s="19" t="str">
        <f aca="false">SUBSTITUTE(ROUND(Gate*AN_cible/1000000,1)&amp;"",".",",")&amp;" M€"</f>
        <v>2,5 M€</v>
      </c>
      <c r="D59" s="19" t="str">
        <f aca="false">SUBSTITUTE(ROUND(Couv_poche_gate,1)&amp;"",".",",")&amp;" x"</f>
        <v>3 x</v>
      </c>
      <c r="E59" s="19" t="str">
        <f aca="false">SUBSTITUTE(ROUND(IRPc_Fonds,1)&amp;"",".",",")&amp;" / 100"</f>
        <v>71,4 / 100</v>
      </c>
      <c r="F59" s="19" t="str">
        <f aca="false">SUBSTITUTE(ROUND(IRPc_Transp,1)&amp;"",".",",")&amp;" / 100"</f>
        <v>62,1 / 100</v>
      </c>
      <c r="H59" s="4" t="s">
        <v>52</v>
      </c>
    </row>
    <row r="60" customFormat="false" ht="33.75" hidden="false" customHeight="true" outlineLevel="0" collapsed="false">
      <c r="B60" s="18" t="s">
        <v>75</v>
      </c>
      <c r="C60" s="18" t="str">
        <f aca="false">"5 % de l'actif net, net des souscriptions - art. 7.2.6 ; "&amp;(ROUND((Gate_annuel)*100,0)&amp;" %")&amp;" par an au plus"</f>
        <v>5 % de l'actif net, net des souscriptions - art. 7.2.6 ; 10 % par an au plus</v>
      </c>
      <c r="D60" s="18" t="str">
        <f aca="false">"poche de "&amp;(ROUND((W_LIQ)*100,0)&amp;" %")&amp;" ; les fonds evergreen ajoutent "&amp;(SUBSTITUTE(ROUND((Cap_evergreen)*100,1)&amp;"",".",",")&amp;" %")&amp;" par semestre"</f>
        <v>poche de 15 % ; les fonds evergreen ajoutent 3,4 % par semestre</v>
      </c>
      <c r="E60" s="18" t="s">
        <v>76</v>
      </c>
      <c r="F60" s="18" t="str">
        <f aca="false">"Élevé - "&amp;SUBSTITUTE(ROUND(IRPc_Transp_hp,1)&amp;"",".",",")&amp;" hors poche liquide ; MAPIF II seul fonds cible noté Moyen"</f>
        <v>Élevé - 73,1 hors poche liquide ; MAPIF II seul fonds cible noté Moyen</v>
      </c>
      <c r="H60" s="4" t="s">
        <v>53</v>
      </c>
    </row>
    <row r="62" customFormat="false" ht="18" hidden="false" customHeight="true" outlineLevel="0" collapsed="false">
      <c r="B62" s="12" t="s">
        <v>77</v>
      </c>
      <c r="C62" s="12"/>
      <c r="D62" s="12"/>
      <c r="E62" s="12"/>
      <c r="F62" s="12"/>
      <c r="G62" s="12"/>
      <c r="H62" s="4" t="s">
        <v>24</v>
      </c>
    </row>
    <row r="63" customFormat="false" ht="18" hidden="false" customHeight="true" outlineLevel="0" collapsed="false">
      <c r="B63" s="1" t="s">
        <v>78</v>
      </c>
      <c r="C63" s="13" t="s">
        <v>79</v>
      </c>
      <c r="D63" s="13" t="s">
        <v>80</v>
      </c>
      <c r="E63" s="13" t="s">
        <v>81</v>
      </c>
      <c r="F63" s="13" t="s">
        <v>82</v>
      </c>
      <c r="G63" s="1" t="s">
        <v>83</v>
      </c>
      <c r="H63" s="4" t="s">
        <v>29</v>
      </c>
    </row>
    <row r="64" customFormat="false" ht="24" hidden="false" customHeight="true" outlineLevel="0" collapsed="false">
      <c r="B64" s="14" t="s">
        <v>84</v>
      </c>
      <c r="C64" s="22" t="n">
        <f aca="false">W_FERMES</f>
        <v>0.51</v>
      </c>
      <c r="D64" s="15" t="s">
        <v>85</v>
      </c>
      <c r="E64" s="15" t="s">
        <v>86</v>
      </c>
      <c r="F64" s="15" t="s">
        <v>87</v>
      </c>
      <c r="G64" s="17" t="s">
        <v>88</v>
      </c>
      <c r="H64" s="4" t="s">
        <v>33</v>
      </c>
    </row>
    <row r="65" customFormat="false" ht="24" hidden="false" customHeight="true" outlineLevel="0" collapsed="false">
      <c r="B65" s="14" t="s">
        <v>89</v>
      </c>
      <c r="C65" s="22" t="n">
        <f aca="false">W_EVER</f>
        <v>0.34</v>
      </c>
      <c r="D65" s="15" t="s">
        <v>90</v>
      </c>
      <c r="E65" s="15" t="s">
        <v>91</v>
      </c>
      <c r="F65" s="15" t="s">
        <v>90</v>
      </c>
      <c r="G65" s="17" t="s">
        <v>92</v>
      </c>
      <c r="H65" s="4" t="s">
        <v>33</v>
      </c>
    </row>
    <row r="66" customFormat="false" ht="24" hidden="false" customHeight="true" outlineLevel="0" collapsed="false">
      <c r="B66" s="14" t="s">
        <v>93</v>
      </c>
      <c r="C66" s="22" t="n">
        <f aca="false">W_MACQ</f>
        <v>0.51</v>
      </c>
      <c r="D66" s="15" t="s">
        <v>85</v>
      </c>
      <c r="E66" s="15" t="s">
        <v>86</v>
      </c>
      <c r="F66" s="15" t="s">
        <v>94</v>
      </c>
      <c r="G66" s="17" t="s">
        <v>95</v>
      </c>
      <c r="H66" s="4" t="s">
        <v>33</v>
      </c>
    </row>
    <row r="67" customFormat="false" ht="24" hidden="false" customHeight="true" outlineLevel="0" collapsed="false">
      <c r="B67" s="14" t="s">
        <v>96</v>
      </c>
      <c r="C67" s="22" t="n">
        <f aca="false">W_LIQ</f>
        <v>0.15</v>
      </c>
      <c r="D67" s="22" t="n">
        <f aca="false">Liq_min</f>
        <v>0.15</v>
      </c>
      <c r="E67" s="15" t="s">
        <v>97</v>
      </c>
      <c r="F67" s="15" t="s">
        <v>98</v>
      </c>
      <c r="G67" s="17" t="s">
        <v>99</v>
      </c>
      <c r="H67" s="4" t="s">
        <v>33</v>
      </c>
    </row>
    <row r="68" customFormat="false" ht="24" hidden="false" customHeight="true" outlineLevel="0" collapsed="false">
      <c r="B68" s="14" t="s">
        <v>100</v>
      </c>
      <c r="C68" s="15" t="str">
        <f aca="false">(ROUND((W_USD_BAS)*100,0)&amp;" %")&amp;" / "&amp;(ROUND((W_USD_HAUT)*100,0)&amp;" %")</f>
        <v>34 % / 68 %</v>
      </c>
      <c r="D68" s="15" t="s">
        <v>85</v>
      </c>
      <c r="E68" s="15" t="s">
        <v>86</v>
      </c>
      <c r="F68" s="15" t="s">
        <v>101</v>
      </c>
      <c r="G68" s="17" t="s">
        <v>102</v>
      </c>
      <c r="H68" s="4" t="s">
        <v>33</v>
      </c>
    </row>
    <row r="69" customFormat="false" ht="24" hidden="false" customHeight="true" outlineLevel="0" collapsed="false">
      <c r="B69" s="14" t="s">
        <v>103</v>
      </c>
      <c r="C69" s="22" t="n">
        <f aca="false">Surengagement_max</f>
        <v>1.3</v>
      </c>
      <c r="D69" s="22" t="n">
        <f aca="false">Surengagement_max</f>
        <v>1.3</v>
      </c>
      <c r="E69" s="15" t="s">
        <v>104</v>
      </c>
      <c r="F69" s="15" t="s">
        <v>105</v>
      </c>
      <c r="G69" s="17" t="s">
        <v>106</v>
      </c>
      <c r="H69" s="4" t="s">
        <v>33</v>
      </c>
    </row>
    <row r="70" customFormat="false" ht="24" hidden="false" customHeight="true" outlineLevel="0" collapsed="false">
      <c r="B70" s="14" t="s">
        <v>107</v>
      </c>
      <c r="C70" s="22" t="n">
        <f aca="false">Levier_max</f>
        <v>1</v>
      </c>
      <c r="D70" s="22" t="n">
        <f aca="false">Levier_max</f>
        <v>1</v>
      </c>
      <c r="E70" s="15" t="s">
        <v>108</v>
      </c>
      <c r="F70" s="15" t="s">
        <v>109</v>
      </c>
      <c r="G70" s="17" t="s">
        <v>110</v>
      </c>
      <c r="H70" s="4" t="s">
        <v>33</v>
      </c>
    </row>
    <row r="71" customFormat="false" ht="24" hidden="false" customHeight="true" outlineLevel="0" collapsed="false">
      <c r="B71" s="14" t="s">
        <v>111</v>
      </c>
      <c r="C71" s="23" t="n">
        <f aca="false">TTL_actif</f>
        <v>963.5</v>
      </c>
      <c r="D71" s="15" t="s">
        <v>90</v>
      </c>
      <c r="E71" s="15" t="s">
        <v>91</v>
      </c>
      <c r="F71" s="15" t="s">
        <v>112</v>
      </c>
      <c r="G71" s="17" t="str">
        <f aca="false">"jours ; "&amp;(ROUND(TTL_actif_stress,0)&amp;"")&amp;" jours en stress"</f>
        <v>jours ; 1024 jours en stress</v>
      </c>
      <c r="H71" s="4" t="s">
        <v>33</v>
      </c>
    </row>
    <row r="72" customFormat="false" ht="24" hidden="false" customHeight="true" outlineLevel="0" collapsed="false">
      <c r="B72" s="14" t="s">
        <v>113</v>
      </c>
      <c r="C72" s="23" t="n">
        <f aca="false">TTL_passif</f>
        <v>231</v>
      </c>
      <c r="D72" s="15" t="s">
        <v>90</v>
      </c>
      <c r="E72" s="15" t="s">
        <v>91</v>
      </c>
      <c r="F72" s="15" t="s">
        <v>112</v>
      </c>
      <c r="G72" s="17" t="str">
        <f aca="false">"jours ; "&amp;(ROUND(TTL_passif_prolonge,0)&amp;"")&amp;" jours avec préavis prolongé"</f>
        <v>jours ; 320 jours avec préavis prolongé</v>
      </c>
      <c r="H72" s="4" t="s">
        <v>33</v>
      </c>
    </row>
    <row r="73" customFormat="false" ht="24" hidden="false" customHeight="true" outlineLevel="0" collapsed="false">
      <c r="B73" s="14" t="s">
        <v>114</v>
      </c>
      <c r="C73" s="23" t="n">
        <f aca="false">Lim_depassees</f>
        <v>0</v>
      </c>
      <c r="D73" s="23" t="n">
        <v>0</v>
      </c>
      <c r="E73" s="15" t="str">
        <f aca="false">IF(Lim_depassees&lt;=0,"Conforme","Escalade")</f>
        <v>Conforme</v>
      </c>
      <c r="F73" s="15" t="s">
        <v>115</v>
      </c>
      <c r="G73" s="17" t="s">
        <v>116</v>
      </c>
      <c r="H73" s="4" t="s">
        <v>33</v>
      </c>
    </row>
    <row r="74" customFormat="false" ht="24" hidden="false" customHeight="true" outlineLevel="0" collapsed="false">
      <c r="B74" s="14" t="s">
        <v>117</v>
      </c>
      <c r="C74" s="23" t="n">
        <f aca="false">Lim_a_arreter+Lim_a_valider</f>
        <v>11</v>
      </c>
      <c r="D74" s="23" t="n">
        <v>0</v>
      </c>
      <c r="E74" s="15" t="s">
        <v>118</v>
      </c>
      <c r="F74" s="15" t="s">
        <v>115</v>
      </c>
      <c r="G74" s="17" t="str">
        <f aca="false">"dont "&amp;Lim_a_arreter&amp;" sans valeur proposée dans les documents"</f>
        <v>dont 4 sans valeur proposée dans les documents</v>
      </c>
      <c r="H74" s="4" t="s">
        <v>33</v>
      </c>
    </row>
    <row r="76" customFormat="false" ht="18" hidden="false" customHeight="true" outlineLevel="0" collapsed="false">
      <c r="B76" s="12" t="s">
        <v>119</v>
      </c>
      <c r="C76" s="12"/>
      <c r="D76" s="12"/>
      <c r="E76" s="12"/>
      <c r="F76" s="12"/>
      <c r="G76" s="12"/>
      <c r="H76" s="4" t="s">
        <v>24</v>
      </c>
    </row>
    <row r="77" customFormat="false" ht="18" hidden="false" customHeight="true" outlineLevel="0" collapsed="false">
      <c r="B77" s="1" t="s">
        <v>120</v>
      </c>
      <c r="C77" s="13" t="s">
        <v>121</v>
      </c>
      <c r="D77" s="13" t="s">
        <v>122</v>
      </c>
      <c r="E77" s="13"/>
      <c r="F77" s="13" t="s">
        <v>123</v>
      </c>
      <c r="G77" s="1"/>
      <c r="H77" s="4" t="s">
        <v>29</v>
      </c>
    </row>
    <row r="78" customFormat="false" ht="39.75" hidden="false" customHeight="true" outlineLevel="0" collapsed="false">
      <c r="B78" s="14" t="s">
        <v>124</v>
      </c>
      <c r="C78" s="15" t="s">
        <v>125</v>
      </c>
      <c r="D78" s="16" t="s">
        <v>126</v>
      </c>
      <c r="E78" s="16"/>
      <c r="F78" s="16" t="s">
        <v>127</v>
      </c>
      <c r="G78" s="16"/>
      <c r="H78" s="4" t="s">
        <v>33</v>
      </c>
    </row>
    <row r="79" customFormat="false" ht="39.75" hidden="false" customHeight="true" outlineLevel="0" collapsed="false">
      <c r="B79" s="14" t="s">
        <v>124</v>
      </c>
      <c r="C79" s="15" t="s">
        <v>128</v>
      </c>
      <c r="D79" s="16" t="s">
        <v>129</v>
      </c>
      <c r="E79" s="16"/>
      <c r="F79" s="16" t="s">
        <v>130</v>
      </c>
      <c r="G79" s="16"/>
      <c r="H79" s="4" t="s">
        <v>33</v>
      </c>
    </row>
    <row r="80" customFormat="false" ht="39.75" hidden="false" customHeight="true" outlineLevel="0" collapsed="false">
      <c r="B80" s="14" t="s">
        <v>124</v>
      </c>
      <c r="C80" s="15" t="s">
        <v>131</v>
      </c>
      <c r="D80" s="16" t="s">
        <v>132</v>
      </c>
      <c r="E80" s="16"/>
      <c r="F80" s="16" t="s">
        <v>133</v>
      </c>
      <c r="G80" s="16"/>
      <c r="H80" s="4" t="s">
        <v>33</v>
      </c>
    </row>
    <row r="81" customFormat="false" ht="27.75" hidden="false" customHeight="true" outlineLevel="0" collapsed="false">
      <c r="B81" s="14" t="s">
        <v>134</v>
      </c>
      <c r="C81" s="15" t="s">
        <v>135</v>
      </c>
      <c r="D81" s="16" t="s">
        <v>136</v>
      </c>
      <c r="E81" s="16"/>
      <c r="F81" s="16" t="s">
        <v>137</v>
      </c>
      <c r="G81" s="16"/>
      <c r="H81" s="4" t="s">
        <v>33</v>
      </c>
    </row>
    <row r="82" customFormat="false" ht="39.75" hidden="false" customHeight="true" outlineLevel="0" collapsed="false">
      <c r="B82" s="14" t="s">
        <v>134</v>
      </c>
      <c r="C82" s="15" t="s">
        <v>138</v>
      </c>
      <c r="D82" s="16" t="s">
        <v>139</v>
      </c>
      <c r="E82" s="16"/>
      <c r="F82" s="16" t="s">
        <v>140</v>
      </c>
      <c r="G82" s="16"/>
      <c r="H82" s="4" t="s">
        <v>33</v>
      </c>
    </row>
    <row r="83" customFormat="false" ht="12.75" hidden="false" customHeight="true" outlineLevel="0" collapsed="false">
      <c r="B83" s="21" t="s">
        <v>141</v>
      </c>
      <c r="C83" s="21"/>
      <c r="D83" s="21"/>
      <c r="E83" s="21"/>
      <c r="F83" s="21"/>
      <c r="G83" s="21"/>
      <c r="H83" s="4" t="s">
        <v>66</v>
      </c>
    </row>
    <row r="85" customFormat="false" ht="19.5" hidden="false" customHeight="true" outlineLevel="0" collapsed="false">
      <c r="B85" s="1" t="s">
        <v>0</v>
      </c>
      <c r="C85" s="2"/>
      <c r="D85" s="2"/>
      <c r="E85" s="2"/>
      <c r="F85" s="2"/>
      <c r="G85" s="3" t="s">
        <v>1</v>
      </c>
      <c r="H85" s="4" t="s">
        <v>2</v>
      </c>
    </row>
    <row r="86" customFormat="false" ht="21.75" hidden="false" customHeight="true" outlineLevel="0" collapsed="false">
      <c r="B86" s="9" t="s">
        <v>142</v>
      </c>
      <c r="C86" s="10"/>
      <c r="D86" s="10"/>
      <c r="E86" s="10"/>
      <c r="F86" s="10"/>
      <c r="G86" s="10"/>
      <c r="H86" s="4" t="s">
        <v>20</v>
      </c>
    </row>
    <row r="87" customFormat="false" ht="15.75" hidden="false" customHeight="true" outlineLevel="0" collapsed="false">
      <c r="B87" s="11" t="s">
        <v>143</v>
      </c>
      <c r="C87" s="10"/>
      <c r="D87" s="10"/>
      <c r="E87" s="10"/>
      <c r="F87" s="10"/>
      <c r="G87" s="10"/>
      <c r="H87" s="4" t="s">
        <v>22</v>
      </c>
    </row>
    <row r="89" customFormat="false" ht="25.5" hidden="false" customHeight="true" outlineLevel="0" collapsed="false">
      <c r="B89" s="12" t="s">
        <v>144</v>
      </c>
      <c r="C89" s="12"/>
      <c r="D89" s="12"/>
      <c r="E89" s="12"/>
      <c r="F89" s="12"/>
      <c r="G89" s="12"/>
      <c r="H89" s="4" t="s">
        <v>24</v>
      </c>
    </row>
    <row r="90" customFormat="false" ht="18" hidden="false" customHeight="true" outlineLevel="0" collapsed="false">
      <c r="B90" s="1" t="s">
        <v>145</v>
      </c>
      <c r="C90" s="13" t="s">
        <v>146</v>
      </c>
      <c r="D90" s="13" t="s">
        <v>147</v>
      </c>
      <c r="E90" s="13" t="s">
        <v>148</v>
      </c>
      <c r="F90" s="13" t="s">
        <v>149</v>
      </c>
      <c r="G90" s="1" t="s">
        <v>150</v>
      </c>
      <c r="H90" s="4" t="s">
        <v>29</v>
      </c>
    </row>
    <row r="91" customFormat="false" ht="24" hidden="false" customHeight="true" outlineLevel="0" collapsed="false">
      <c r="B91" s="14" t="s">
        <v>151</v>
      </c>
      <c r="C91" s="22" t="n">
        <f aca="false">W_MAPIF</f>
        <v>0.34</v>
      </c>
      <c r="D91" s="24" t="n">
        <f aca="false">W_MAPIF*AN_cible</f>
        <v>17000000</v>
      </c>
      <c r="E91" s="15" t="s">
        <v>152</v>
      </c>
      <c r="F91" s="15" t="s">
        <v>153</v>
      </c>
      <c r="G91" s="17" t="s">
        <v>154</v>
      </c>
      <c r="H91" s="4" t="s">
        <v>33</v>
      </c>
    </row>
    <row r="92" customFormat="false" ht="24" hidden="false" customHeight="true" outlineLevel="0" collapsed="false">
      <c r="B92" s="14" t="s">
        <v>155</v>
      </c>
      <c r="C92" s="22" t="n">
        <f aca="false">W_MSIG</f>
        <v>0.17</v>
      </c>
      <c r="D92" s="24" t="n">
        <f aca="false">W_MSIG*AN_cible</f>
        <v>8500000</v>
      </c>
      <c r="E92" s="15" t="s">
        <v>156</v>
      </c>
      <c r="F92" s="15" t="s">
        <v>157</v>
      </c>
      <c r="G92" s="17" t="s">
        <v>158</v>
      </c>
      <c r="H92" s="4" t="s">
        <v>33</v>
      </c>
    </row>
    <row r="93" customFormat="false" ht="24" hidden="false" customHeight="true" outlineLevel="0" collapsed="false">
      <c r="B93" s="14" t="s">
        <v>159</v>
      </c>
      <c r="C93" s="22" t="n">
        <f aca="false">W_PG</f>
        <v>0.17</v>
      </c>
      <c r="D93" s="24" t="n">
        <f aca="false">W_PG*AN_cible</f>
        <v>8500000</v>
      </c>
      <c r="E93" s="15" t="s">
        <v>160</v>
      </c>
      <c r="F93" s="15" t="s">
        <v>161</v>
      </c>
      <c r="G93" s="17" t="s">
        <v>162</v>
      </c>
      <c r="H93" s="4" t="s">
        <v>33</v>
      </c>
    </row>
    <row r="94" customFormat="false" ht="24" hidden="false" customHeight="true" outlineLevel="0" collapsed="false">
      <c r="B94" s="14" t="s">
        <v>163</v>
      </c>
      <c r="C94" s="22" t="n">
        <f aca="false">W_ARES</f>
        <v>0.17</v>
      </c>
      <c r="D94" s="24" t="n">
        <f aca="false">W_ARES*AN_cible</f>
        <v>8500000</v>
      </c>
      <c r="E94" s="15" t="s">
        <v>164</v>
      </c>
      <c r="F94" s="15" t="s">
        <v>165</v>
      </c>
      <c r="G94" s="17" t="s">
        <v>166</v>
      </c>
      <c r="H94" s="4" t="s">
        <v>33</v>
      </c>
    </row>
    <row r="95" customFormat="false" ht="24" hidden="false" customHeight="true" outlineLevel="0" collapsed="false">
      <c r="B95" s="14" t="s">
        <v>96</v>
      </c>
      <c r="C95" s="22" t="n">
        <f aca="false">W_LIQ</f>
        <v>0.15</v>
      </c>
      <c r="D95" s="24" t="n">
        <f aca="false">W_LIQ*AN_cible</f>
        <v>7500000</v>
      </c>
      <c r="E95" s="15" t="s">
        <v>167</v>
      </c>
      <c r="F95" s="15" t="s">
        <v>165</v>
      </c>
      <c r="G95" s="17" t="s">
        <v>168</v>
      </c>
      <c r="H95" s="4" t="s">
        <v>33</v>
      </c>
    </row>
    <row r="96" customFormat="false" ht="24" hidden="false" customHeight="true" outlineLevel="0" collapsed="false">
      <c r="B96" s="14" t="s">
        <v>169</v>
      </c>
      <c r="C96" s="22" t="n">
        <f aca="false">W_TOT</f>
        <v>1</v>
      </c>
      <c r="D96" s="24" t="n">
        <f aca="false">W_TOT*AN_cible</f>
        <v>50000000</v>
      </c>
      <c r="E96" s="15"/>
      <c r="F96" s="15"/>
      <c r="G96" s="17" t="s">
        <v>170</v>
      </c>
      <c r="H96" s="4" t="s">
        <v>33</v>
      </c>
    </row>
    <row r="98" customFormat="false" ht="18" hidden="false" customHeight="true" outlineLevel="0" collapsed="false">
      <c r="B98" s="12" t="s">
        <v>171</v>
      </c>
      <c r="C98" s="12"/>
      <c r="D98" s="12"/>
      <c r="E98" s="12"/>
      <c r="F98" s="12"/>
      <c r="G98" s="12"/>
      <c r="H98" s="4" t="s">
        <v>24</v>
      </c>
    </row>
    <row r="99" customFormat="false" ht="18" hidden="false" customHeight="true" outlineLevel="0" collapsed="false">
      <c r="B99" s="1" t="s">
        <v>172</v>
      </c>
      <c r="C99" s="13" t="s">
        <v>79</v>
      </c>
      <c r="D99" s="13"/>
      <c r="E99" s="13" t="s">
        <v>173</v>
      </c>
      <c r="F99" s="13" t="s">
        <v>83</v>
      </c>
      <c r="G99" s="1"/>
      <c r="H99" s="4" t="s">
        <v>29</v>
      </c>
    </row>
    <row r="100" customFormat="false" ht="30" hidden="false" customHeight="true" outlineLevel="0" collapsed="false">
      <c r="B100" s="14" t="s">
        <v>174</v>
      </c>
      <c r="C100" s="16" t="s">
        <v>175</v>
      </c>
      <c r="D100" s="16"/>
      <c r="E100" s="15" t="s">
        <v>176</v>
      </c>
      <c r="F100" s="16" t="str">
        <f aca="false">"Publication sous "&amp;Publication_JO&amp;" Jours Ouvrés ; VL du 31/12 certifiée, du 30/06 attestée"</f>
        <v>Publication sous 30 Jours Ouvrés ; VL du 31/12 certifiée, du 30/06 attestée</v>
      </c>
      <c r="G100" s="16"/>
      <c r="H100" s="4" t="s">
        <v>33</v>
      </c>
    </row>
    <row r="101" customFormat="false" ht="30" hidden="false" customHeight="true" outlineLevel="0" collapsed="false">
      <c r="B101" s="14" t="s">
        <v>177</v>
      </c>
      <c r="C101" s="16" t="s">
        <v>178</v>
      </c>
      <c r="D101" s="16"/>
      <c r="E101" s="15" t="s">
        <v>179</v>
      </c>
      <c r="F101" s="16" t="str">
        <f aca="false">"Centralisation "&amp;Centralisation_sous_JO&amp;" Jours Ouvrés avant la VL, paiement intégral ; au nominal tant que la VL est inférieure à 100 €"</f>
        <v>Centralisation 25 Jours Ouvrés avant la VL, paiement intégral ; au nominal tant que la VL est inférieure à 100 €</v>
      </c>
      <c r="G101" s="16"/>
      <c r="H101" s="4" t="s">
        <v>33</v>
      </c>
    </row>
    <row r="102" customFormat="false" ht="30" hidden="false" customHeight="true" outlineLevel="0" collapsed="false">
      <c r="B102" s="14" t="s">
        <v>180</v>
      </c>
      <c r="C102" s="16" t="s">
        <v>181</v>
      </c>
      <c r="D102" s="16"/>
      <c r="E102" s="15" t="s">
        <v>182</v>
      </c>
      <c r="F102" s="16" t="s">
        <v>183</v>
      </c>
      <c r="G102" s="16"/>
      <c r="H102" s="4" t="s">
        <v>33</v>
      </c>
    </row>
    <row r="103" customFormat="false" ht="30" hidden="false" customHeight="true" outlineLevel="0" collapsed="false">
      <c r="B103" s="14" t="s">
        <v>184</v>
      </c>
      <c r="C103" s="16" t="str">
        <f aca="false">"24 mois par souscription"</f>
        <v>24 mois par souscription</v>
      </c>
      <c r="D103" s="16"/>
      <c r="E103" s="15" t="s">
        <v>185</v>
      </c>
      <c r="F103" s="16" t="s">
        <v>186</v>
      </c>
      <c r="G103" s="16"/>
      <c r="H103" s="4" t="s">
        <v>33</v>
      </c>
    </row>
    <row r="104" customFormat="false" ht="30" hidden="false" customHeight="true" outlineLevel="0" collapsed="false">
      <c r="B104" s="14" t="s">
        <v>187</v>
      </c>
      <c r="C104" s="16" t="str">
        <f aca="false">"Environ "&amp;Preavis_j&amp;" jours ; prolongeable à "&amp;Preavis_max_j</f>
        <v>Environ 91 jours ; prolongeable à 180</v>
      </c>
      <c r="D104" s="16"/>
      <c r="E104" s="15" t="s">
        <v>188</v>
      </c>
      <c r="F104" s="16" t="s">
        <v>189</v>
      </c>
      <c r="G104" s="16"/>
      <c r="H104" s="4" t="s">
        <v>33</v>
      </c>
    </row>
    <row r="105" customFormat="false" ht="30" hidden="false" customHeight="true" outlineLevel="0" collapsed="false">
      <c r="B105" s="14" t="s">
        <v>190</v>
      </c>
      <c r="C105" s="16" t="str">
        <f aca="false">(ROUND((Gate)*100,0)&amp;" %")&amp;" de l'actif net par date, net des souscriptions"</f>
        <v>5 % de l'actif net par date, net des souscriptions</v>
      </c>
      <c r="D105" s="16"/>
      <c r="E105" s="15" t="s">
        <v>191</v>
      </c>
      <c r="F105" s="16" t="str">
        <f aca="false">"Report automatique, "&amp;Gate_dates&amp;" dates au plus ; Demandes Prioritaires après deux reports ; au-delà, texte muet"</f>
        <v>Report automatique, 4 dates au plus ; Demandes Prioritaires après deux reports ; au-delà, texte muet</v>
      </c>
      <c r="G105" s="16"/>
      <c r="H105" s="4" t="s">
        <v>33</v>
      </c>
    </row>
    <row r="106" customFormat="false" ht="30" hidden="false" customHeight="true" outlineLevel="0" collapsed="false">
      <c r="B106" s="14" t="s">
        <v>192</v>
      </c>
      <c r="C106" s="16" t="s">
        <v>193</v>
      </c>
      <c r="D106" s="16"/>
      <c r="E106" s="15" t="s">
        <v>194</v>
      </c>
      <c r="F106" s="16" t="s">
        <v>195</v>
      </c>
      <c r="G106" s="16"/>
      <c r="H106" s="4" t="s">
        <v>33</v>
      </c>
    </row>
    <row r="107" customFormat="false" ht="30" hidden="false" customHeight="true" outlineLevel="0" collapsed="false">
      <c r="B107" s="14" t="s">
        <v>196</v>
      </c>
      <c r="C107" s="16" t="str">
        <f aca="false">"Au plus "&amp;Reglement_JO&amp;" Jours Ouvrés après la VL"</f>
        <v>Au plus 35 Jours Ouvrés après la VL</v>
      </c>
      <c r="D107" s="16"/>
      <c r="E107" s="15" t="s">
        <v>197</v>
      </c>
      <c r="F107" s="16" t="s">
        <v>198</v>
      </c>
      <c r="G107" s="16"/>
      <c r="H107" s="4" t="s">
        <v>33</v>
      </c>
    </row>
    <row r="108" customFormat="false" ht="30" hidden="false" customHeight="true" outlineLevel="0" collapsed="false">
      <c r="B108" s="14" t="s">
        <v>199</v>
      </c>
      <c r="C108" s="16" t="s">
        <v>200</v>
      </c>
      <c r="D108" s="16"/>
      <c r="E108" s="15" t="s">
        <v>201</v>
      </c>
      <c r="F108" s="16" t="s">
        <v>202</v>
      </c>
      <c r="G108" s="16"/>
      <c r="H108" s="4" t="s">
        <v>33</v>
      </c>
    </row>
    <row r="109" customFormat="false" ht="30" hidden="false" customHeight="true" outlineLevel="0" collapsed="false">
      <c r="B109" s="14" t="s">
        <v>203</v>
      </c>
      <c r="C109" s="16" t="s">
        <v>204</v>
      </c>
      <c r="D109" s="16"/>
      <c r="E109" s="15" t="s">
        <v>205</v>
      </c>
      <c r="F109" s="16" t="s">
        <v>206</v>
      </c>
      <c r="G109" s="16"/>
      <c r="H109" s="4" t="s">
        <v>33</v>
      </c>
    </row>
    <row r="111" customFormat="false" ht="18" hidden="false" customHeight="true" outlineLevel="0" collapsed="false">
      <c r="B111" s="12" t="s">
        <v>207</v>
      </c>
      <c r="C111" s="12"/>
      <c r="D111" s="12"/>
      <c r="E111" s="12"/>
      <c r="F111" s="12"/>
      <c r="G111" s="12"/>
      <c r="H111" s="4" t="s">
        <v>24</v>
      </c>
    </row>
    <row r="112" customFormat="false" ht="18" hidden="false" customHeight="true" outlineLevel="0" collapsed="false">
      <c r="B112" s="1" t="s">
        <v>208</v>
      </c>
      <c r="C112" s="13" t="s">
        <v>209</v>
      </c>
      <c r="D112" s="13"/>
      <c r="E112" s="13" t="s">
        <v>210</v>
      </c>
      <c r="F112" s="13" t="s">
        <v>83</v>
      </c>
      <c r="G112" s="1"/>
      <c r="H112" s="4" t="s">
        <v>29</v>
      </c>
    </row>
    <row r="113" customFormat="false" ht="24" hidden="false" customHeight="true" outlineLevel="0" collapsed="false">
      <c r="B113" s="14" t="s">
        <v>211</v>
      </c>
      <c r="C113" s="16" t="s">
        <v>212</v>
      </c>
      <c r="D113" s="16"/>
      <c r="E113" s="15" t="s">
        <v>90</v>
      </c>
      <c r="F113" s="16" t="s">
        <v>213</v>
      </c>
      <c r="G113" s="16"/>
      <c r="H113" s="4" t="s">
        <v>33</v>
      </c>
    </row>
    <row r="114" customFormat="false" ht="24" hidden="false" customHeight="true" outlineLevel="0" collapsed="false">
      <c r="B114" s="14" t="s">
        <v>214</v>
      </c>
      <c r="C114" s="16" t="s">
        <v>215</v>
      </c>
      <c r="D114" s="16"/>
      <c r="E114" s="15" t="s">
        <v>216</v>
      </c>
      <c r="F114" s="16" t="s">
        <v>217</v>
      </c>
      <c r="G114" s="16"/>
      <c r="H114" s="4" t="s">
        <v>33</v>
      </c>
    </row>
    <row r="115" customFormat="false" ht="24" hidden="false" customHeight="true" outlineLevel="0" collapsed="false">
      <c r="B115" s="14" t="s">
        <v>218</v>
      </c>
      <c r="C115" s="16" t="s">
        <v>219</v>
      </c>
      <c r="D115" s="16"/>
      <c r="E115" s="15" t="s">
        <v>90</v>
      </c>
      <c r="F115" s="16" t="s">
        <v>220</v>
      </c>
      <c r="G115" s="16"/>
      <c r="H115" s="4" t="s">
        <v>33</v>
      </c>
    </row>
    <row r="116" customFormat="false" ht="24" hidden="false" customHeight="true" outlineLevel="0" collapsed="false">
      <c r="B116" s="14" t="s">
        <v>221</v>
      </c>
      <c r="C116" s="16" t="s">
        <v>222</v>
      </c>
      <c r="D116" s="16"/>
      <c r="E116" s="15" t="s">
        <v>223</v>
      </c>
      <c r="F116" s="16" t="s">
        <v>224</v>
      </c>
      <c r="G116" s="16"/>
      <c r="H116" s="4" t="s">
        <v>33</v>
      </c>
    </row>
    <row r="117" customFormat="false" ht="24" hidden="false" customHeight="true" outlineLevel="0" collapsed="false">
      <c r="B117" s="14" t="s">
        <v>225</v>
      </c>
      <c r="C117" s="16" t="s">
        <v>226</v>
      </c>
      <c r="D117" s="16"/>
      <c r="E117" s="15" t="s">
        <v>216</v>
      </c>
      <c r="F117" s="16" t="s">
        <v>227</v>
      </c>
      <c r="G117" s="16"/>
      <c r="H117" s="4" t="s">
        <v>33</v>
      </c>
    </row>
    <row r="118" customFormat="false" ht="12.75" hidden="false" customHeight="true" outlineLevel="0" collapsed="false">
      <c r="B118" s="21" t="s">
        <v>228</v>
      </c>
      <c r="C118" s="21"/>
      <c r="D118" s="21"/>
      <c r="E118" s="21"/>
      <c r="F118" s="21"/>
      <c r="G118" s="21"/>
      <c r="H118" s="4" t="s">
        <v>66</v>
      </c>
    </row>
    <row r="120" customFormat="false" ht="19.5" hidden="false" customHeight="true" outlineLevel="0" collapsed="false">
      <c r="B120" s="1" t="s">
        <v>0</v>
      </c>
      <c r="C120" s="2"/>
      <c r="D120" s="2"/>
      <c r="E120" s="2"/>
      <c r="F120" s="2"/>
      <c r="G120" s="3" t="s">
        <v>1</v>
      </c>
      <c r="H120" s="4" t="s">
        <v>2</v>
      </c>
    </row>
    <row r="121" customFormat="false" ht="21.75" hidden="false" customHeight="true" outlineLevel="0" collapsed="false">
      <c r="B121" s="9" t="s">
        <v>229</v>
      </c>
      <c r="C121" s="10"/>
      <c r="D121" s="10"/>
      <c r="E121" s="10"/>
      <c r="F121" s="10"/>
      <c r="G121" s="10"/>
      <c r="H121" s="4" t="s">
        <v>20</v>
      </c>
    </row>
    <row r="122" customFormat="false" ht="15.75" hidden="false" customHeight="true" outlineLevel="0" collapsed="false">
      <c r="B122" s="11" t="s">
        <v>230</v>
      </c>
      <c r="C122" s="10"/>
      <c r="D122" s="10"/>
      <c r="E122" s="10"/>
      <c r="F122" s="10"/>
      <c r="G122" s="10"/>
      <c r="H122" s="4" t="s">
        <v>22</v>
      </c>
    </row>
    <row r="124" customFormat="false" ht="25.5" hidden="false" customHeight="true" outlineLevel="0" collapsed="false">
      <c r="B124" s="12" t="s">
        <v>231</v>
      </c>
      <c r="C124" s="12"/>
      <c r="D124" s="12"/>
      <c r="E124" s="12"/>
      <c r="F124" s="12"/>
      <c r="G124" s="12"/>
      <c r="H124" s="4" t="s">
        <v>24</v>
      </c>
    </row>
    <row r="125" customFormat="false" ht="18" hidden="false" customHeight="true" outlineLevel="0" collapsed="false">
      <c r="B125" s="1" t="s">
        <v>232</v>
      </c>
      <c r="C125" s="13" t="s">
        <v>233</v>
      </c>
      <c r="D125" s="13" t="s">
        <v>147</v>
      </c>
      <c r="E125" s="13"/>
      <c r="F125" s="13" t="s">
        <v>234</v>
      </c>
      <c r="G125" s="1"/>
      <c r="H125" s="4" t="s">
        <v>29</v>
      </c>
    </row>
    <row r="126" customFormat="false" ht="19.5" hidden="false" customHeight="true" outlineLevel="0" collapsed="false">
      <c r="B126" s="14" t="s">
        <v>235</v>
      </c>
      <c r="C126" s="22" t="n">
        <v>0</v>
      </c>
      <c r="D126" s="24" t="n">
        <v>0</v>
      </c>
      <c r="E126" s="25"/>
      <c r="F126" s="25"/>
      <c r="G126" s="25"/>
      <c r="H126" s="4" t="s">
        <v>33</v>
      </c>
    </row>
    <row r="127" customFormat="false" ht="19.5" hidden="false" customHeight="true" outlineLevel="0" collapsed="false">
      <c r="B127" s="14" t="s">
        <v>236</v>
      </c>
      <c r="C127" s="22" t="n">
        <f aca="false">B_2_7</f>
        <v>0.15</v>
      </c>
      <c r="D127" s="24" t="n">
        <f aca="false">B_2_7*AN_cible</f>
        <v>7500000</v>
      </c>
      <c r="E127" s="25"/>
      <c r="F127" s="25"/>
      <c r="G127" s="25"/>
      <c r="H127" s="4" t="s">
        <v>33</v>
      </c>
    </row>
    <row r="128" customFormat="false" ht="19.5" hidden="false" customHeight="true" outlineLevel="0" collapsed="false">
      <c r="B128" s="14" t="s">
        <v>237</v>
      </c>
      <c r="C128" s="22" t="n">
        <v>0</v>
      </c>
      <c r="D128" s="24" t="n">
        <v>0</v>
      </c>
      <c r="E128" s="25"/>
      <c r="F128" s="25"/>
      <c r="G128" s="25"/>
      <c r="H128" s="4" t="s">
        <v>33</v>
      </c>
    </row>
    <row r="129" customFormat="false" ht="19.5" hidden="false" customHeight="true" outlineLevel="0" collapsed="false">
      <c r="B129" s="14" t="s">
        <v>238</v>
      </c>
      <c r="C129" s="22" t="n">
        <f aca="false">B_31_90</f>
        <v>0.17</v>
      </c>
      <c r="D129" s="24" t="n">
        <f aca="false">B_31_90*AN_cible</f>
        <v>8500000</v>
      </c>
      <c r="E129" s="25"/>
      <c r="F129" s="25"/>
      <c r="G129" s="25"/>
      <c r="H129" s="4" t="s">
        <v>33</v>
      </c>
    </row>
    <row r="130" customFormat="false" ht="19.5" hidden="false" customHeight="true" outlineLevel="0" collapsed="false">
      <c r="B130" s="14" t="s">
        <v>239</v>
      </c>
      <c r="C130" s="22" t="n">
        <f aca="false">B_91_180</f>
        <v>0.17</v>
      </c>
      <c r="D130" s="24" t="n">
        <f aca="false">B_91_180*AN_cible</f>
        <v>8500000</v>
      </c>
      <c r="E130" s="25"/>
      <c r="F130" s="25"/>
      <c r="G130" s="25"/>
      <c r="H130" s="4" t="s">
        <v>33</v>
      </c>
    </row>
    <row r="131" customFormat="false" ht="19.5" hidden="false" customHeight="true" outlineLevel="0" collapsed="false">
      <c r="B131" s="14" t="s">
        <v>240</v>
      </c>
      <c r="C131" s="22" t="n">
        <v>0</v>
      </c>
      <c r="D131" s="24" t="n">
        <v>0</v>
      </c>
      <c r="E131" s="25"/>
      <c r="F131" s="25"/>
      <c r="G131" s="25"/>
      <c r="H131" s="4" t="s">
        <v>33</v>
      </c>
    </row>
    <row r="132" customFormat="false" ht="19.5" hidden="false" customHeight="true" outlineLevel="0" collapsed="false">
      <c r="B132" s="14" t="s">
        <v>241</v>
      </c>
      <c r="C132" s="22" t="n">
        <f aca="false">B_365</f>
        <v>0.51</v>
      </c>
      <c r="D132" s="24" t="n">
        <f aca="false">B_365*AN_cible</f>
        <v>25500000</v>
      </c>
      <c r="E132" s="25"/>
      <c r="F132" s="25"/>
      <c r="G132" s="25"/>
      <c r="H132" s="4" t="s">
        <v>33</v>
      </c>
    </row>
    <row r="133" customFormat="false" ht="19.5" hidden="false" customHeight="true" outlineLevel="0" collapsed="false">
      <c r="B133" s="14" t="s">
        <v>169</v>
      </c>
      <c r="C133" s="22" t="n">
        <f aca="false">Buckets_total</f>
        <v>1</v>
      </c>
      <c r="D133" s="24" t="n">
        <f aca="false">Buckets_total*AN_cible</f>
        <v>50000000</v>
      </c>
      <c r="E133" s="25"/>
      <c r="F133" s="25"/>
      <c r="G133" s="25"/>
      <c r="H133" s="4" t="s">
        <v>33</v>
      </c>
    </row>
    <row r="135" customFormat="false" ht="18" hidden="false" customHeight="true" outlineLevel="0" collapsed="false">
      <c r="B135" s="12" t="s">
        <v>242</v>
      </c>
      <c r="C135" s="12"/>
      <c r="D135" s="12"/>
      <c r="E135" s="12"/>
      <c r="F135" s="12"/>
      <c r="G135" s="12"/>
      <c r="H135" s="4" t="s">
        <v>24</v>
      </c>
    </row>
    <row r="136" customFormat="false" ht="18" hidden="false" customHeight="true" outlineLevel="0" collapsed="false">
      <c r="B136" s="1" t="s">
        <v>243</v>
      </c>
      <c r="C136" s="13" t="s">
        <v>244</v>
      </c>
      <c r="D136" s="13" t="s">
        <v>245</v>
      </c>
      <c r="E136" s="13" t="s">
        <v>210</v>
      </c>
      <c r="F136" s="13" t="s">
        <v>246</v>
      </c>
      <c r="G136" s="1"/>
      <c r="H136" s="4" t="s">
        <v>29</v>
      </c>
    </row>
    <row r="137" customFormat="false" ht="30" hidden="false" customHeight="true" outlineLevel="0" collapsed="false">
      <c r="B137" s="14" t="s">
        <v>247</v>
      </c>
      <c r="C137" s="23" t="n">
        <f aca="false">TTL_actif</f>
        <v>963.5</v>
      </c>
      <c r="D137" s="23" t="n">
        <f aca="false">TTL_passif</f>
        <v>231</v>
      </c>
      <c r="E137" s="23" t="n">
        <f aca="false">Ecart_TTL</f>
        <v>732.5</v>
      </c>
      <c r="F137" s="16" t="s">
        <v>248</v>
      </c>
      <c r="G137" s="16"/>
      <c r="H137" s="4" t="s">
        <v>33</v>
      </c>
    </row>
    <row r="138" customFormat="false" ht="30" hidden="false" customHeight="true" outlineLevel="0" collapsed="false">
      <c r="B138" s="14" t="s">
        <v>249</v>
      </c>
      <c r="C138" s="23" t="n">
        <f aca="false">TTL_actif</f>
        <v>963.5</v>
      </c>
      <c r="D138" s="23" t="n">
        <f aca="false">TTL_passif_prolonge</f>
        <v>320</v>
      </c>
      <c r="E138" s="23" t="n">
        <f aca="false">TTL_actif-TTL_passif_prolonge</f>
        <v>643.5</v>
      </c>
      <c r="F138" s="16" t="s">
        <v>250</v>
      </c>
      <c r="G138" s="16"/>
      <c r="H138" s="4" t="s">
        <v>33</v>
      </c>
    </row>
    <row r="139" customFormat="false" ht="30" hidden="false" customHeight="true" outlineLevel="0" collapsed="false">
      <c r="B139" s="14" t="s">
        <v>251</v>
      </c>
      <c r="C139" s="23" t="n">
        <f aca="false">TTL_actif_stress</f>
        <v>1023.6</v>
      </c>
      <c r="D139" s="23" t="n">
        <f aca="false">TTL_passif_min</f>
        <v>140</v>
      </c>
      <c r="E139" s="23" t="n">
        <f aca="false">TTL_actif_stress-TTL_passif_min</f>
        <v>883.6</v>
      </c>
      <c r="F139" s="16" t="s">
        <v>252</v>
      </c>
      <c r="G139" s="16"/>
      <c r="H139" s="4" t="s">
        <v>33</v>
      </c>
    </row>
    <row r="141" customFormat="false" ht="18" hidden="false" customHeight="true" outlineLevel="0" collapsed="false">
      <c r="B141" s="12" t="s">
        <v>253</v>
      </c>
      <c r="C141" s="12"/>
      <c r="D141" s="12"/>
      <c r="E141" s="12"/>
      <c r="F141" s="12"/>
      <c r="G141" s="12"/>
      <c r="H141" s="4" t="s">
        <v>24</v>
      </c>
    </row>
    <row r="142" customFormat="false" ht="18" hidden="false" customHeight="true" outlineLevel="0" collapsed="false">
      <c r="B142" s="1" t="s">
        <v>78</v>
      </c>
      <c r="C142" s="13" t="s">
        <v>79</v>
      </c>
      <c r="D142" s="13" t="s">
        <v>254</v>
      </c>
      <c r="E142" s="13" t="s">
        <v>81</v>
      </c>
      <c r="F142" s="13" t="s">
        <v>255</v>
      </c>
      <c r="G142" s="1"/>
      <c r="H142" s="4" t="s">
        <v>29</v>
      </c>
    </row>
    <row r="143" customFormat="false" ht="24" hidden="false" customHeight="true" outlineLevel="0" collapsed="false">
      <c r="B143" s="14" t="s">
        <v>256</v>
      </c>
      <c r="C143" s="26" t="n">
        <f aca="false">Couv_poche_gate</f>
        <v>3</v>
      </c>
      <c r="D143" s="26" t="n">
        <f aca="false">Couv_poche_gate_c</f>
        <v>1.5</v>
      </c>
      <c r="E143" s="15" t="str">
        <f aca="false">Couv_poche_gate_s</f>
        <v>Respectée</v>
      </c>
      <c r="F143" s="16" t="s">
        <v>257</v>
      </c>
      <c r="G143" s="16"/>
      <c r="H143" s="4" t="s">
        <v>33</v>
      </c>
    </row>
    <row r="144" customFormat="false" ht="24" hidden="false" customHeight="true" outlineLevel="0" collapsed="false">
      <c r="B144" s="14" t="s">
        <v>258</v>
      </c>
      <c r="C144" s="26" t="n">
        <f aca="false">Couv_poche_annuel</f>
        <v>1.5</v>
      </c>
      <c r="D144" s="26" t="n">
        <f aca="false">Couv_poche_annuel_c</f>
        <v>1</v>
      </c>
      <c r="E144" s="15" t="str">
        <f aca="false">Couv_poche_annuel_s</f>
        <v>Respectée</v>
      </c>
      <c r="F144" s="16" t="s">
        <v>259</v>
      </c>
      <c r="G144" s="16"/>
      <c r="H144" s="4" t="s">
        <v>33</v>
      </c>
    </row>
    <row r="145" customFormat="false" ht="24" hidden="false" customHeight="true" outlineLevel="0" collapsed="false">
      <c r="B145" s="14" t="s">
        <v>260</v>
      </c>
      <c r="C145" s="26" t="n">
        <f aca="false">Couv_evergreen_gate</f>
        <v>0.68</v>
      </c>
      <c r="D145" s="26" t="n">
        <f aca="false">Couv_evergreen_gate_c</f>
        <v>1</v>
      </c>
      <c r="E145" s="15" t="str">
        <f aca="false">Couv_evergreen_gate_s</f>
        <v>Surveillance</v>
      </c>
      <c r="F145" s="16" t="str">
        <f aca="false">"Deux trimestres à 5 % de PG NGI et Ares : "&amp;(SUBSTITUTE(ROUND((Cap_evergreen)*100,1)&amp;"",".",",")&amp;" %")&amp;" de l'actif net par semestre"</f>
        <v>Deux trimestres à 5 % de PG NGI et Ares : 3,4 % de l'actif net par semestre</v>
      </c>
      <c r="G145" s="16"/>
      <c r="H145" s="4" t="s">
        <v>33</v>
      </c>
    </row>
    <row r="146" customFormat="false" ht="24" hidden="false" customHeight="true" outlineLevel="0" collapsed="false">
      <c r="B146" s="14" t="s">
        <v>261</v>
      </c>
      <c r="C146" s="26" t="n">
        <f aca="false">Ressources_12m</f>
        <v>2.96</v>
      </c>
      <c r="D146" s="26" t="n">
        <f aca="false">Ressources_12m_c</f>
        <v>1.5</v>
      </c>
      <c r="E146" s="15" t="str">
        <f aca="false">Ressources_12m_s</f>
        <v>Respectée</v>
      </c>
      <c r="F146" s="16" t="s">
        <v>262</v>
      </c>
      <c r="G146" s="16"/>
      <c r="H146" s="4" t="s">
        <v>33</v>
      </c>
    </row>
    <row r="147" customFormat="false" ht="24" hidden="false" customHeight="true" outlineLevel="0" collapsed="false">
      <c r="B147" s="14" t="s">
        <v>263</v>
      </c>
      <c r="C147" s="26" t="n">
        <f aca="false">Couv_12m</f>
        <v>2.38</v>
      </c>
      <c r="D147" s="26" t="n">
        <f aca="false">Couv_12m_c</f>
        <v>1.5</v>
      </c>
      <c r="E147" s="15" t="str">
        <f aca="false">Couv_12m_s</f>
        <v>Respectée</v>
      </c>
      <c r="F147" s="16" t="s">
        <v>264</v>
      </c>
      <c r="G147" s="16"/>
      <c r="H147" s="4" t="s">
        <v>33</v>
      </c>
    </row>
    <row r="149" customFormat="false" ht="18" hidden="false" customHeight="true" outlineLevel="0" collapsed="false">
      <c r="B149" s="12" t="s">
        <v>265</v>
      </c>
      <c r="C149" s="12"/>
      <c r="D149" s="12"/>
      <c r="E149" s="12"/>
      <c r="F149" s="12"/>
      <c r="G149" s="12"/>
      <c r="H149" s="4" t="s">
        <v>24</v>
      </c>
    </row>
    <row r="150" customFormat="false" ht="18" hidden="false" customHeight="true" outlineLevel="0" collapsed="false">
      <c r="B150" s="1" t="s">
        <v>266</v>
      </c>
      <c r="C150" s="13" t="s">
        <v>267</v>
      </c>
      <c r="D150" s="13"/>
      <c r="E150" s="13" t="s">
        <v>268</v>
      </c>
      <c r="F150" s="13"/>
      <c r="G150" s="1" t="s">
        <v>269</v>
      </c>
      <c r="H150" s="4" t="s">
        <v>29</v>
      </c>
    </row>
    <row r="151" customFormat="false" ht="30" hidden="false" customHeight="true" outlineLevel="0" collapsed="false">
      <c r="B151" s="14" t="s">
        <v>270</v>
      </c>
      <c r="C151" s="16" t="s">
        <v>271</v>
      </c>
      <c r="D151" s="16"/>
      <c r="E151" s="16" t="s">
        <v>272</v>
      </c>
      <c r="F151" s="16"/>
      <c r="G151" s="17" t="s">
        <v>273</v>
      </c>
      <c r="H151" s="4" t="s">
        <v>33</v>
      </c>
    </row>
    <row r="152" customFormat="false" ht="39.75" hidden="false" customHeight="true" outlineLevel="0" collapsed="false">
      <c r="B152" s="14" t="s">
        <v>274</v>
      </c>
      <c r="C152" s="16" t="s">
        <v>275</v>
      </c>
      <c r="D152" s="16"/>
      <c r="E152" s="16" t="s">
        <v>276</v>
      </c>
      <c r="F152" s="16"/>
      <c r="G152" s="17" t="s">
        <v>277</v>
      </c>
      <c r="H152" s="4" t="s">
        <v>33</v>
      </c>
    </row>
    <row r="153" customFormat="false" ht="30" hidden="false" customHeight="true" outlineLevel="0" collapsed="false">
      <c r="B153" s="14" t="s">
        <v>278</v>
      </c>
      <c r="C153" s="16" t="s">
        <v>279</v>
      </c>
      <c r="D153" s="16"/>
      <c r="E153" s="16" t="s">
        <v>280</v>
      </c>
      <c r="F153" s="16"/>
      <c r="G153" s="17" t="s">
        <v>281</v>
      </c>
      <c r="H153" s="4" t="s">
        <v>33</v>
      </c>
    </row>
    <row r="154" customFormat="false" ht="30" hidden="false" customHeight="true" outlineLevel="0" collapsed="false">
      <c r="B154" s="14" t="s">
        <v>282</v>
      </c>
      <c r="C154" s="16" t="s">
        <v>283</v>
      </c>
      <c r="D154" s="16"/>
      <c r="E154" s="16" t="s">
        <v>284</v>
      </c>
      <c r="F154" s="16"/>
      <c r="G154" s="17" t="s">
        <v>285</v>
      </c>
      <c r="H154" s="4" t="s">
        <v>33</v>
      </c>
    </row>
    <row r="156" customFormat="false" ht="19.5" hidden="false" customHeight="true" outlineLevel="0" collapsed="false">
      <c r="B156" s="1" t="s">
        <v>0</v>
      </c>
      <c r="C156" s="2"/>
      <c r="D156" s="2"/>
      <c r="E156" s="2"/>
      <c r="F156" s="2"/>
      <c r="G156" s="3" t="s">
        <v>1</v>
      </c>
      <c r="H156" s="4" t="s">
        <v>2</v>
      </c>
    </row>
    <row r="157" customFormat="false" ht="21.75" hidden="false" customHeight="true" outlineLevel="0" collapsed="false">
      <c r="B157" s="9" t="s">
        <v>286</v>
      </c>
      <c r="C157" s="10"/>
      <c r="D157" s="10"/>
      <c r="E157" s="10"/>
      <c r="F157" s="10"/>
      <c r="G157" s="10"/>
      <c r="H157" s="4" t="s">
        <v>20</v>
      </c>
    </row>
    <row r="158" customFormat="false" ht="15.75" hidden="false" customHeight="true" outlineLevel="0" collapsed="false">
      <c r="B158" s="11" t="s">
        <v>287</v>
      </c>
      <c r="C158" s="10"/>
      <c r="D158" s="10"/>
      <c r="E158" s="10"/>
      <c r="F158" s="10"/>
      <c r="G158" s="10"/>
      <c r="H158" s="4" t="s">
        <v>22</v>
      </c>
    </row>
    <row r="160" customFormat="false" ht="37.5" hidden="false" customHeight="true" outlineLevel="0" collapsed="false">
      <c r="B160" s="12" t="s">
        <v>288</v>
      </c>
      <c r="C160" s="12"/>
      <c r="D160" s="12"/>
      <c r="E160" s="12"/>
      <c r="F160" s="12"/>
      <c r="G160" s="12"/>
      <c r="H160" s="4" t="s">
        <v>24</v>
      </c>
    </row>
    <row r="161" customFormat="false" ht="18" hidden="false" customHeight="true" outlineLevel="0" collapsed="false">
      <c r="B161" s="1" t="s">
        <v>289</v>
      </c>
      <c r="C161" s="13" t="s">
        <v>290</v>
      </c>
      <c r="D161" s="13" t="s">
        <v>291</v>
      </c>
      <c r="E161" s="13" t="s">
        <v>292</v>
      </c>
      <c r="F161" s="13" t="s">
        <v>293</v>
      </c>
      <c r="G161" s="1" t="s">
        <v>294</v>
      </c>
      <c r="H161" s="4" t="s">
        <v>29</v>
      </c>
    </row>
    <row r="162" customFormat="false" ht="36" hidden="false" customHeight="true" outlineLevel="0" collapsed="false">
      <c r="B162" s="14" t="str">
        <f aca="false">'3 Scénarios'!B6</f>
        <v>Base : rachats 2 % par date, collecte 5 % par trimestre</v>
      </c>
      <c r="C162" s="23" t="n">
        <f aca="false">'3 Scénarios'!C6</f>
        <v>0</v>
      </c>
      <c r="D162" s="27" t="n">
        <f aca="false">'3 Scénarios'!D6</f>
        <v>0</v>
      </c>
      <c r="E162" s="27" t="n">
        <f aca="false">'3 Scénarios'!F6</f>
        <v>0.1637</v>
      </c>
      <c r="F162" s="28" t="n">
        <f aca="false">'3 Scénarios'!G6</f>
        <v>2.47</v>
      </c>
      <c r="G162" s="17" t="str">
        <f aca="false">'3 Scénarios'!L6&amp;" - "&amp;'3 Scénarios'!M6</f>
        <v>Vert - Régime de croisière : aucune date plafonnée, poche au-dessus du plancher.</v>
      </c>
      <c r="H162" s="4" t="s">
        <v>33</v>
      </c>
    </row>
    <row r="163" customFormat="false" ht="36" hidden="false" customHeight="true" outlineLevel="0" collapsed="false">
      <c r="B163" s="14" t="str">
        <f aca="false">'3 Scénarios'!B7</f>
        <v>Adverse : rachats de 10 % sur deux dates</v>
      </c>
      <c r="C163" s="23" t="n">
        <f aca="false">'3 Scénarios'!C7</f>
        <v>4</v>
      </c>
      <c r="D163" s="27" t="n">
        <f aca="false">'3 Scénarios'!D7</f>
        <v>0.1049</v>
      </c>
      <c r="E163" s="27" t="n">
        <f aca="false">'3 Scénarios'!F7</f>
        <v>0.0761</v>
      </c>
      <c r="F163" s="28" t="n">
        <f aca="false">'3 Scénarios'!G7</f>
        <v>1.148</v>
      </c>
      <c r="G163" s="17" t="str">
        <f aca="false">'3 Scénarios'!L7&amp;" - "&amp;'3 Scénarios'!M7</f>
        <v>Orange - Quatre dates plafonnées, file résorbée en 24 mois ; poche sous le plancher pendant la résorption.</v>
      </c>
      <c r="H163" s="4" t="s">
        <v>33</v>
      </c>
    </row>
    <row r="164" customFormat="false" ht="36" hidden="false" customHeight="true" outlineLevel="0" collapsed="false">
      <c r="B164" s="14" t="str">
        <f aca="false">'3 Scénarios'!B8</f>
        <v>Extrême : rachats de 15 % puis 20 %</v>
      </c>
      <c r="C164" s="23" t="n">
        <f aca="false">'3 Scénarios'!C8</f>
        <v>4</v>
      </c>
      <c r="D164" s="27" t="n">
        <f aca="false">'3 Scénarios'!D8</f>
        <v>0.2616</v>
      </c>
      <c r="E164" s="27" t="n">
        <f aca="false">'3 Scénarios'!F8</f>
        <v>0.0761</v>
      </c>
      <c r="F164" s="28" t="n">
        <f aca="false">'3 Scénarios'!G8</f>
        <v>0.683</v>
      </c>
      <c r="G164" s="17" t="str">
        <f aca="false">'3 Scénarios'!L8&amp;" - "&amp;'3 Scénarios'!M8</f>
        <v>Rouge - File de 26 % non résorbée ; suspension examinée à la 5e date (fin 2030).</v>
      </c>
      <c r="H164" s="4" t="s">
        <v>33</v>
      </c>
    </row>
    <row r="165" customFormat="false" ht="36" hidden="false" customHeight="true" outlineLevel="0" collapsed="false">
      <c r="B165" s="14" t="str">
        <f aca="false">'3 Scénarios'!B9</f>
        <v>Concentration : sortie des cinq premiers porteurs (35 %)</v>
      </c>
      <c r="C165" s="23" t="n">
        <f aca="false">'3 Scénarios'!C9</f>
        <v>0</v>
      </c>
      <c r="D165" s="27" t="n">
        <f aca="false">'3 Scénarios'!D9</f>
        <v>0</v>
      </c>
      <c r="E165" s="27" t="n">
        <f aca="false">'3 Scénarios'!F9</f>
        <v>0.158</v>
      </c>
      <c r="F165" s="28" t="n">
        <f aca="false">'3 Scénarios'!G9</f>
        <v>3.69</v>
      </c>
      <c r="G165" s="17" t="str">
        <f aca="false">'3 Scénarios'!L9&amp;" - "&amp;'3 Scénarios'!M9</f>
        <v>Vert - Servi sous plafonnement ordinaire ; les autres porteurs demandent 2 % par date.</v>
      </c>
      <c r="H165" s="4" t="s">
        <v>33</v>
      </c>
    </row>
    <row r="166" customFormat="false" ht="36" hidden="false" customHeight="true" outlineLevel="0" collapsed="false">
      <c r="B166" s="14" t="str">
        <f aca="false">'3 Scénarios'!B10</f>
        <v>Distributions des fonds cibles divisées par deux et retardées d'un an</v>
      </c>
      <c r="C166" s="23" t="n">
        <f aca="false">'3 Scénarios'!C10</f>
        <v>0</v>
      </c>
      <c r="D166" s="27" t="n">
        <f aca="false">'3 Scénarios'!D10</f>
        <v>0</v>
      </c>
      <c r="E166" s="27" t="n">
        <f aca="false">'3 Scénarios'!F10</f>
        <v>0.1218</v>
      </c>
      <c r="F166" s="28" t="n">
        <f aca="false">'3 Scénarios'!G10</f>
        <v>2.1</v>
      </c>
      <c r="G166" s="17" t="str">
        <f aca="false">'3 Scénarios'!L10&amp;" - "&amp;'3 Scénarios'!M10</f>
        <v>Orange - Poche entamée par les appels de fonds non compensés.</v>
      </c>
      <c r="H166" s="4" t="s">
        <v>33</v>
      </c>
    </row>
    <row r="167" customFormat="false" ht="36" hidden="false" customHeight="true" outlineLevel="0" collapsed="false">
      <c r="B167" s="14" t="str">
        <f aca="false">'3 Scénarios'!B11</f>
        <v>Appels de fonds accélérés, dollar + 15 %</v>
      </c>
      <c r="C167" s="23" t="n">
        <f aca="false">'3 Scénarios'!C11</f>
        <v>0</v>
      </c>
      <c r="D167" s="27" t="n">
        <f aca="false">'3 Scénarios'!D11</f>
        <v>0</v>
      </c>
      <c r="E167" s="27" t="n">
        <f aca="false">'3 Scénarios'!F11</f>
        <v>0.1323</v>
      </c>
      <c r="F167" s="28" t="n">
        <f aca="false">'3 Scénarios'!G11</f>
        <v>1.99</v>
      </c>
      <c r="G167" s="17" t="str">
        <f aca="false">'3 Scénarios'!L11&amp;" - "&amp;'3 Scénarios'!M11</f>
        <v>Orange - Appels de MAPIF II renchéris par le dollar ; sur-engagement au-dessus de 100 %.</v>
      </c>
      <c r="H167" s="4" t="s">
        <v>33</v>
      </c>
    </row>
    <row r="168" customFormat="false" ht="36" hidden="false" customHeight="true" outlineLevel="0" collapsed="false">
      <c r="B168" s="14" t="str">
        <f aca="false">'3 Scénarios'!B12</f>
        <v>Valorisation - 20 % (capital), - 10 % (dette), dollar - 15 %</v>
      </c>
      <c r="C168" s="23" t="n">
        <f aca="false">'3 Scénarios'!C12</f>
        <v>0</v>
      </c>
      <c r="D168" s="27" t="n">
        <f aca="false">'3 Scénarios'!D12</f>
        <v>0</v>
      </c>
      <c r="E168" s="27" t="n">
        <f aca="false">'3 Scénarios'!F12</f>
        <v>0.1489</v>
      </c>
      <c r="F168" s="28" t="n">
        <f aca="false">'3 Scénarios'!G12</f>
        <v>2.19</v>
      </c>
      <c r="G168" s="17" t="str">
        <f aca="false">'3 Scénarios'!L12&amp;" - "&amp;'3 Scénarios'!M12</f>
        <v>Orange - Poche juste sous le plancher par effet de dénominateur.</v>
      </c>
      <c r="H168" s="4" t="s">
        <v>33</v>
      </c>
    </row>
    <row r="169" customFormat="false" ht="36" hidden="false" customHeight="true" outlineLevel="0" collapsed="false">
      <c r="B169" s="14" t="str">
        <f aca="false">'3 Scénarios'!B13</f>
        <v>Crise combinée : chocs de passif et d'actif simultanés</v>
      </c>
      <c r="C169" s="23" t="n">
        <f aca="false">'3 Scénarios'!C13</f>
        <v>4</v>
      </c>
      <c r="D169" s="27" t="n">
        <f aca="false">'3 Scénarios'!D13</f>
        <v>0.2609</v>
      </c>
      <c r="E169" s="27" t="n">
        <f aca="false">'3 Scénarios'!F13</f>
        <v>0</v>
      </c>
      <c r="F169" s="28" t="n">
        <f aca="false">'3 Scénarios'!G13</f>
        <v>0.172</v>
      </c>
      <c r="G169" s="17" t="str">
        <f aca="false">'3 Scénarios'!L13&amp;" - "&amp;'3 Scénarios'!M13</f>
        <v>Rouge - Poche épuisée dès 2029, cessions secondaires de 6,6 M€ à 10 % de décote, suspension fin 2030, triple gel dès 12/2028.</v>
      </c>
      <c r="H169" s="4" t="s">
        <v>33</v>
      </c>
    </row>
    <row r="170" customFormat="false" ht="24" hidden="false" customHeight="true" outlineLevel="0" collapsed="false">
      <c r="B170" s="14" t="s">
        <v>295</v>
      </c>
      <c r="C170" s="15" t="str">
        <f aca="false">N_vert&amp;" verts"</f>
        <v>2 verts</v>
      </c>
      <c r="D170" s="15" t="str">
        <f aca="false">N_orange&amp;" orange"</f>
        <v>4 orange</v>
      </c>
      <c r="E170" s="15" t="str">
        <f aca="false">N_rouge&amp;" rouges"</f>
        <v>2 rouges</v>
      </c>
      <c r="F170" s="15"/>
      <c r="G170" s="17" t="s">
        <v>296</v>
      </c>
      <c r="H170" s="4" t="s">
        <v>33</v>
      </c>
    </row>
    <row r="172" customFormat="false" ht="18" hidden="false" customHeight="true" outlineLevel="0" collapsed="false">
      <c r="B172" s="12" t="s">
        <v>297</v>
      </c>
      <c r="C172" s="12"/>
      <c r="D172" s="12"/>
      <c r="E172" s="12"/>
      <c r="F172" s="12"/>
      <c r="G172" s="12"/>
      <c r="H172" s="4" t="s">
        <v>24</v>
      </c>
    </row>
    <row r="173" customFormat="false" ht="18" hidden="false" customHeight="true" outlineLevel="0" collapsed="false">
      <c r="B173" s="1" t="s">
        <v>298</v>
      </c>
      <c r="C173" s="13" t="s">
        <v>299</v>
      </c>
      <c r="D173" s="13"/>
      <c r="E173" s="13" t="s">
        <v>246</v>
      </c>
      <c r="F173" s="13"/>
      <c r="G173" s="1"/>
      <c r="H173" s="4" t="s">
        <v>29</v>
      </c>
    </row>
    <row r="174" customFormat="false" ht="30" hidden="false" customHeight="true" outlineLevel="0" collapsed="false">
      <c r="B174" s="14" t="s">
        <v>300</v>
      </c>
      <c r="C174" s="27" t="n">
        <f aca="false">Rupture_rachats</f>
        <v>0.075</v>
      </c>
      <c r="D174" s="27"/>
      <c r="E174" s="16" t="str">
        <f aca="false">"Quatre dates plafonnées puis suspension fin 2030 ; sans plafonnement, "&amp;SUBSTITUTE(ROUND(Rupture_cession,1)&amp;"",".",",")&amp;" M€ de cessions à 10 % de décote"</f>
        <v>Quatre dates plafonnées puis suspension fin 2030 ; sans plafonnement, 5,2 M€ de cessions à 10 % de décote</v>
      </c>
      <c r="F174" s="16"/>
      <c r="G174" s="16"/>
      <c r="H174" s="4" t="s">
        <v>33</v>
      </c>
    </row>
    <row r="175" customFormat="false" ht="30" hidden="false" customHeight="true" outlineLevel="0" collapsed="false">
      <c r="B175" s="14" t="s">
        <v>301</v>
      </c>
      <c r="C175" s="27" t="n">
        <f aca="false">Rupture_appels</f>
        <v>0.125</v>
      </c>
      <c r="D175" s="27"/>
      <c r="E175" s="16" t="s">
        <v>302</v>
      </c>
      <c r="F175" s="16"/>
      <c r="G175" s="16"/>
      <c r="H175" s="4" t="s">
        <v>33</v>
      </c>
    </row>
    <row r="176" customFormat="false" ht="30" hidden="false" customHeight="true" outlineLevel="0" collapsed="false">
      <c r="B176" s="14" t="s">
        <v>303</v>
      </c>
      <c r="C176" s="22" t="n">
        <f aca="false">Porteur_max</f>
        <v>0.15</v>
      </c>
      <c r="D176" s="22"/>
      <c r="E176" s="16" t="s">
        <v>304</v>
      </c>
      <c r="F176" s="16"/>
      <c r="G176" s="16"/>
      <c r="H176" s="4" t="s">
        <v>33</v>
      </c>
    </row>
    <row r="177" customFormat="false" ht="30" hidden="false" customHeight="true" outlineLevel="0" collapsed="false">
      <c r="B177" s="14" t="s">
        <v>305</v>
      </c>
      <c r="C177" s="16" t="s">
        <v>306</v>
      </c>
      <c r="D177" s="16"/>
      <c r="E177" s="16" t="s">
        <v>307</v>
      </c>
      <c r="F177" s="16"/>
      <c r="G177" s="16"/>
      <c r="H177" s="4" t="s">
        <v>33</v>
      </c>
    </row>
    <row r="179" customFormat="false" ht="18" hidden="false" customHeight="true" outlineLevel="0" collapsed="false">
      <c r="B179" s="12" t="s">
        <v>308</v>
      </c>
      <c r="C179" s="12"/>
      <c r="D179" s="12"/>
      <c r="E179" s="12"/>
      <c r="F179" s="12"/>
      <c r="G179" s="12"/>
      <c r="H179" s="4" t="s">
        <v>24</v>
      </c>
    </row>
    <row r="180" customFormat="false" ht="90.75" hidden="false" customHeight="true" outlineLevel="0" collapsed="false">
      <c r="B180" s="21" t="s">
        <v>309</v>
      </c>
      <c r="C180" s="21"/>
      <c r="D180" s="21"/>
      <c r="E180" s="21"/>
      <c r="F180" s="21"/>
      <c r="G180" s="21"/>
      <c r="H180" s="4" t="s">
        <v>66</v>
      </c>
    </row>
    <row r="181" customFormat="false" ht="51.75" hidden="false" customHeight="true" outlineLevel="0" collapsed="false">
      <c r="B181" s="21" t="s">
        <v>310</v>
      </c>
      <c r="C181" s="21"/>
      <c r="D181" s="21"/>
      <c r="E181" s="21"/>
      <c r="F181" s="21"/>
      <c r="G181" s="21"/>
      <c r="H181" s="4" t="s">
        <v>66</v>
      </c>
    </row>
    <row r="183" customFormat="false" ht="19.5" hidden="false" customHeight="true" outlineLevel="0" collapsed="false">
      <c r="B183" s="1" t="s">
        <v>0</v>
      </c>
      <c r="C183" s="2"/>
      <c r="D183" s="2"/>
      <c r="E183" s="2"/>
      <c r="F183" s="2"/>
      <c r="G183" s="3" t="s">
        <v>1</v>
      </c>
      <c r="H183" s="4" t="s">
        <v>2</v>
      </c>
    </row>
    <row r="184" customFormat="false" ht="21.75" hidden="false" customHeight="true" outlineLevel="0" collapsed="false">
      <c r="B184" s="9" t="s">
        <v>311</v>
      </c>
      <c r="C184" s="10"/>
      <c r="D184" s="10"/>
      <c r="E184" s="10"/>
      <c r="F184" s="10"/>
      <c r="G184" s="10"/>
      <c r="H184" s="4" t="s">
        <v>20</v>
      </c>
    </row>
    <row r="185" customFormat="false" ht="15.75" hidden="false" customHeight="true" outlineLevel="0" collapsed="false">
      <c r="B185" s="11" t="s">
        <v>312</v>
      </c>
      <c r="C185" s="10"/>
      <c r="D185" s="10"/>
      <c r="E185" s="10"/>
      <c r="F185" s="10"/>
      <c r="G185" s="10"/>
      <c r="H185" s="4" t="s">
        <v>22</v>
      </c>
    </row>
    <row r="187" customFormat="false" ht="18" hidden="false" customHeight="true" outlineLevel="0" collapsed="false">
      <c r="B187" s="12" t="s">
        <v>313</v>
      </c>
      <c r="C187" s="12"/>
      <c r="D187" s="12"/>
      <c r="E187" s="12"/>
      <c r="F187" s="12"/>
      <c r="G187" s="12"/>
      <c r="H187" s="4" t="s">
        <v>24</v>
      </c>
    </row>
    <row r="188" customFormat="false" ht="18" hidden="false" customHeight="true" outlineLevel="0" collapsed="false">
      <c r="B188" s="1" t="s">
        <v>314</v>
      </c>
      <c r="C188" s="13" t="s">
        <v>315</v>
      </c>
      <c r="D188" s="13" t="s">
        <v>316</v>
      </c>
      <c r="E188" s="13" t="s">
        <v>317</v>
      </c>
      <c r="F188" s="13" t="s">
        <v>318</v>
      </c>
      <c r="G188" s="1"/>
      <c r="H188" s="4" t="s">
        <v>29</v>
      </c>
    </row>
    <row r="189" customFormat="false" ht="51.75" hidden="false" customHeight="true" outlineLevel="0" collapsed="false">
      <c r="B189" s="14" t="s">
        <v>81</v>
      </c>
      <c r="C189" s="15" t="str">
        <f aca="false">'4 Fonds cibles'!C8</f>
        <v>Non opérationnel, blind pool (PPM avril 2026)</v>
      </c>
      <c r="D189" s="15" t="str">
        <f aca="false">'4 Fonds cibles'!D8</f>
        <v>Aucun actif, LPA non signés (PPM février 2026)</v>
      </c>
      <c r="E189" s="15" t="str">
        <f aca="false">'4 Fonds cibles'!E8</f>
        <v>En activité depuis 2024, seul fonds cible avec portefeuille</v>
      </c>
      <c r="F189" s="16" t="str">
        <f aca="false">'4 Fonds cibles'!F8</f>
        <v>Période de souscription initiale, blind pool, fin attendue le 01/11/2026</v>
      </c>
      <c r="G189" s="16"/>
      <c r="H189" s="4" t="s">
        <v>33</v>
      </c>
    </row>
    <row r="190" customFormat="false" ht="39.75" hidden="false" customHeight="true" outlineLevel="0" collapsed="false">
      <c r="B190" s="14" t="s">
        <v>149</v>
      </c>
      <c r="C190" s="15" t="str">
        <f aca="false">'4 Fonds cibles'!C9</f>
        <v>USD, catégorie unique</v>
      </c>
      <c r="D190" s="15" t="str">
        <f aca="false">'4 Fonds cibles'!D9</f>
        <v>USD ; MSIG 3 (EUR) est un fonds distinct</v>
      </c>
      <c r="E190" s="15" t="str">
        <f aca="false">'4 Fonds cibles'!E9</f>
        <v>USD ; classes « H » couvertes sans obligation</v>
      </c>
      <c r="F190" s="16" t="str">
        <f aca="false">'4 Fonds cibles'!F9</f>
        <v>EUR</v>
      </c>
      <c r="G190" s="16"/>
      <c r="H190" s="4" t="s">
        <v>33</v>
      </c>
    </row>
    <row r="191" customFormat="false" ht="79.5" hidden="false" customHeight="true" outlineLevel="0" collapsed="false">
      <c r="B191" s="14" t="s">
        <v>180</v>
      </c>
      <c r="C191" s="15" t="str">
        <f aca="false">'4 Fonds cibles'!C12</f>
        <v>Aucun ; durée 10 ans + 2 + 2 ; cession agréée par le GP</v>
      </c>
      <c r="D191" s="15" t="str">
        <f aca="false">'4 Fonds cibles'!D12</f>
        <v>Annuel au 31/03 après lock-up de 3 ans, préavis 45 jours, payé au run-off (Withdrawing Account), minimum 10 M$</v>
      </c>
      <c r="E191" s="15" t="str">
        <f aca="false">'4 Fonds cibles'!E12</f>
        <v>Mensuels, préavis 45 j.o., règlement 4 j.o. après VL</v>
      </c>
      <c r="F191" s="16" t="str">
        <f aca="false">'4 Fonds cibles'!F12</f>
        <v>Trimestriels, cut-off le 1er j.o. du dernier mois, règlement 2 j.o. après publication</v>
      </c>
      <c r="G191" s="16"/>
      <c r="H191" s="4" t="s">
        <v>33</v>
      </c>
    </row>
    <row r="192" customFormat="false" ht="79.5" hidden="false" customHeight="true" outlineLevel="0" collapsed="false">
      <c r="B192" s="14" t="s">
        <v>319</v>
      </c>
      <c r="C192" s="15" t="str">
        <f aca="false">'4 Fonds cibles'!C13</f>
        <v>Sans objet</v>
      </c>
      <c r="D192" s="15" t="str">
        <f aca="false">'4 Fonds cibles'!D13</f>
        <v>Sans objet ; conversion forcée possible sous 300 M$ de VL</v>
      </c>
      <c r="E192" s="15" t="str">
        <f aca="false">'4 Fonds cibles'!E13</f>
        <v>5 % de la VL par trimestre, distributions et conversions comprises ; Special Dealing à 180 jours, prix discrétionnaire</v>
      </c>
      <c r="F192" s="16" t="str">
        <f aca="false">'4 Fonds cibles'!F13</f>
        <v>5 % de la VL par trimestre (net) et limite ELTIF (27,3 % de l'assiette liquide)</v>
      </c>
      <c r="G192" s="16"/>
      <c r="H192" s="4" t="s">
        <v>33</v>
      </c>
    </row>
    <row r="193" customFormat="false" ht="66" hidden="false" customHeight="true" outlineLevel="0" collapsed="false">
      <c r="B193" s="14" t="s">
        <v>320</v>
      </c>
      <c r="C193" s="15" t="str">
        <f aca="false">'4 Fonds cibles'!C14</f>
        <v>Sans objet</v>
      </c>
      <c r="D193" s="15" t="str">
        <f aca="false">'4 Fonds cibles'!D14</f>
        <v>Aucune ; non-appelé survivant au retrait</v>
      </c>
      <c r="E193" s="15" t="str">
        <f aca="false">'4 Fonds cibles'!E14</f>
        <v>Redemption Fee discrétionnaire ≤ 5 % (classe I) et Exit Fee ≤ 5 %, sans butoir de durée</v>
      </c>
      <c r="F193" s="16" t="str">
        <f aca="false">'4 Fonds cibles'!F14</f>
        <v>Early Redemption Deduction de 5 % avant 24 mois</v>
      </c>
      <c r="G193" s="16"/>
      <c r="H193" s="4" t="s">
        <v>33</v>
      </c>
    </row>
    <row r="194" customFormat="false" ht="51.75" hidden="false" customHeight="true" outlineLevel="0" collapsed="false">
      <c r="B194" s="14" t="s">
        <v>174</v>
      </c>
      <c r="C194" s="15" t="str">
        <f aca="false">'4 Fonds cibles'!C15</f>
        <v>Au moins annuelle ; états trimestriels non audités</v>
      </c>
      <c r="D194" s="15" t="str">
        <f aca="false">'4 Fonds cibles'!D15</f>
        <v>Trimestrielle, US GAAP, exercice au 31/03, reporting à 30 j.o.</v>
      </c>
      <c r="E194" s="15" t="str">
        <f aca="false">'4 Fonds cibles'!E15</f>
        <v>Mensuelle, publiée 21 j.o. après le Dealing Day</v>
      </c>
      <c r="F194" s="16" t="str">
        <f aca="false">'4 Fonds cibles'!F15</f>
        <v>Mensuelle, publiée 15 j.o. après la Subscription Date</v>
      </c>
      <c r="G194" s="16"/>
      <c r="H194" s="4" t="s">
        <v>33</v>
      </c>
    </row>
    <row r="195" customFormat="false" ht="51.75" hidden="false" customHeight="true" outlineLevel="0" collapsed="false">
      <c r="B195" s="14" t="s">
        <v>321</v>
      </c>
      <c r="C195" s="15" t="str">
        <f aca="false">'4 Fonds cibles'!C16</f>
        <v>1,25 % des engagements puis de la VL et du non-appelé</v>
      </c>
      <c r="D195" s="15" t="str">
        <f aca="false">'4 Fonds cibles'!D16</f>
        <v>1,00 % du capital investi, levier compris</v>
      </c>
      <c r="E195" s="15" t="str">
        <f aca="false">'4 Fonds cibles'!E16</f>
        <v>1,25 % de la VL augmentée des engagements non appelés</v>
      </c>
      <c r="F195" s="16" t="str">
        <f aca="false">'4 Fonds cibles'!F16</f>
        <v>Jusqu'à 1,25 % de la VL (classe C)</v>
      </c>
      <c r="G195" s="16"/>
      <c r="H195" s="4" t="s">
        <v>33</v>
      </c>
    </row>
    <row r="196" customFormat="false" ht="66" hidden="false" customHeight="true" outlineLevel="0" collapsed="false">
      <c r="B196" s="14" t="s">
        <v>322</v>
      </c>
      <c r="C196" s="15" t="str">
        <f aca="false">'4 Fonds cibles'!C17</f>
        <v>12,5 %, preferred return 8 %, catch-up 100 %, clawback</v>
      </c>
      <c r="D196" s="15" t="str">
        <f aca="false">'4 Fonds cibles'!D17</f>
        <v>12,5 %, catch-up 80 %, hurdle 8 % (levered) ou 6 % (unlevered), look-back 3 ans</v>
      </c>
      <c r="E196" s="15" t="str">
        <f aca="false">'4 Fonds cibles'!E17</f>
        <v>15 %, hurdle 5 %, high water mark, catch-up 100 %</v>
      </c>
      <c r="F196" s="16" t="str">
        <f aca="false">'4 Fonds cibles'!F17</f>
        <v>12,5 %, hurdle 5 %, high water mark, catch-up 100 %</v>
      </c>
      <c r="G196" s="16"/>
      <c r="H196" s="4" t="s">
        <v>33</v>
      </c>
    </row>
    <row r="197" customFormat="false" ht="79.5" hidden="false" customHeight="true" outlineLevel="0" collapsed="false">
      <c r="B197" s="14" t="s">
        <v>323</v>
      </c>
      <c r="C197" s="15" t="str">
        <f aca="false">'4 Fonds cibles'!C18</f>
        <v>Emprunts ≤ 30 % des engagements, facilités ≤ 30 % de la VL, filiales non plafonnées ; plafonds AIFM non communiqués</v>
      </c>
      <c r="D197" s="15" t="str">
        <f aca="false">'4 Fonds cibles'!D18</f>
        <v>Manche levered : financement ≤ 2,5 fois les apports (≈ 350 % de la VL) ; dette non-recourse exclue</v>
      </c>
      <c r="E197" s="15" t="str">
        <f aca="false">'4 Fonds cibles'!E18</f>
        <v>Emprunt ≤ 40 % de la VL ; AIFM 200 % engagement, 410 % brut</v>
      </c>
      <c r="F197" s="16" t="str">
        <f aca="false">'4 Fonds cibles'!F18</f>
        <v>Emprunt ELTIF ≤ 50 % à partir de 2029 ; AIFM 400 % engagement, 500 % brut</v>
      </c>
      <c r="G197" s="16"/>
      <c r="H197" s="4" t="s">
        <v>33</v>
      </c>
    </row>
    <row r="198" customFormat="false" ht="51.75" hidden="false" customHeight="true" outlineLevel="0" collapsed="false">
      <c r="B198" s="14" t="s">
        <v>324</v>
      </c>
      <c r="C198" s="15" t="str">
        <f aca="false">'4 Fonds cibles'!C19</f>
        <v>10 M$, dérogation à obtenir par écrit</v>
      </c>
      <c r="D198" s="15" t="str">
        <f aca="false">'4 Fonds cibles'!D19</f>
        <v>10 M$, dérogation à obtenir par écrit ; élection AWI au Subscription Agreement</v>
      </c>
      <c r="E198" s="15" t="str">
        <f aca="false">'4 Fonds cibles'!E19</f>
        <v>1 M USD (classe I)</v>
      </c>
      <c r="F198" s="16" t="str">
        <f aca="false">'4 Fonds cibles'!F19</f>
        <v>1 M€ (classe C)</v>
      </c>
      <c r="G198" s="16"/>
      <c r="H198" s="4" t="s">
        <v>33</v>
      </c>
    </row>
    <row r="199" customFormat="false" ht="39.75" hidden="false" customHeight="true" outlineLevel="0" collapsed="false">
      <c r="B199" s="14" t="s">
        <v>325</v>
      </c>
      <c r="C199" s="15" t="str">
        <f aca="false">'4 Fonds cibles'!C21</f>
        <v>Article 6</v>
      </c>
      <c r="D199" s="15" t="str">
        <f aca="false">'4 Fonds cibles'!D21</f>
        <v>Fonds USD non classé article 8 ; MSIG 3 (EUR) attendu article 8</v>
      </c>
      <c r="E199" s="15" t="str">
        <f aca="false">'4 Fonds cibles'!E21</f>
        <v>Article 8</v>
      </c>
      <c r="F199" s="16" t="str">
        <f aca="false">'4 Fonds cibles'!F21</f>
        <v>Article 6</v>
      </c>
      <c r="G199" s="16"/>
      <c r="H199" s="4" t="s">
        <v>33</v>
      </c>
    </row>
    <row r="201" customFormat="false" ht="18" hidden="false" customHeight="true" outlineLevel="0" collapsed="false">
      <c r="B201" s="12" t="s">
        <v>326</v>
      </c>
      <c r="C201" s="12"/>
      <c r="D201" s="12"/>
      <c r="E201" s="12"/>
      <c r="F201" s="12"/>
      <c r="G201" s="12"/>
      <c r="H201" s="4" t="s">
        <v>24</v>
      </c>
    </row>
    <row r="202" customFormat="false" ht="18" hidden="false" customHeight="true" outlineLevel="0" collapsed="false">
      <c r="B202" s="1" t="s">
        <v>327</v>
      </c>
      <c r="C202" s="13" t="s">
        <v>328</v>
      </c>
      <c r="D202" s="13" t="s">
        <v>329</v>
      </c>
      <c r="E202" s="13" t="s">
        <v>330</v>
      </c>
      <c r="F202" s="13" t="s">
        <v>331</v>
      </c>
      <c r="G202" s="1" t="s">
        <v>332</v>
      </c>
      <c r="H202" s="4" t="s">
        <v>29</v>
      </c>
    </row>
    <row r="203" customFormat="false" ht="21.75" hidden="false" customHeight="true" outlineLevel="0" collapsed="false">
      <c r="B203" s="14" t="s">
        <v>333</v>
      </c>
      <c r="C203" s="29" t="n">
        <f aca="false">IRPc_Fonds</f>
        <v>71.4</v>
      </c>
      <c r="D203" s="15" t="str">
        <f aca="false">IF(IRPc_Fonds&gt;56,"Élevé",IF(IRPc_Fonds&gt;34,"Moyen","Faible"))</f>
        <v>Élevé</v>
      </c>
      <c r="E203" s="22" t="s">
        <v>90</v>
      </c>
      <c r="F203" s="29" t="s">
        <v>90</v>
      </c>
      <c r="G203" s="17" t="s">
        <v>334</v>
      </c>
      <c r="H203" s="4" t="s">
        <v>33</v>
      </c>
    </row>
    <row r="204" customFormat="false" ht="21.75" hidden="false" customHeight="true" outlineLevel="0" collapsed="false">
      <c r="B204" s="14" t="s">
        <v>315</v>
      </c>
      <c r="C204" s="29" t="n">
        <f aca="false">IRPc_MAPIF</f>
        <v>52.1</v>
      </c>
      <c r="D204" s="15" t="str">
        <f aca="false">IF(IRPc_MAPIF&gt;56,"Élevé",IF(IRPc_MAPIF&gt;34,"Moyen","Faible"))</f>
        <v>Moyen</v>
      </c>
      <c r="E204" s="22" t="n">
        <f aca="false">W_MAPIF</f>
        <v>0.34</v>
      </c>
      <c r="F204" s="29" t="n">
        <f aca="false">W_MAPIF*IRPc_MAPIF</f>
        <v>17.714</v>
      </c>
      <c r="G204" s="17" t="s">
        <v>335</v>
      </c>
      <c r="H204" s="4" t="s">
        <v>33</v>
      </c>
    </row>
    <row r="205" customFormat="false" ht="21.75" hidden="false" customHeight="true" outlineLevel="0" collapsed="false">
      <c r="B205" s="14" t="s">
        <v>336</v>
      </c>
      <c r="C205" s="29" t="n">
        <f aca="false">IRPc_MSIG</f>
        <v>82.3</v>
      </c>
      <c r="D205" s="15" t="str">
        <f aca="false">IF(IRPc_MSIG&gt;56,"Élevé",IF(IRPc_MSIG&gt;34,"Moyen","Faible"))</f>
        <v>Élevé</v>
      </c>
      <c r="E205" s="22" t="n">
        <f aca="false">W_MSIG</f>
        <v>0.17</v>
      </c>
      <c r="F205" s="29" t="n">
        <f aca="false">W_MSIG*IRPc_MSIG</f>
        <v>13.991</v>
      </c>
      <c r="G205" s="17" t="s">
        <v>337</v>
      </c>
      <c r="H205" s="4" t="s">
        <v>33</v>
      </c>
    </row>
    <row r="206" customFormat="false" ht="21.75" hidden="false" customHeight="true" outlineLevel="0" collapsed="false">
      <c r="B206" s="14" t="s">
        <v>338</v>
      </c>
      <c r="C206" s="29" t="n">
        <f aca="false">IRPc_PG</f>
        <v>92.6</v>
      </c>
      <c r="D206" s="15" t="str">
        <f aca="false">IF(IRPc_PG&gt;56,"Élevé",IF(IRPc_PG&gt;34,"Moyen","Faible"))</f>
        <v>Élevé</v>
      </c>
      <c r="E206" s="22" t="n">
        <f aca="false">W_PG</f>
        <v>0.17</v>
      </c>
      <c r="F206" s="29" t="n">
        <f aca="false">W_PG*IRPc_PG</f>
        <v>15.742</v>
      </c>
      <c r="G206" s="17" t="s">
        <v>339</v>
      </c>
      <c r="H206" s="4" t="s">
        <v>33</v>
      </c>
    </row>
    <row r="207" customFormat="false" ht="21.75" hidden="false" customHeight="true" outlineLevel="0" collapsed="false">
      <c r="B207" s="14" t="s">
        <v>163</v>
      </c>
      <c r="C207" s="29" t="n">
        <f aca="false">IRPc_ARES</f>
        <v>86.4</v>
      </c>
      <c r="D207" s="15" t="str">
        <f aca="false">IF(IRPc_ARES&gt;56,"Élevé",IF(IRPc_ARES&gt;34,"Moyen","Faible"))</f>
        <v>Élevé</v>
      </c>
      <c r="E207" s="22" t="n">
        <f aca="false">W_ARES</f>
        <v>0.17</v>
      </c>
      <c r="F207" s="29" t="n">
        <f aca="false">W_ARES*IRPc_ARES</f>
        <v>14.688</v>
      </c>
      <c r="G207" s="17" t="s">
        <v>340</v>
      </c>
      <c r="H207" s="4" t="s">
        <v>33</v>
      </c>
    </row>
    <row r="208" customFormat="false" ht="21.75" hidden="false" customHeight="true" outlineLevel="0" collapsed="false">
      <c r="B208" s="14" t="s">
        <v>341</v>
      </c>
      <c r="C208" s="29" t="n">
        <f aca="false">IRPc_Transp</f>
        <v>62.1</v>
      </c>
      <c r="D208" s="15" t="str">
        <f aca="false">IF(IRPc_Transp&gt;56,"Élevé",IF(IRPc_Transp&gt;34,"Moyen","Faible"))</f>
        <v>Élevé</v>
      </c>
      <c r="E208" s="22" t="n">
        <f aca="false">1-W_LIQ</f>
        <v>0.85</v>
      </c>
      <c r="F208" s="29" t="n">
        <f aca="false">IRPc_Transp</f>
        <v>62.1</v>
      </c>
      <c r="G208" s="17" t="str">
        <f aca="false">"Rebasé hors poche liquide : "&amp;SUBSTITUTE(ROUND(IRPc_Transp_hp,1)&amp;"",".",",")</f>
        <v>Rebasé hors poche liquide : 73,1</v>
      </c>
      <c r="H208" s="4" t="s">
        <v>33</v>
      </c>
    </row>
    <row r="210" customFormat="false" ht="18" hidden="false" customHeight="true" outlineLevel="0" collapsed="false">
      <c r="B210" s="12" t="s">
        <v>342</v>
      </c>
      <c r="C210" s="12"/>
      <c r="D210" s="12"/>
      <c r="E210" s="12"/>
      <c r="F210" s="12"/>
      <c r="G210" s="12"/>
      <c r="H210" s="4" t="s">
        <v>24</v>
      </c>
    </row>
    <row r="211" customFormat="false" ht="18" hidden="false" customHeight="true" outlineLevel="0" collapsed="false">
      <c r="B211" s="1" t="s">
        <v>327</v>
      </c>
      <c r="C211" s="13" t="s">
        <v>343</v>
      </c>
      <c r="D211" s="13"/>
      <c r="E211" s="13"/>
      <c r="F211" s="13"/>
      <c r="G211" s="1" t="s">
        <v>344</v>
      </c>
      <c r="H211" s="4" t="s">
        <v>29</v>
      </c>
    </row>
    <row r="212" customFormat="false" ht="30" hidden="false" customHeight="true" outlineLevel="0" collapsed="false">
      <c r="B212" s="14" t="s">
        <v>315</v>
      </c>
      <c r="C212" s="15" t="s">
        <v>345</v>
      </c>
      <c r="D212" s="15"/>
      <c r="E212" s="15"/>
      <c r="F212" s="15"/>
      <c r="G212" s="17" t="s">
        <v>346</v>
      </c>
      <c r="H212" s="4" t="s">
        <v>33</v>
      </c>
    </row>
    <row r="213" customFormat="false" ht="30" hidden="false" customHeight="true" outlineLevel="0" collapsed="false">
      <c r="B213" s="14" t="s">
        <v>347</v>
      </c>
      <c r="C213" s="15" t="s">
        <v>348</v>
      </c>
      <c r="D213" s="15"/>
      <c r="E213" s="15"/>
      <c r="F213" s="15"/>
      <c r="G213" s="17" t="s">
        <v>346</v>
      </c>
      <c r="H213" s="4" t="s">
        <v>33</v>
      </c>
    </row>
    <row r="214" customFormat="false" ht="30" hidden="false" customHeight="true" outlineLevel="0" collapsed="false">
      <c r="B214" s="14" t="s">
        <v>317</v>
      </c>
      <c r="C214" s="15" t="s">
        <v>349</v>
      </c>
      <c r="D214" s="15"/>
      <c r="E214" s="15"/>
      <c r="F214" s="15"/>
      <c r="G214" s="17" t="s">
        <v>134</v>
      </c>
      <c r="H214" s="4" t="s">
        <v>33</v>
      </c>
    </row>
    <row r="215" customFormat="false" ht="30" hidden="false" customHeight="true" outlineLevel="0" collapsed="false">
      <c r="B215" s="14" t="s">
        <v>318</v>
      </c>
      <c r="C215" s="15" t="s">
        <v>350</v>
      </c>
      <c r="D215" s="15"/>
      <c r="E215" s="15"/>
      <c r="F215" s="15"/>
      <c r="G215" s="17" t="s">
        <v>134</v>
      </c>
      <c r="H215" s="4" t="s">
        <v>33</v>
      </c>
    </row>
    <row r="217" customFormat="false" ht="19.5" hidden="false" customHeight="true" outlineLevel="0" collapsed="false">
      <c r="B217" s="1" t="s">
        <v>0</v>
      </c>
      <c r="C217" s="2"/>
      <c r="D217" s="2"/>
      <c r="E217" s="2"/>
      <c r="F217" s="2"/>
      <c r="G217" s="3" t="s">
        <v>1</v>
      </c>
      <c r="H217" s="4" t="s">
        <v>2</v>
      </c>
    </row>
    <row r="218" customFormat="false" ht="21.75" hidden="false" customHeight="true" outlineLevel="0" collapsed="false">
      <c r="B218" s="9" t="s">
        <v>351</v>
      </c>
      <c r="C218" s="10"/>
      <c r="D218" s="10"/>
      <c r="E218" s="10"/>
      <c r="F218" s="10"/>
      <c r="G218" s="10"/>
      <c r="H218" s="4" t="s">
        <v>20</v>
      </c>
    </row>
    <row r="219" customFormat="false" ht="15.75" hidden="false" customHeight="true" outlineLevel="0" collapsed="false">
      <c r="B219" s="11" t="s">
        <v>352</v>
      </c>
      <c r="C219" s="10"/>
      <c r="D219" s="10"/>
      <c r="E219" s="10"/>
      <c r="F219" s="10"/>
      <c r="G219" s="10"/>
      <c r="H219" s="4" t="s">
        <v>22</v>
      </c>
    </row>
    <row r="221" customFormat="false" ht="18" hidden="false" customHeight="true" outlineLevel="0" collapsed="false">
      <c r="B221" s="12" t="s">
        <v>353</v>
      </c>
      <c r="C221" s="12"/>
      <c r="D221" s="12"/>
      <c r="E221" s="12"/>
      <c r="F221" s="12"/>
      <c r="G221" s="12"/>
      <c r="H221" s="4" t="s">
        <v>24</v>
      </c>
    </row>
    <row r="222" customFormat="false" ht="18" hidden="false" customHeight="true" outlineLevel="0" collapsed="false">
      <c r="B222" s="1" t="s">
        <v>354</v>
      </c>
      <c r="C222" s="13" t="s">
        <v>355</v>
      </c>
      <c r="D222" s="13" t="s">
        <v>356</v>
      </c>
      <c r="E222" s="13" t="s">
        <v>357</v>
      </c>
      <c r="F222" s="13"/>
      <c r="G222" s="1" t="s">
        <v>358</v>
      </c>
      <c r="H222" s="4" t="s">
        <v>29</v>
      </c>
    </row>
    <row r="223" customFormat="false" ht="39.75" hidden="false" customHeight="true" outlineLevel="0" collapsed="false">
      <c r="B223" s="14" t="s">
        <v>359</v>
      </c>
      <c r="C223" s="15" t="s">
        <v>360</v>
      </c>
      <c r="D223" s="15" t="str">
        <f aca="false">"100 % de l'actif investi ; "&amp;(ROUND((W_FERMES)*100,0)&amp;" %")&amp;" valorisés au mieux trimestriellement avec décalage"</f>
        <v>100 % de l'actif investi ; 51 % valorisés au mieux trimestriellement avec décalage</v>
      </c>
      <c r="E223" s="16" t="s">
        <v>361</v>
      </c>
      <c r="F223" s="16"/>
      <c r="G223" s="17" t="s">
        <v>362</v>
      </c>
      <c r="H223" s="4" t="s">
        <v>33</v>
      </c>
    </row>
    <row r="224" customFormat="false" ht="39.75" hidden="false" customHeight="true" outlineLevel="0" collapsed="false">
      <c r="B224" s="14" t="s">
        <v>363</v>
      </c>
      <c r="C224" s="15" t="s">
        <v>364</v>
      </c>
      <c r="D224" s="15" t="s">
        <v>365</v>
      </c>
      <c r="E224" s="16" t="s">
        <v>366</v>
      </c>
      <c r="F224" s="16"/>
      <c r="G224" s="17" t="s">
        <v>367</v>
      </c>
      <c r="H224" s="4" t="s">
        <v>33</v>
      </c>
    </row>
    <row r="225" customFormat="false" ht="39.75" hidden="false" customHeight="true" outlineLevel="0" collapsed="false">
      <c r="B225" s="14" t="s">
        <v>368</v>
      </c>
      <c r="C225" s="15" t="s">
        <v>369</v>
      </c>
      <c r="D225" s="15" t="s">
        <v>370</v>
      </c>
      <c r="E225" s="16" t="s">
        <v>371</v>
      </c>
      <c r="F225" s="16"/>
      <c r="G225" s="17" t="s">
        <v>372</v>
      </c>
      <c r="H225" s="4" t="s">
        <v>33</v>
      </c>
    </row>
    <row r="227" customFormat="false" ht="18" hidden="false" customHeight="true" outlineLevel="0" collapsed="false">
      <c r="B227" s="12" t="s">
        <v>373</v>
      </c>
      <c r="C227" s="12"/>
      <c r="D227" s="12"/>
      <c r="E227" s="12"/>
      <c r="F227" s="12"/>
      <c r="G227" s="12"/>
      <c r="H227" s="4" t="s">
        <v>24</v>
      </c>
    </row>
    <row r="228" customFormat="false" ht="18" hidden="false" customHeight="true" outlineLevel="0" collapsed="false">
      <c r="B228" s="1" t="s">
        <v>354</v>
      </c>
      <c r="C228" s="13" t="s">
        <v>355</v>
      </c>
      <c r="D228" s="13" t="s">
        <v>374</v>
      </c>
      <c r="E228" s="13" t="s">
        <v>357</v>
      </c>
      <c r="F228" s="13"/>
      <c r="G228" s="1" t="s">
        <v>358</v>
      </c>
      <c r="H228" s="4" t="s">
        <v>29</v>
      </c>
    </row>
    <row r="229" customFormat="false" ht="30" hidden="false" customHeight="true" outlineLevel="0" collapsed="false">
      <c r="B229" s="14" t="s">
        <v>375</v>
      </c>
      <c r="C229" s="15" t="s">
        <v>376</v>
      </c>
      <c r="D229" s="15" t="str">
        <f aca="false">"Macquarie : "&amp;(ROUND((W_MACQ)*100,0)&amp;" %")&amp;" de l'actif, deux véhicules non lancés à la date de leur PPM"</f>
        <v>Macquarie : 51 % de l'actif, deux véhicules non lancés à la date de leur PPM</v>
      </c>
      <c r="E229" s="16" t="s">
        <v>377</v>
      </c>
      <c r="F229" s="16"/>
      <c r="G229" s="17" t="s">
        <v>378</v>
      </c>
      <c r="H229" s="4" t="s">
        <v>33</v>
      </c>
    </row>
    <row r="230" customFormat="false" ht="30" hidden="false" customHeight="true" outlineLevel="0" collapsed="false">
      <c r="B230" s="14" t="s">
        <v>379</v>
      </c>
      <c r="C230" s="15" t="s">
        <v>380</v>
      </c>
      <c r="D230" s="15" t="str">
        <f aca="false">"Poche de "&amp;(ROUND((W_LIQ)*100,0)&amp;" %")&amp;" chez BFCM, OPC monétaires et comptes à terme"</f>
        <v>Poche de 15 % chez BFCM, OPC monétaires et comptes à terme</v>
      </c>
      <c r="E230" s="16" t="s">
        <v>381</v>
      </c>
      <c r="F230" s="16"/>
      <c r="G230" s="17" t="s">
        <v>382</v>
      </c>
      <c r="H230" s="4" t="s">
        <v>33</v>
      </c>
    </row>
    <row r="231" customFormat="false" ht="30" hidden="false" customHeight="true" outlineLevel="0" collapsed="false">
      <c r="B231" s="14" t="s">
        <v>383</v>
      </c>
      <c r="C231" s="15" t="s">
        <v>384</v>
      </c>
      <c r="D231" s="15" t="s">
        <v>385</v>
      </c>
      <c r="E231" s="16" t="s">
        <v>386</v>
      </c>
      <c r="F231" s="16"/>
      <c r="G231" s="17" t="s">
        <v>387</v>
      </c>
      <c r="H231" s="4" t="s">
        <v>33</v>
      </c>
    </row>
    <row r="233" customFormat="false" ht="18" hidden="false" customHeight="true" outlineLevel="0" collapsed="false">
      <c r="B233" s="12" t="s">
        <v>388</v>
      </c>
      <c r="C233" s="12"/>
      <c r="D233" s="12"/>
      <c r="E233" s="12"/>
      <c r="F233" s="12"/>
      <c r="G233" s="12"/>
      <c r="H233" s="4" t="s">
        <v>24</v>
      </c>
    </row>
    <row r="234" customFormat="false" ht="18" hidden="false" customHeight="true" outlineLevel="0" collapsed="false">
      <c r="B234" s="1" t="s">
        <v>354</v>
      </c>
      <c r="C234" s="13" t="s">
        <v>355</v>
      </c>
      <c r="D234" s="13" t="s">
        <v>374</v>
      </c>
      <c r="E234" s="13" t="s">
        <v>357</v>
      </c>
      <c r="F234" s="13"/>
      <c r="G234" s="1" t="s">
        <v>358</v>
      </c>
      <c r="H234" s="4" t="s">
        <v>29</v>
      </c>
    </row>
    <row r="235" customFormat="false" ht="33.75" hidden="false" customHeight="true" outlineLevel="0" collapsed="false">
      <c r="B235" s="14" t="s">
        <v>389</v>
      </c>
      <c r="C235" s="15" t="s">
        <v>390</v>
      </c>
      <c r="D235" s="15" t="s">
        <v>391</v>
      </c>
      <c r="E235" s="16" t="s">
        <v>392</v>
      </c>
      <c r="F235" s="16"/>
      <c r="G235" s="17" t="s">
        <v>393</v>
      </c>
      <c r="H235" s="4" t="s">
        <v>33</v>
      </c>
    </row>
    <row r="236" customFormat="false" ht="33.75" hidden="false" customHeight="true" outlineLevel="0" collapsed="false">
      <c r="B236" s="14" t="s">
        <v>394</v>
      </c>
      <c r="C236" s="15" t="s">
        <v>395</v>
      </c>
      <c r="D236" s="15" t="s">
        <v>396</v>
      </c>
      <c r="E236" s="16" t="s">
        <v>397</v>
      </c>
      <c r="F236" s="16"/>
      <c r="G236" s="17" t="s">
        <v>398</v>
      </c>
      <c r="H236" s="4" t="s">
        <v>33</v>
      </c>
    </row>
    <row r="237" customFormat="false" ht="33.75" hidden="false" customHeight="true" outlineLevel="0" collapsed="false">
      <c r="B237" s="14" t="s">
        <v>399</v>
      </c>
      <c r="C237" s="15" t="s">
        <v>400</v>
      </c>
      <c r="D237" s="15" t="s">
        <v>401</v>
      </c>
      <c r="E237" s="16" t="s">
        <v>402</v>
      </c>
      <c r="F237" s="16"/>
      <c r="G237" s="17" t="s">
        <v>403</v>
      </c>
      <c r="H237" s="4" t="s">
        <v>33</v>
      </c>
    </row>
    <row r="238" customFormat="false" ht="33.75" hidden="false" customHeight="true" outlineLevel="0" collapsed="false">
      <c r="B238" s="14" t="s">
        <v>404</v>
      </c>
      <c r="C238" s="15" t="s">
        <v>405</v>
      </c>
      <c r="D238" s="15" t="s">
        <v>406</v>
      </c>
      <c r="E238" s="16" t="s">
        <v>407</v>
      </c>
      <c r="F238" s="16"/>
      <c r="G238" s="17" t="s">
        <v>408</v>
      </c>
      <c r="H238" s="4" t="s">
        <v>33</v>
      </c>
    </row>
    <row r="239" customFormat="false" ht="25.5" hidden="false" customHeight="true" outlineLevel="0" collapsed="false">
      <c r="B239" s="21" t="s">
        <v>409</v>
      </c>
      <c r="C239" s="21"/>
      <c r="D239" s="21"/>
      <c r="E239" s="21"/>
      <c r="F239" s="21"/>
      <c r="G239" s="21"/>
      <c r="H239" s="4" t="s">
        <v>66</v>
      </c>
    </row>
    <row r="241" customFormat="false" ht="19.5" hidden="false" customHeight="true" outlineLevel="0" collapsed="false">
      <c r="B241" s="1" t="s">
        <v>0</v>
      </c>
      <c r="C241" s="2"/>
      <c r="D241" s="2"/>
      <c r="E241" s="2"/>
      <c r="F241" s="2"/>
      <c r="G241" s="3" t="s">
        <v>1</v>
      </c>
      <c r="H241" s="4" t="s">
        <v>2</v>
      </c>
    </row>
    <row r="242" customFormat="false" ht="21.75" hidden="false" customHeight="true" outlineLevel="0" collapsed="false">
      <c r="B242" s="9" t="s">
        <v>410</v>
      </c>
      <c r="C242" s="10"/>
      <c r="D242" s="10"/>
      <c r="E242" s="10"/>
      <c r="F242" s="10"/>
      <c r="G242" s="10"/>
      <c r="H242" s="4" t="s">
        <v>20</v>
      </c>
    </row>
    <row r="243" customFormat="false" ht="15.75" hidden="false" customHeight="true" outlineLevel="0" collapsed="false">
      <c r="B243" s="11" t="s">
        <v>411</v>
      </c>
      <c r="C243" s="10"/>
      <c r="D243" s="10"/>
      <c r="E243" s="10"/>
      <c r="F243" s="10"/>
      <c r="G243" s="10"/>
      <c r="H243" s="4" t="s">
        <v>22</v>
      </c>
    </row>
    <row r="245" customFormat="false" ht="18" hidden="false" customHeight="true" outlineLevel="0" collapsed="false">
      <c r="B245" s="12" t="s">
        <v>412</v>
      </c>
      <c r="C245" s="12"/>
      <c r="D245" s="12"/>
      <c r="E245" s="12"/>
      <c r="F245" s="12"/>
      <c r="G245" s="12"/>
      <c r="H245" s="4" t="s">
        <v>24</v>
      </c>
    </row>
    <row r="246" customFormat="false" ht="18" hidden="false" customHeight="true" outlineLevel="0" collapsed="false">
      <c r="B246" s="1" t="s">
        <v>413</v>
      </c>
      <c r="C246" s="13" t="s">
        <v>414</v>
      </c>
      <c r="D246" s="13" t="s">
        <v>254</v>
      </c>
      <c r="E246" s="13" t="s">
        <v>81</v>
      </c>
      <c r="F246" s="13" t="s">
        <v>415</v>
      </c>
      <c r="G246" s="1"/>
      <c r="H246" s="4" t="s">
        <v>29</v>
      </c>
    </row>
    <row r="247" customFormat="false" ht="24" hidden="false" customHeight="true" outlineLevel="0" collapsed="false">
      <c r="B247" s="14" t="s">
        <v>416</v>
      </c>
      <c r="C247" s="23" t="n">
        <f aca="false">Lim_total</f>
        <v>27</v>
      </c>
      <c r="D247" s="15" t="s">
        <v>90</v>
      </c>
      <c r="E247" s="15" t="s">
        <v>91</v>
      </c>
      <c r="F247" s="16" t="s">
        <v>417</v>
      </c>
      <c r="G247" s="16"/>
      <c r="H247" s="4" t="s">
        <v>33</v>
      </c>
    </row>
    <row r="248" customFormat="false" ht="24" hidden="false" customHeight="true" outlineLevel="0" collapsed="false">
      <c r="B248" s="14" t="s">
        <v>418</v>
      </c>
      <c r="C248" s="23" t="n">
        <f aca="false">Lim_depassees</f>
        <v>0</v>
      </c>
      <c r="D248" s="23" t="n">
        <v>0</v>
      </c>
      <c r="E248" s="15" t="str">
        <f aca="false">IF(Lim_depassees&lt;=0,"Conforme","Action requise")</f>
        <v>Conforme</v>
      </c>
      <c r="F248" s="16" t="s">
        <v>419</v>
      </c>
      <c r="G248" s="16"/>
      <c r="H248" s="4" t="s">
        <v>33</v>
      </c>
    </row>
    <row r="249" customFormat="false" ht="24" hidden="false" customHeight="true" outlineLevel="0" collapsed="false">
      <c r="B249" s="14" t="s">
        <v>420</v>
      </c>
      <c r="C249" s="23" t="n">
        <f aca="false">Lim_non_testables</f>
        <v>8</v>
      </c>
      <c r="D249" s="15" t="s">
        <v>90</v>
      </c>
      <c r="E249" s="15" t="s">
        <v>91</v>
      </c>
      <c r="F249" s="16" t="s">
        <v>421</v>
      </c>
      <c r="G249" s="16"/>
      <c r="H249" s="4" t="s">
        <v>33</v>
      </c>
    </row>
    <row r="250" customFormat="false" ht="24" hidden="false" customHeight="true" outlineLevel="0" collapsed="false">
      <c r="B250" s="14" t="s">
        <v>422</v>
      </c>
      <c r="C250" s="23" t="n">
        <f aca="false">Lim_a_valider</f>
        <v>7</v>
      </c>
      <c r="D250" s="23" t="n">
        <v>0</v>
      </c>
      <c r="E250" s="15" t="s">
        <v>118</v>
      </c>
      <c r="F250" s="16" t="s">
        <v>423</v>
      </c>
      <c r="G250" s="16"/>
      <c r="H250" s="4" t="s">
        <v>33</v>
      </c>
    </row>
    <row r="251" customFormat="false" ht="24" hidden="false" customHeight="true" outlineLevel="0" collapsed="false">
      <c r="B251" s="14" t="s">
        <v>424</v>
      </c>
      <c r="C251" s="23" t="n">
        <f aca="false">Lim_a_arreter</f>
        <v>4</v>
      </c>
      <c r="D251" s="23" t="n">
        <v>0</v>
      </c>
      <c r="E251" s="15" t="s">
        <v>118</v>
      </c>
      <c r="F251" s="16" t="s">
        <v>425</v>
      </c>
      <c r="G251" s="16"/>
      <c r="H251" s="4" t="s">
        <v>33</v>
      </c>
    </row>
    <row r="253" customFormat="false" ht="18" hidden="false" customHeight="true" outlineLevel="0" collapsed="false">
      <c r="B253" s="12" t="s">
        <v>426</v>
      </c>
      <c r="C253" s="12"/>
      <c r="D253" s="12"/>
      <c r="E253" s="12"/>
      <c r="F253" s="12"/>
      <c r="G253" s="12"/>
      <c r="H253" s="4" t="s">
        <v>24</v>
      </c>
    </row>
    <row r="254" customFormat="false" ht="18" hidden="false" customHeight="true" outlineLevel="0" collapsed="false">
      <c r="B254" s="1" t="s">
        <v>55</v>
      </c>
      <c r="C254" s="13" t="s">
        <v>56</v>
      </c>
      <c r="D254" s="13"/>
      <c r="E254" s="13" t="s">
        <v>57</v>
      </c>
      <c r="F254" s="13"/>
      <c r="G254" s="1" t="s">
        <v>58</v>
      </c>
      <c r="H254" s="4" t="s">
        <v>29</v>
      </c>
    </row>
    <row r="255" customFormat="false" ht="43.5" hidden="false" customHeight="true" outlineLevel="0" collapsed="false">
      <c r="B255" s="20" t="s">
        <v>59</v>
      </c>
      <c r="C255" s="16" t="str">
        <f aca="false">Dec1</f>
        <v>Figer le texte de liquidité du prospectus avant dépôt</v>
      </c>
      <c r="D255" s="16"/>
      <c r="E255" s="16" t="str">
        <f aca="false">DecP1</f>
        <v>Préavis 91 jours, Demandes Prioritaires, issue après 4 dates, assiette du plafonnement, clause de dépassement passif du plancher de 15 %.</v>
      </c>
      <c r="F255" s="16"/>
      <c r="G255" s="17" t="str">
        <f aca="false">DecE1</f>
        <v>Avant le dépôt</v>
      </c>
      <c r="H255" s="4" t="s">
        <v>33</v>
      </c>
    </row>
    <row r="256" customFormat="false" ht="43.5" hidden="false" customHeight="true" outlineLevel="0" collapsed="false">
      <c r="B256" s="20" t="s">
        <v>60</v>
      </c>
      <c r="C256" s="16" t="str">
        <f aca="false">Dec2</f>
        <v>Réintroduire le levier maximal AIFM (100 % engagement et brut)</v>
      </c>
      <c r="D256" s="16"/>
      <c r="E256" s="16" t="str">
        <f aca="false">DecP2</f>
        <v>Obligation de l'art. 23 § 1 a) de la directive ; sans emprunt ni dérivé, le niveau est sans coût.</v>
      </c>
      <c r="F256" s="16"/>
      <c r="G256" s="17" t="str">
        <f aca="false">DecE2</f>
        <v>Avant le dépôt</v>
      </c>
      <c r="H256" s="4" t="s">
        <v>33</v>
      </c>
    </row>
    <row r="257" customFormat="false" ht="43.5" hidden="false" customHeight="true" outlineLevel="0" collapsed="false">
      <c r="B257" s="20" t="s">
        <v>61</v>
      </c>
      <c r="C257" s="16" t="str">
        <f aca="false">Dec3</f>
        <v>Conditionner tout engagement fermé aux dérogations écrites et aux choix de véhicule</v>
      </c>
      <c r="D257" s="16"/>
      <c r="E257" s="16" t="str">
        <f aca="false">DecP3</f>
        <v>Dérogations de ticket MAPIF II et MSIG 3, confirmation AWI, manche et devise de MSIG 3, classe PG NGI.</v>
      </c>
      <c r="F257" s="16"/>
      <c r="G257" s="17" t="str">
        <f aca="false">DecE3</f>
        <v>Avant tout engagement</v>
      </c>
      <c r="H257" s="4" t="s">
        <v>33</v>
      </c>
    </row>
    <row r="258" customFormat="false" ht="43.5" hidden="false" customHeight="true" outlineLevel="0" collapsed="false">
      <c r="B258" s="20" t="s">
        <v>62</v>
      </c>
      <c r="C258" s="16" t="str">
        <f aca="false">Dec4</f>
        <v>Arrêter les limites internes KRI-08 à KRI-11</v>
      </c>
      <c r="D258" s="16"/>
      <c r="E258" s="16" t="str">
        <f aca="false">DecP4</f>
        <v>Gérant 40 %, fonds cible 35 %, dollar non couvert 40 %, péremption des VL à 120 jours pour les fonds fermés.</v>
      </c>
      <c r="F258" s="16"/>
      <c r="G258" s="17" t="str">
        <f aca="false">DecE4</f>
        <v>Prochain comité</v>
      </c>
      <c r="H258" s="4" t="s">
        <v>33</v>
      </c>
    </row>
    <row r="259" customFormat="false" ht="43.5" hidden="false" customHeight="true" outlineLevel="0" collapsed="false">
      <c r="B259" s="20" t="s">
        <v>63</v>
      </c>
      <c r="C259" s="16" t="str">
        <f aca="false">Dec5</f>
        <v>Adopter la règle de séquencement des engagements et de la première fenêtre</v>
      </c>
      <c r="D259" s="16"/>
      <c r="E259" s="16" t="str">
        <f aca="false">DecP5</f>
        <v>Appels à douze mois couverts par la poche ; non-appelé ≤ 15 % de l'actif net à la fin du blocage ; première centralisation après 24 mois de détention Ares.</v>
      </c>
      <c r="F259" s="16"/>
      <c r="G259" s="17" t="str">
        <f aca="false">DecE5</f>
        <v>Au lancement</v>
      </c>
      <c r="H259" s="4" t="s">
        <v>33</v>
      </c>
    </row>
    <row r="260" customFormat="false" ht="43.5" hidden="false" customHeight="true" outlineLevel="0" collapsed="false">
      <c r="B260" s="20" t="s">
        <v>64</v>
      </c>
      <c r="C260" s="16" t="str">
        <f aca="false">Dec6</f>
        <v>Formaliser la gouvernance du Conseiller et la revue des VL reçues</v>
      </c>
      <c r="D260" s="16"/>
      <c r="E260" s="16" t="str">
        <f aca="false">DecP6</f>
        <v>Cartographie du conflit conseil / distribution / révocation ; procédure de revue des VL et calendrier Annexe IV.</v>
      </c>
      <c r="F260" s="16"/>
      <c r="G260" s="17" t="str">
        <f aca="false">DecE6</f>
        <v>T4 2026</v>
      </c>
      <c r="H260" s="4" t="s">
        <v>33</v>
      </c>
    </row>
    <row r="262" customFormat="false" ht="18" hidden="false" customHeight="true" outlineLevel="0" collapsed="false">
      <c r="B262" s="12" t="s">
        <v>427</v>
      </c>
      <c r="C262" s="12"/>
      <c r="D262" s="12"/>
      <c r="E262" s="12"/>
      <c r="F262" s="12"/>
      <c r="G262" s="12"/>
      <c r="H262" s="4" t="s">
        <v>24</v>
      </c>
    </row>
    <row r="263" customFormat="false" ht="117" hidden="false" customHeight="true" outlineLevel="0" collapsed="false">
      <c r="B263" s="21" t="str">
        <f aca="false">"Openstone Infraworld est, par construction, un véhicule de transformation : une promesse de liquidité semestrielle adossée à "&amp;(ROUND((W_FERMES)*100,0)&amp;" %")&amp;" d'actifs sans fenêtre avant dix ans. Le dispositif du prospectus - blocage de deux ans, plafonnement de 5 %, prolongation du préavis, suspension, plancher liquide de 15 %, ni emprunt ni dérivé - est complet au regard de l'annexe V de la directive (UE) 2024/927, et les stress tests montrent qu'il absorbe un choc adverse de 10 % par date. Il ne tient pas face à des rachats de 15 % puis 20 % ni à une crise combinée, et il repose sur des hypothèses de collecte et de distributions qui ne dépendent pas de la Société de Gestion. La Fonction Risques recommande de conditionner le lancement aux décisions 1 à 3 (texte de liquidité, levier maximal, dérogations écrites) et d'arrêter les limites internes de concentration et de change avant la première valeur liquidative. Niveau de confiance : élevé sur le référentiel contractuel et la lecture des fonds cibles, moyen sur les stress tests (hypothèses externes), faible sur le comportement de rachat des porteurs, inconnu à ce stade."</f>
        <v>Openstone Infraworld est, par construction, un véhicule de transformation : une promesse de liquidité semestrielle adossée à 51 % d'actifs sans fenêtre avant dix ans. Le dispositif du prospectus - blocage de deux ans, plafonnement de 5 %, prolongation du préavis, suspension, plancher liquide de 15 %, ni emprunt ni dérivé - est complet au regard de l'annexe V de la directive (UE) 2024/927, et les stress tests montrent qu'il absorbe un choc adverse de 10 % par date. Il ne tient pas face à des rachats de 15 % puis 20 % ni à une crise combinée, et il repose sur des hypothèses de collecte et de distributions qui ne dépendent pas de la Société de Gestion. La Fonction Risques recommande de conditionner le lancement aux décisions 1 à 3 (texte de liquidité, levier maximal, dérogations écrites) et d'arrêter les limites internes de concentration et de change avant la première valeur liquidative. Niveau de confiance : élevé sur le référentiel contractuel et la lecture des fonds cibles, moyen sur les stress tests (hypothèses externes), faible sur le comportement de rachat des porteurs, inconnu à ce stade.</v>
      </c>
      <c r="C263" s="21"/>
      <c r="D263" s="21"/>
      <c r="E263" s="21"/>
      <c r="F263" s="21"/>
      <c r="G263" s="21"/>
      <c r="H263" s="4" t="s">
        <v>66</v>
      </c>
    </row>
    <row r="265" customFormat="false" ht="18" hidden="false" customHeight="true" outlineLevel="0" collapsed="false">
      <c r="B265" s="12" t="s">
        <v>428</v>
      </c>
      <c r="C265" s="12"/>
      <c r="D265" s="12"/>
      <c r="E265" s="12"/>
      <c r="F265" s="12"/>
      <c r="G265" s="12"/>
      <c r="H265" s="4" t="s">
        <v>24</v>
      </c>
    </row>
    <row r="266" customFormat="false" ht="18" hidden="false" customHeight="true" outlineLevel="0" collapsed="false">
      <c r="B266" s="1" t="s">
        <v>429</v>
      </c>
      <c r="C266" s="13" t="s">
        <v>430</v>
      </c>
      <c r="D266" s="13" t="s">
        <v>431</v>
      </c>
      <c r="E266" s="13" t="s">
        <v>81</v>
      </c>
      <c r="F266" s="13" t="s">
        <v>246</v>
      </c>
      <c r="G266" s="1"/>
      <c r="H266" s="4" t="s">
        <v>29</v>
      </c>
    </row>
    <row r="267" customFormat="false" ht="24" hidden="false" customHeight="true" outlineLevel="0" collapsed="false">
      <c r="B267" s="14" t="s">
        <v>432</v>
      </c>
      <c r="C267" s="22" t="n">
        <f aca="false">W_TOT</f>
        <v>1</v>
      </c>
      <c r="D267" s="22" t="n">
        <v>1</v>
      </c>
      <c r="E267" s="15" t="str">
        <f aca="false">IF(ABS(W_TOT-1)&lt;0.0001,"Conforme","Erreur")</f>
        <v>Conforme</v>
      </c>
      <c r="F267" s="16" t="s">
        <v>433</v>
      </c>
      <c r="G267" s="16"/>
      <c r="H267" s="4" t="s">
        <v>33</v>
      </c>
    </row>
    <row r="268" customFormat="false" ht="24" hidden="false" customHeight="true" outlineLevel="0" collapsed="false">
      <c r="B268" s="14" t="s">
        <v>434</v>
      </c>
      <c r="C268" s="22" t="n">
        <f aca="false">Buckets_total</f>
        <v>1</v>
      </c>
      <c r="D268" s="22" t="n">
        <v>1</v>
      </c>
      <c r="E268" s="15" t="str">
        <f aca="false">IF(ABS(Buckets_total-1)&lt;0.0001,"Conforme","Erreur")</f>
        <v>Conforme</v>
      </c>
      <c r="F268" s="16" t="s">
        <v>435</v>
      </c>
      <c r="G268" s="16"/>
      <c r="H268" s="4" t="s">
        <v>33</v>
      </c>
    </row>
    <row r="269" customFormat="false" ht="24" hidden="false" customHeight="true" outlineLevel="0" collapsed="false">
      <c r="B269" s="14" t="s">
        <v>436</v>
      </c>
      <c r="C269" s="23" t="n">
        <f aca="false">Src_perimees</f>
        <v>1</v>
      </c>
      <c r="D269" s="23" t="n">
        <v>0</v>
      </c>
      <c r="E269" s="15" t="str">
        <f aca="false">IF(Src_perimees&lt;=0,"Conforme","Avertissement")</f>
        <v>Avertissement</v>
      </c>
      <c r="F269" s="16" t="str">
        <f aca="false">"Sur "&amp;Src_total&amp;" sources recensées (annexe)"</f>
        <v>Sur 12 sources recensées (annexe)</v>
      </c>
      <c r="G269" s="16"/>
      <c r="H269" s="4" t="s">
        <v>33</v>
      </c>
    </row>
    <row r="270" customFormat="false" ht="24" hidden="false" customHeight="true" outlineLevel="0" collapsed="false">
      <c r="B270" s="14" t="s">
        <v>437</v>
      </c>
      <c r="C270" s="15" t="str">
        <f aca="false">Preavis_j&amp;" jours"</f>
        <v>91 jours</v>
      </c>
      <c r="D270" s="15" t="s">
        <v>438</v>
      </c>
      <c r="E270" s="15" t="s">
        <v>439</v>
      </c>
      <c r="F270" s="16" t="s">
        <v>440</v>
      </c>
      <c r="G270" s="16"/>
      <c r="H270" s="4" t="s">
        <v>33</v>
      </c>
    </row>
    <row r="271" customFormat="false" ht="24" hidden="false" customHeight="true" outlineLevel="0" collapsed="false">
      <c r="B271" s="14" t="s">
        <v>441</v>
      </c>
      <c r="C271" s="29" t="n">
        <f aca="false">IRPc_Fonds</f>
        <v>71.4</v>
      </c>
      <c r="D271" s="29" t="n">
        <f aca="false">IRP_Fonds</f>
        <v>71.4</v>
      </c>
      <c r="E271" s="15" t="str">
        <f aca="false">IF(ABS(IRPc_Fonds-IRP_Fonds)&lt;0.1,"Conforme","Erreur")</f>
        <v>Conforme</v>
      </c>
      <c r="F271" s="16" t="s">
        <v>442</v>
      </c>
      <c r="G271" s="16"/>
      <c r="H271" s="4" t="s">
        <v>33</v>
      </c>
    </row>
    <row r="272" customFormat="false" ht="12.75" hidden="false" customHeight="true" outlineLevel="0" collapsed="false">
      <c r="B272" s="21" t="s">
        <v>443</v>
      </c>
      <c r="C272" s="21"/>
      <c r="D272" s="21"/>
      <c r="E272" s="21"/>
      <c r="F272" s="21"/>
      <c r="G272" s="21"/>
      <c r="H272" s="4" t="s">
        <v>66</v>
      </c>
    </row>
    <row r="274" customFormat="false" ht="19.5" hidden="false" customHeight="true" outlineLevel="0" collapsed="false">
      <c r="B274" s="1" t="s">
        <v>0</v>
      </c>
      <c r="C274" s="2"/>
      <c r="D274" s="2"/>
      <c r="E274" s="2"/>
      <c r="F274" s="2"/>
      <c r="G274" s="3" t="s">
        <v>1</v>
      </c>
      <c r="H274" s="4" t="s">
        <v>2</v>
      </c>
    </row>
    <row r="275" customFormat="false" ht="21.75" hidden="false" customHeight="true" outlineLevel="0" collapsed="false">
      <c r="B275" s="9" t="s">
        <v>444</v>
      </c>
      <c r="C275" s="10"/>
      <c r="D275" s="10"/>
      <c r="E275" s="10"/>
      <c r="F275" s="10"/>
      <c r="G275" s="10"/>
      <c r="H275" s="4" t="s">
        <v>20</v>
      </c>
    </row>
    <row r="276" customFormat="false" ht="15.75" hidden="false" customHeight="true" outlineLevel="0" collapsed="false">
      <c r="B276" s="11" t="s">
        <v>445</v>
      </c>
      <c r="C276" s="10"/>
      <c r="D276" s="10"/>
      <c r="E276" s="10"/>
      <c r="F276" s="10"/>
      <c r="G276" s="10"/>
      <c r="H276" s="4" t="s">
        <v>22</v>
      </c>
    </row>
    <row r="278" customFormat="false" ht="18" hidden="false" customHeight="true" outlineLevel="0" collapsed="false">
      <c r="B278" s="12" t="s">
        <v>446</v>
      </c>
      <c r="C278" s="12"/>
      <c r="D278" s="12"/>
      <c r="E278" s="12"/>
      <c r="F278" s="12"/>
      <c r="G278" s="12"/>
      <c r="H278" s="4" t="s">
        <v>24</v>
      </c>
    </row>
    <row r="279" customFormat="false" ht="18" hidden="false" customHeight="true" outlineLevel="0" collapsed="false">
      <c r="B279" s="1" t="s">
        <v>447</v>
      </c>
      <c r="C279" s="13" t="s">
        <v>91</v>
      </c>
      <c r="D279" s="13"/>
      <c r="E279" s="13"/>
      <c r="F279" s="13" t="s">
        <v>173</v>
      </c>
      <c r="G279" s="1"/>
      <c r="H279" s="4" t="s">
        <v>29</v>
      </c>
    </row>
    <row r="280" customFormat="false" ht="24" hidden="false" customHeight="true" outlineLevel="0" collapsed="false">
      <c r="B280" s="14" t="s">
        <v>448</v>
      </c>
      <c r="C280" s="16" t="s">
        <v>5</v>
      </c>
      <c r="D280" s="16"/>
      <c r="E280" s="16"/>
      <c r="F280" s="16" t="s">
        <v>449</v>
      </c>
      <c r="G280" s="16"/>
      <c r="H280" s="4" t="s">
        <v>33</v>
      </c>
    </row>
    <row r="281" customFormat="false" ht="24" hidden="false" customHeight="true" outlineLevel="0" collapsed="false">
      <c r="B281" s="14" t="s">
        <v>450</v>
      </c>
      <c r="C281" s="16" t="s">
        <v>451</v>
      </c>
      <c r="D281" s="16"/>
      <c r="E281" s="16"/>
      <c r="F281" s="16" t="s">
        <v>452</v>
      </c>
      <c r="G281" s="16"/>
      <c r="H281" s="4" t="s">
        <v>33</v>
      </c>
    </row>
    <row r="282" customFormat="false" ht="24" hidden="false" customHeight="true" outlineLevel="0" collapsed="false">
      <c r="B282" s="14" t="s">
        <v>453</v>
      </c>
      <c r="C282" s="16" t="s">
        <v>454</v>
      </c>
      <c r="D282" s="16"/>
      <c r="E282" s="16"/>
      <c r="F282" s="16" t="s">
        <v>455</v>
      </c>
      <c r="G282" s="16"/>
      <c r="H282" s="4" t="s">
        <v>33</v>
      </c>
    </row>
    <row r="283" customFormat="false" ht="24" hidden="false" customHeight="true" outlineLevel="0" collapsed="false">
      <c r="B283" s="14" t="s">
        <v>456</v>
      </c>
      <c r="C283" s="16" t="s">
        <v>457</v>
      </c>
      <c r="D283" s="16"/>
      <c r="E283" s="16"/>
      <c r="F283" s="16" t="s">
        <v>458</v>
      </c>
      <c r="G283" s="16"/>
      <c r="H283" s="4" t="s">
        <v>33</v>
      </c>
    </row>
    <row r="284" customFormat="false" ht="24" hidden="false" customHeight="true" outlineLevel="0" collapsed="false">
      <c r="B284" s="14" t="s">
        <v>459</v>
      </c>
      <c r="C284" s="16" t="s">
        <v>460</v>
      </c>
      <c r="D284" s="16"/>
      <c r="E284" s="16"/>
      <c r="F284" s="16" t="s">
        <v>461</v>
      </c>
      <c r="G284" s="16"/>
      <c r="H284" s="4" t="s">
        <v>33</v>
      </c>
    </row>
    <row r="285" customFormat="false" ht="24" hidden="false" customHeight="true" outlineLevel="0" collapsed="false">
      <c r="B285" s="14" t="s">
        <v>462</v>
      </c>
      <c r="C285" s="16" t="s">
        <v>463</v>
      </c>
      <c r="D285" s="16"/>
      <c r="E285" s="16"/>
      <c r="F285" s="16" t="s">
        <v>464</v>
      </c>
      <c r="G285" s="16"/>
      <c r="H285" s="4" t="s">
        <v>33</v>
      </c>
    </row>
    <row r="286" customFormat="false" ht="24" hidden="false" customHeight="true" outlineLevel="0" collapsed="false">
      <c r="B286" s="14" t="s">
        <v>465</v>
      </c>
      <c r="C286" s="16" t="s">
        <v>466</v>
      </c>
      <c r="D286" s="16"/>
      <c r="E286" s="16"/>
      <c r="F286" s="16" t="s">
        <v>467</v>
      </c>
      <c r="G286" s="16"/>
      <c r="H286" s="4" t="s">
        <v>33</v>
      </c>
    </row>
    <row r="287" customFormat="false" ht="24" hidden="false" customHeight="true" outlineLevel="0" collapsed="false">
      <c r="B287" s="14" t="s">
        <v>468</v>
      </c>
      <c r="C287" s="16" t="s">
        <v>469</v>
      </c>
      <c r="D287" s="16"/>
      <c r="E287" s="16"/>
      <c r="F287" s="16" t="s">
        <v>470</v>
      </c>
      <c r="G287" s="16"/>
      <c r="H287" s="4" t="s">
        <v>33</v>
      </c>
    </row>
    <row r="288" customFormat="false" ht="24" hidden="false" customHeight="true" outlineLevel="0" collapsed="false">
      <c r="B288" s="14" t="s">
        <v>325</v>
      </c>
      <c r="C288" s="16" t="s">
        <v>471</v>
      </c>
      <c r="D288" s="16"/>
      <c r="E288" s="16"/>
      <c r="F288" s="16" t="s">
        <v>472</v>
      </c>
      <c r="G288" s="16"/>
      <c r="H288" s="4" t="s">
        <v>33</v>
      </c>
    </row>
    <row r="289" customFormat="false" ht="24" hidden="false" customHeight="true" outlineLevel="0" collapsed="false">
      <c r="B289" s="14" t="s">
        <v>473</v>
      </c>
      <c r="C289" s="16" t="str">
        <f aca="false">(ROUND(SRI,0)&amp;"")&amp;" sur 7 - relèvement prudentiel d'une classe (valorisation trimestrielle des sous-jacents)"</f>
        <v>4 sur 7 - relèvement prudentiel d'une classe (valorisation trimestrielle des sous-jacents)</v>
      </c>
      <c r="D289" s="16"/>
      <c r="E289" s="16"/>
      <c r="F289" s="16" t="s">
        <v>474</v>
      </c>
      <c r="G289" s="16"/>
      <c r="H289" s="4" t="s">
        <v>33</v>
      </c>
    </row>
    <row r="290" customFormat="false" ht="24" hidden="false" customHeight="true" outlineLevel="0" collapsed="false">
      <c r="B290" s="14" t="s">
        <v>475</v>
      </c>
      <c r="C290" s="30" t="n">
        <f aca="false">DateArrete</f>
        <v>46301</v>
      </c>
      <c r="D290" s="30"/>
      <c r="E290" s="30"/>
      <c r="F290" s="16" t="s">
        <v>476</v>
      </c>
      <c r="G290" s="16"/>
      <c r="H290" s="4" t="s">
        <v>33</v>
      </c>
    </row>
    <row r="292" customFormat="false" ht="18" hidden="false" customHeight="true" outlineLevel="0" collapsed="false">
      <c r="B292" s="12" t="s">
        <v>477</v>
      </c>
      <c r="C292" s="12"/>
      <c r="D292" s="12"/>
      <c r="E292" s="12"/>
      <c r="F292" s="12"/>
      <c r="G292" s="12"/>
      <c r="H292" s="4" t="s">
        <v>24</v>
      </c>
    </row>
    <row r="293" customFormat="false" ht="18" hidden="false" customHeight="true" outlineLevel="0" collapsed="false">
      <c r="B293" s="1" t="s">
        <v>478</v>
      </c>
      <c r="C293" s="13" t="s">
        <v>479</v>
      </c>
      <c r="D293" s="13" t="s">
        <v>480</v>
      </c>
      <c r="E293" s="13" t="s">
        <v>481</v>
      </c>
      <c r="F293" s="13" t="s">
        <v>482</v>
      </c>
      <c r="G293" s="1" t="s">
        <v>83</v>
      </c>
      <c r="H293" s="4" t="s">
        <v>29</v>
      </c>
    </row>
    <row r="294" customFormat="false" ht="18" hidden="false" customHeight="true" outlineLevel="0" collapsed="false">
      <c r="B294" s="14" t="s">
        <v>483</v>
      </c>
      <c r="C294" s="15" t="s">
        <v>484</v>
      </c>
      <c r="D294" s="15" t="s">
        <v>485</v>
      </c>
      <c r="E294" s="15" t="s">
        <v>486</v>
      </c>
      <c r="F294" s="15" t="s">
        <v>487</v>
      </c>
      <c r="G294" s="17" t="s">
        <v>488</v>
      </c>
      <c r="H294" s="4" t="s">
        <v>33</v>
      </c>
    </row>
    <row r="295" customFormat="false" ht="18" hidden="false" customHeight="true" outlineLevel="0" collapsed="false">
      <c r="B295" s="14" t="s">
        <v>489</v>
      </c>
      <c r="C295" s="15" t="s">
        <v>490</v>
      </c>
      <c r="D295" s="15" t="s">
        <v>491</v>
      </c>
      <c r="E295" s="15" t="s">
        <v>486</v>
      </c>
      <c r="F295" s="15" t="s">
        <v>487</v>
      </c>
      <c r="G295" s="17" t="s">
        <v>492</v>
      </c>
      <c r="H295" s="4" t="s">
        <v>33</v>
      </c>
    </row>
    <row r="296" customFormat="false" ht="18" hidden="false" customHeight="true" outlineLevel="0" collapsed="false">
      <c r="B296" s="14" t="s">
        <v>493</v>
      </c>
      <c r="C296" s="15" t="s">
        <v>494</v>
      </c>
      <c r="D296" s="15" t="s">
        <v>485</v>
      </c>
      <c r="E296" s="15" t="s">
        <v>486</v>
      </c>
      <c r="F296" s="15" t="s">
        <v>495</v>
      </c>
      <c r="G296" s="17" t="s">
        <v>496</v>
      </c>
      <c r="H296" s="4" t="s">
        <v>33</v>
      </c>
    </row>
    <row r="297" customFormat="false" ht="18" hidden="false" customHeight="true" outlineLevel="0" collapsed="false">
      <c r="B297" s="14" t="s">
        <v>497</v>
      </c>
      <c r="C297" s="15" t="s">
        <v>498</v>
      </c>
      <c r="D297" s="15" t="s">
        <v>491</v>
      </c>
      <c r="E297" s="15" t="s">
        <v>486</v>
      </c>
      <c r="F297" s="15" t="s">
        <v>495</v>
      </c>
      <c r="G297" s="17" t="s">
        <v>499</v>
      </c>
      <c r="H297" s="4" t="s">
        <v>33</v>
      </c>
    </row>
    <row r="298" customFormat="false" ht="18" hidden="false" customHeight="true" outlineLevel="0" collapsed="false">
      <c r="B298" s="14" t="s">
        <v>500</v>
      </c>
      <c r="C298" s="15" t="s">
        <v>501</v>
      </c>
      <c r="D298" s="15" t="s">
        <v>485</v>
      </c>
      <c r="E298" s="15" t="s">
        <v>502</v>
      </c>
      <c r="F298" s="15" t="s">
        <v>503</v>
      </c>
      <c r="G298" s="17" t="s">
        <v>504</v>
      </c>
      <c r="H298" s="4" t="s">
        <v>33</v>
      </c>
    </row>
    <row r="299" customFormat="false" ht="18" hidden="false" customHeight="true" outlineLevel="0" collapsed="false">
      <c r="B299" s="14" t="s">
        <v>505</v>
      </c>
      <c r="C299" s="15" t="s">
        <v>506</v>
      </c>
      <c r="D299" s="15" t="s">
        <v>491</v>
      </c>
      <c r="E299" s="15" t="s">
        <v>502</v>
      </c>
      <c r="F299" s="15" t="s">
        <v>503</v>
      </c>
      <c r="G299" s="17"/>
      <c r="H299" s="4" t="s">
        <v>33</v>
      </c>
    </row>
    <row r="300" customFormat="false" ht="18" hidden="false" customHeight="true" outlineLevel="0" collapsed="false">
      <c r="B300" s="14" t="s">
        <v>507</v>
      </c>
      <c r="C300" s="15" t="s">
        <v>508</v>
      </c>
      <c r="D300" s="15" t="s">
        <v>485</v>
      </c>
      <c r="E300" s="15" t="s">
        <v>502</v>
      </c>
      <c r="F300" s="15" t="s">
        <v>509</v>
      </c>
      <c r="G300" s="17" t="s">
        <v>499</v>
      </c>
      <c r="H300" s="4" t="s">
        <v>33</v>
      </c>
    </row>
    <row r="301" customFormat="false" ht="18" hidden="false" customHeight="true" outlineLevel="0" collapsed="false">
      <c r="B301" s="14" t="s">
        <v>510</v>
      </c>
      <c r="C301" s="15" t="s">
        <v>511</v>
      </c>
      <c r="D301" s="15" t="s">
        <v>491</v>
      </c>
      <c r="E301" s="15" t="s">
        <v>502</v>
      </c>
      <c r="F301" s="15" t="s">
        <v>509</v>
      </c>
      <c r="G301" s="17" t="s">
        <v>499</v>
      </c>
      <c r="H301" s="4" t="s">
        <v>33</v>
      </c>
    </row>
    <row r="302" customFormat="false" ht="39" hidden="false" customHeight="true" outlineLevel="0" collapsed="false">
      <c r="B302" s="21" t="str">
        <f aca="false">"Commission de Gestion de la Société de Gestion : "&amp;(SUBSTITUTE(ROUND((Fee_SGP)*100,2)&amp;"",".",",")&amp;" %")&amp;" (minimum 60 000 € par an) ; frais de constitution jusqu'à "&amp;(SUBSTITUTE(ROUND((Fee_Const)*100,2)&amp;"",".",",")&amp;" %")&amp;" ; droits d'entrée jusqu'à "&amp;(ROUND((Fee_Entree)*100,0)&amp;" %")&amp;" ; frais des fonds cibles en sus (1,00 à 1,25 % et commissions de performance de 12,5 à 15 %)."</f>
        <v>Commission de Gestion de la Société de Gestion : 0,18 % (minimum 60 000 € par an) ; frais de constitution jusqu'à 1,25 % ; droits d'entrée jusqu'à 5 % ; frais des fonds cibles en sus (1,00 à 1,25 % et commissions de performance de 12,5 à 15 %).</v>
      </c>
      <c r="C302" s="21"/>
      <c r="D302" s="21"/>
      <c r="E302" s="21"/>
      <c r="F302" s="21"/>
      <c r="G302" s="21"/>
      <c r="H302" s="4" t="s">
        <v>66</v>
      </c>
    </row>
    <row r="304" customFormat="false" ht="18" hidden="false" customHeight="true" outlineLevel="0" collapsed="false">
      <c r="B304" s="12" t="s">
        <v>512</v>
      </c>
      <c r="C304" s="12"/>
      <c r="D304" s="12"/>
      <c r="E304" s="12"/>
      <c r="F304" s="12"/>
      <c r="G304" s="12"/>
      <c r="H304" s="4" t="s">
        <v>24</v>
      </c>
    </row>
    <row r="305" customFormat="false" ht="64.5" hidden="false" customHeight="true" outlineLevel="0" collapsed="false">
      <c r="B305" s="21" t="s">
        <v>513</v>
      </c>
      <c r="C305" s="21"/>
      <c r="D305" s="21"/>
      <c r="E305" s="21"/>
      <c r="F305" s="21"/>
      <c r="G305" s="21"/>
      <c r="H305" s="4" t="s">
        <v>66</v>
      </c>
    </row>
    <row r="307" customFormat="false" ht="18" hidden="false" customHeight="true" outlineLevel="0" collapsed="false">
      <c r="B307" s="12" t="s">
        <v>514</v>
      </c>
      <c r="C307" s="12"/>
      <c r="D307" s="12"/>
      <c r="E307" s="12"/>
      <c r="F307" s="12"/>
      <c r="G307" s="12"/>
      <c r="H307" s="4" t="s">
        <v>24</v>
      </c>
    </row>
    <row r="308" customFormat="false" ht="18" hidden="false" customHeight="true" outlineLevel="0" collapsed="false">
      <c r="B308" s="1" t="s">
        <v>173</v>
      </c>
      <c r="C308" s="13" t="s">
        <v>209</v>
      </c>
      <c r="D308" s="13" t="s">
        <v>515</v>
      </c>
      <c r="E308" s="13" t="s">
        <v>81</v>
      </c>
      <c r="F308" s="13" t="s">
        <v>516</v>
      </c>
      <c r="G308" s="1"/>
      <c r="H308" s="4" t="s">
        <v>29</v>
      </c>
    </row>
    <row r="309" customFormat="false" ht="25.5" hidden="false" customHeight="true" outlineLevel="0" collapsed="false">
      <c r="B309" s="14" t="str">
        <f aca="false">DATA!B6</f>
        <v>Prospectus et Règlement Openstone Infraworld, projet</v>
      </c>
      <c r="C309" s="30" t="n">
        <f aca="false">DATA!C6</f>
        <v>46295</v>
      </c>
      <c r="D309" s="15" t="str">
        <f aca="false">DATA!D6&amp;" j"</f>
        <v>6 j</v>
      </c>
      <c r="E309" s="15" t="str">
        <f aca="false">DATA!F6</f>
        <v>Conforme</v>
      </c>
      <c r="F309" s="16" t="str">
        <f aca="false">DATA!G6</f>
        <v>Référentiel des limites, conditions de rachat, frais, gouvernance.</v>
      </c>
      <c r="G309" s="16"/>
      <c r="H309" s="4" t="s">
        <v>33</v>
      </c>
    </row>
    <row r="310" customFormat="false" ht="25.5" hidden="false" customHeight="true" outlineLevel="0" collapsed="false">
      <c r="B310" s="14" t="str">
        <f aca="false">DATA!B7</f>
        <v>Synthèse commerciale Openstone Infraworld v5.4</v>
      </c>
      <c r="C310" s="30" t="n">
        <f aca="false">DATA!C7</f>
        <v>46295</v>
      </c>
      <c r="D310" s="15" t="str">
        <f aca="false">DATA!D7&amp;" j"</f>
        <v>6 j</v>
      </c>
      <c r="E310" s="15" t="str">
        <f aca="false">DATA!F7</f>
        <v>Conforme</v>
      </c>
      <c r="F310" s="16" t="str">
        <f aca="false">DATA!G7</f>
        <v>Allocation cible, fonds sélectionnés, frais des fonds cibles, objectifs non garantis. Document de pré-commercialisation.</v>
      </c>
      <c r="G310" s="16"/>
      <c r="H310" s="4" t="s">
        <v>33</v>
      </c>
    </row>
    <row r="311" customFormat="false" ht="25.5" hidden="false" customHeight="true" outlineLevel="0" collapsed="false">
      <c r="B311" s="14" t="str">
        <f aca="false">DATA!B8</f>
        <v>Note de liquidité Openstone Infraworld</v>
      </c>
      <c r="C311" s="30" t="n">
        <f aca="false">DATA!C8</f>
        <v>46293</v>
      </c>
      <c r="D311" s="15" t="str">
        <f aca="false">DATA!D8&amp;" j"</f>
        <v>8 j</v>
      </c>
      <c r="E311" s="15" t="str">
        <f aca="false">DATA!F8</f>
        <v>Conforme</v>
      </c>
      <c r="F311" s="16" t="str">
        <f aca="false">DATA!G8</f>
        <v>Outils de gestion de la liquidité, seuils d'alerte, programme de simulations. Préavis de 180 jours à recaler.</v>
      </c>
      <c r="G311" s="16"/>
      <c r="H311" s="4" t="s">
        <v>33</v>
      </c>
    </row>
    <row r="312" customFormat="false" ht="25.5" hidden="false" customHeight="true" outlineLevel="0" collapsed="false">
      <c r="B312" s="14" t="str">
        <f aca="false">DATA!B9</f>
        <v>Classeur « Openstone Stress Test liquidité »</v>
      </c>
      <c r="C312" s="30" t="n">
        <f aca="false">DATA!C9</f>
        <v>46289</v>
      </c>
      <c r="D312" s="15" t="str">
        <f aca="false">DATA!D9&amp;" j"</f>
        <v>12 j</v>
      </c>
      <c r="E312" s="15" t="str">
        <f aca="false">DATA!F9</f>
        <v>Conforme</v>
      </c>
      <c r="F312" s="16" t="str">
        <f aca="false">DATA!G9</f>
        <v>Résultats des neuf scénarios et des tests inversés (onglet 3).</v>
      </c>
      <c r="G312" s="16"/>
      <c r="H312" s="4" t="s">
        <v>33</v>
      </c>
    </row>
    <row r="313" customFormat="false" ht="25.5" hidden="false" customHeight="true" outlineLevel="0" collapsed="false">
      <c r="B313" s="14" t="str">
        <f aca="false">DATA!B10</f>
        <v>Registre des limites du prospectus (25/09/2026) et liste des douze écarts</v>
      </c>
      <c r="C313" s="30" t="n">
        <f aca="false">DATA!C10</f>
        <v>46300</v>
      </c>
      <c r="D313" s="15" t="str">
        <f aca="false">DATA!D10&amp;" j"</f>
        <v>1 j</v>
      </c>
      <c r="E313" s="15" t="str">
        <f aca="false">DATA!F10</f>
        <v>Conforme</v>
      </c>
      <c r="F313" s="16" t="str">
        <f aca="false">DATA!G10</f>
        <v>Onglet 1 et recommandation R2.</v>
      </c>
      <c r="G313" s="16"/>
      <c r="H313" s="4" t="s">
        <v>33</v>
      </c>
    </row>
    <row r="314" customFormat="false" ht="25.5" hidden="false" customHeight="true" outlineLevel="0" collapsed="false">
      <c r="B314" s="14" t="str">
        <f aca="false">DATA!B11</f>
        <v>Initial Risk Profile Openstone Infraworld et quatre fonds cibles</v>
      </c>
      <c r="C314" s="30" t="n">
        <f aca="false">DATA!C11</f>
        <v>46301</v>
      </c>
      <c r="D314" s="15" t="str">
        <f aca="false">DATA!D11&amp;" j"</f>
        <v>0 j</v>
      </c>
      <c r="E314" s="15" t="str">
        <f aca="false">DATA!F11</f>
        <v>Conforme</v>
      </c>
      <c r="F314" s="16" t="str">
        <f aca="false">DATA!G11</f>
        <v>Scores IRP (onglet 4).</v>
      </c>
      <c r="G314" s="16"/>
      <c r="H314" s="4" t="s">
        <v>33</v>
      </c>
    </row>
    <row r="315" customFormat="false" ht="25.5" hidden="false" customHeight="true" outlineLevel="0" collapsed="false">
      <c r="B315" s="14" t="str">
        <f aca="false">DATA!B12</f>
        <v>Classeur « Openstone underlying funds risk and liquidity terms »</v>
      </c>
      <c r="C315" s="30" t="n">
        <f aca="false">DATA!C12</f>
        <v>46279</v>
      </c>
      <c r="D315" s="15" t="str">
        <f aca="false">DATA!D12&amp;" j"</f>
        <v>22 j</v>
      </c>
      <c r="E315" s="15" t="str">
        <f aca="false">DATA!F12</f>
        <v>Conforme</v>
      </c>
      <c r="F315" s="16" t="str">
        <f aca="false">DATA!G12</f>
        <v>Conditions des fonds cibles et vingt écarts documentaires (onglet 4).</v>
      </c>
      <c r="G315" s="16"/>
      <c r="H315" s="4" t="s">
        <v>33</v>
      </c>
    </row>
    <row r="316" customFormat="false" ht="25.5" hidden="false" customHeight="true" outlineLevel="0" collapsed="false">
      <c r="B316" s="14" t="str">
        <f aca="false">DATA!B13</f>
        <v>Documents d'informations clés PRIIPs, parts A1 à B3</v>
      </c>
      <c r="C316" s="30" t="n">
        <f aca="false">DATA!C13</f>
        <v>46294</v>
      </c>
      <c r="D316" s="15" t="str">
        <f aca="false">DATA!D13&amp;" j"</f>
        <v>7 j</v>
      </c>
      <c r="E316" s="15" t="str">
        <f aca="false">DATA!F13</f>
        <v>Conforme</v>
      </c>
      <c r="F316" s="16" t="str">
        <f aca="false">DATA!G13</f>
        <v>SRI 4, période de détention 10 ans, scénarios de performance, coûts.</v>
      </c>
      <c r="G316" s="16"/>
      <c r="H316" s="4" t="s">
        <v>33</v>
      </c>
    </row>
    <row r="317" customFormat="false" ht="25.5" hidden="false" customHeight="true" outlineLevel="0" collapsed="false">
      <c r="B317" s="14" t="str">
        <f aca="false">DATA!B14</f>
        <v>Prospectus AEFS SICAV, annexe 7 Ares Global Infrastructure ELTIF</v>
      </c>
      <c r="C317" s="30" t="n">
        <f aca="false">DATA!C14</f>
        <v>46245</v>
      </c>
      <c r="D317" s="15" t="str">
        <f aca="false">DATA!D14&amp;" j"</f>
        <v>56 j</v>
      </c>
      <c r="E317" s="15" t="str">
        <f aca="false">DATA!F14</f>
        <v>Conforme</v>
      </c>
      <c r="F317" s="16" t="str">
        <f aca="false">DATA!G14</f>
        <v>Termes Ares (visa CSSF du 11/08/2026).</v>
      </c>
      <c r="G317" s="16"/>
      <c r="H317" s="4" t="s">
        <v>33</v>
      </c>
    </row>
    <row r="318" customFormat="false" ht="25.5" hidden="false" customHeight="true" outlineLevel="0" collapsed="false">
      <c r="B318" s="14" t="str">
        <f aca="false">DATA!B15</f>
        <v>Prospectus Partners Group Evergreen SICAV, supplément 2</v>
      </c>
      <c r="C318" s="30" t="n">
        <f aca="false">DATA!C15</f>
        <v>46182</v>
      </c>
      <c r="D318" s="15" t="str">
        <f aca="false">DATA!D15&amp;" j"</f>
        <v>119 j</v>
      </c>
      <c r="E318" s="15" t="str">
        <f aca="false">DATA!F15</f>
        <v>Conforme</v>
      </c>
      <c r="F318" s="16" t="str">
        <f aca="false">DATA!G15</f>
        <v>Termes PG NGI (visa CSSF du 09/06/2026).</v>
      </c>
      <c r="G318" s="16"/>
      <c r="H318" s="4" t="s">
        <v>33</v>
      </c>
    </row>
    <row r="319" customFormat="false" ht="25.5" hidden="false" customHeight="true" outlineLevel="0" collapsed="false">
      <c r="B319" s="14" t="str">
        <f aca="false">DATA!B16</f>
        <v>PPM Macquarie Alliance Partners Infrastructure Fund II</v>
      </c>
      <c r="C319" s="30" t="n">
        <f aca="false">DATA!C16</f>
        <v>46142</v>
      </c>
      <c r="D319" s="15" t="str">
        <f aca="false">DATA!D16&amp;" j"</f>
        <v>159 j</v>
      </c>
      <c r="E319" s="15" t="str">
        <f aca="false">DATA!F16</f>
        <v>Conforme</v>
      </c>
      <c r="F319" s="16" t="str">
        <f aca="false">DATA!G16</f>
        <v>Termes MAPIF II ; LPA du 20/03/2026.</v>
      </c>
      <c r="G319" s="16"/>
      <c r="H319" s="4" t="s">
        <v>33</v>
      </c>
    </row>
    <row r="320" customFormat="false" ht="25.5" hidden="false" customHeight="true" outlineLevel="0" collapsed="false">
      <c r="B320" s="14" t="str">
        <f aca="false">DATA!B17</f>
        <v>PPM Macquarie Specialized Infrastructure Global 3 (USD)</v>
      </c>
      <c r="C320" s="30" t="n">
        <f aca="false">DATA!C17</f>
        <v>46081</v>
      </c>
      <c r="D320" s="15" t="str">
        <f aca="false">DATA!D17&amp;" j"</f>
        <v>220 j</v>
      </c>
      <c r="E320" s="15" t="str">
        <f aca="false">DATA!F17</f>
        <v>Périmée</v>
      </c>
      <c r="F320" s="16" t="str">
        <f aca="false">DATA!G17</f>
        <v>Termes MSIG 3 ; first closing non connu.</v>
      </c>
      <c r="G320" s="16"/>
      <c r="H320" s="4" t="s">
        <v>33</v>
      </c>
    </row>
    <row r="321" customFormat="false" ht="25.5" hidden="false" customHeight="true" outlineLevel="0" collapsed="false">
      <c r="B321" s="21" t="s">
        <v>517</v>
      </c>
      <c r="C321" s="21"/>
      <c r="D321" s="21"/>
      <c r="E321" s="21"/>
      <c r="F321" s="21"/>
      <c r="G321" s="21"/>
      <c r="H321" s="4" t="s">
        <v>66</v>
      </c>
    </row>
  </sheetData>
  <mergeCells count="233">
    <mergeCell ref="B2:G2"/>
    <mergeCell ref="B3:G3"/>
    <mergeCell ref="B4:G4"/>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7:G27"/>
    <mergeCell ref="D29:F29"/>
    <mergeCell ref="D30:F30"/>
    <mergeCell ref="D31:F31"/>
    <mergeCell ref="D32:F32"/>
    <mergeCell ref="D33:F33"/>
    <mergeCell ref="D34:F34"/>
    <mergeCell ref="B36:G36"/>
    <mergeCell ref="B41:G41"/>
    <mergeCell ref="C43:D43"/>
    <mergeCell ref="E43:F43"/>
    <mergeCell ref="C44:D44"/>
    <mergeCell ref="E44:F44"/>
    <mergeCell ref="C45:D45"/>
    <mergeCell ref="E45:F45"/>
    <mergeCell ref="C46:D46"/>
    <mergeCell ref="E46:F46"/>
    <mergeCell ref="C47:D47"/>
    <mergeCell ref="E47:F47"/>
    <mergeCell ref="C48:D48"/>
    <mergeCell ref="E48:F48"/>
    <mergeCell ref="B49:G49"/>
    <mergeCell ref="B55:G55"/>
    <mergeCell ref="B56:G56"/>
    <mergeCell ref="B62:G62"/>
    <mergeCell ref="B76:G76"/>
    <mergeCell ref="D78:E78"/>
    <mergeCell ref="F78:G78"/>
    <mergeCell ref="D79:E79"/>
    <mergeCell ref="F79:G79"/>
    <mergeCell ref="D80:E80"/>
    <mergeCell ref="F80:G80"/>
    <mergeCell ref="D81:E81"/>
    <mergeCell ref="F81:G81"/>
    <mergeCell ref="D82:E82"/>
    <mergeCell ref="F82:G82"/>
    <mergeCell ref="B83:G83"/>
    <mergeCell ref="B89:G89"/>
    <mergeCell ref="B98:G98"/>
    <mergeCell ref="C100:D100"/>
    <mergeCell ref="F100:G100"/>
    <mergeCell ref="C101:D101"/>
    <mergeCell ref="F101:G101"/>
    <mergeCell ref="C102:D102"/>
    <mergeCell ref="F102:G102"/>
    <mergeCell ref="C103:D103"/>
    <mergeCell ref="F103:G103"/>
    <mergeCell ref="C104:D104"/>
    <mergeCell ref="F104:G104"/>
    <mergeCell ref="C105:D105"/>
    <mergeCell ref="F105:G105"/>
    <mergeCell ref="C106:D106"/>
    <mergeCell ref="F106:G106"/>
    <mergeCell ref="C107:D107"/>
    <mergeCell ref="F107:G107"/>
    <mergeCell ref="C108:D108"/>
    <mergeCell ref="F108:G108"/>
    <mergeCell ref="C109:D109"/>
    <mergeCell ref="F109:G109"/>
    <mergeCell ref="B111:G111"/>
    <mergeCell ref="C113:D113"/>
    <mergeCell ref="F113:G113"/>
    <mergeCell ref="C114:D114"/>
    <mergeCell ref="F114:G114"/>
    <mergeCell ref="C115:D115"/>
    <mergeCell ref="F115:G115"/>
    <mergeCell ref="C116:D116"/>
    <mergeCell ref="F116:G116"/>
    <mergeCell ref="C117:D117"/>
    <mergeCell ref="F117:G117"/>
    <mergeCell ref="B118:G118"/>
    <mergeCell ref="B124:G124"/>
    <mergeCell ref="E126:G126"/>
    <mergeCell ref="E127:G127"/>
    <mergeCell ref="E128:G128"/>
    <mergeCell ref="E129:G129"/>
    <mergeCell ref="E130:G130"/>
    <mergeCell ref="E131:G131"/>
    <mergeCell ref="E132:G132"/>
    <mergeCell ref="E133:G133"/>
    <mergeCell ref="B135:G135"/>
    <mergeCell ref="F137:G137"/>
    <mergeCell ref="F138:G138"/>
    <mergeCell ref="F139:G139"/>
    <mergeCell ref="B141:G141"/>
    <mergeCell ref="F143:G143"/>
    <mergeCell ref="F144:G144"/>
    <mergeCell ref="F145:G145"/>
    <mergeCell ref="F146:G146"/>
    <mergeCell ref="F147:G147"/>
    <mergeCell ref="B149:G149"/>
    <mergeCell ref="C151:D151"/>
    <mergeCell ref="E151:F151"/>
    <mergeCell ref="C152:D152"/>
    <mergeCell ref="E152:F152"/>
    <mergeCell ref="C153:D153"/>
    <mergeCell ref="E153:F153"/>
    <mergeCell ref="C154:D154"/>
    <mergeCell ref="E154:F154"/>
    <mergeCell ref="B160:G160"/>
    <mergeCell ref="B172:G172"/>
    <mergeCell ref="C174:D174"/>
    <mergeCell ref="E174:G174"/>
    <mergeCell ref="C175:D175"/>
    <mergeCell ref="E175:G175"/>
    <mergeCell ref="C176:D176"/>
    <mergeCell ref="E176:G176"/>
    <mergeCell ref="C177:D177"/>
    <mergeCell ref="E177:G177"/>
    <mergeCell ref="B179:G179"/>
    <mergeCell ref="B180:G180"/>
    <mergeCell ref="B181:G181"/>
    <mergeCell ref="B187:G187"/>
    <mergeCell ref="F189:G189"/>
    <mergeCell ref="F190:G190"/>
    <mergeCell ref="F191:G191"/>
    <mergeCell ref="F192:G192"/>
    <mergeCell ref="F193:G193"/>
    <mergeCell ref="F194:G194"/>
    <mergeCell ref="F195:G195"/>
    <mergeCell ref="F196:G196"/>
    <mergeCell ref="F197:G197"/>
    <mergeCell ref="F198:G198"/>
    <mergeCell ref="F199:G199"/>
    <mergeCell ref="B201:G201"/>
    <mergeCell ref="B210:G210"/>
    <mergeCell ref="C212:F212"/>
    <mergeCell ref="C213:F213"/>
    <mergeCell ref="C214:F214"/>
    <mergeCell ref="C215:F215"/>
    <mergeCell ref="B221:G221"/>
    <mergeCell ref="E223:F223"/>
    <mergeCell ref="E224:F224"/>
    <mergeCell ref="E225:F225"/>
    <mergeCell ref="B227:G227"/>
    <mergeCell ref="E229:F229"/>
    <mergeCell ref="E230:F230"/>
    <mergeCell ref="E231:F231"/>
    <mergeCell ref="B233:G233"/>
    <mergeCell ref="E235:F235"/>
    <mergeCell ref="E236:F236"/>
    <mergeCell ref="E237:F237"/>
    <mergeCell ref="E238:F238"/>
    <mergeCell ref="B239:G239"/>
    <mergeCell ref="B245:G245"/>
    <mergeCell ref="F247:G247"/>
    <mergeCell ref="F248:G248"/>
    <mergeCell ref="F249:G249"/>
    <mergeCell ref="F250:G250"/>
    <mergeCell ref="F251:G251"/>
    <mergeCell ref="B253:G253"/>
    <mergeCell ref="C255:D255"/>
    <mergeCell ref="E255:F255"/>
    <mergeCell ref="C256:D256"/>
    <mergeCell ref="E256:F256"/>
    <mergeCell ref="C257:D257"/>
    <mergeCell ref="E257:F257"/>
    <mergeCell ref="C258:D258"/>
    <mergeCell ref="E258:F258"/>
    <mergeCell ref="C259:D259"/>
    <mergeCell ref="E259:F259"/>
    <mergeCell ref="C260:D260"/>
    <mergeCell ref="E260:F260"/>
    <mergeCell ref="B262:G262"/>
    <mergeCell ref="B263:G263"/>
    <mergeCell ref="B265:G265"/>
    <mergeCell ref="F267:G267"/>
    <mergeCell ref="F268:G268"/>
    <mergeCell ref="F269:G269"/>
    <mergeCell ref="F270:G270"/>
    <mergeCell ref="F271:G271"/>
    <mergeCell ref="B272:G272"/>
    <mergeCell ref="B278:G278"/>
    <mergeCell ref="C280:E280"/>
    <mergeCell ref="F280:G280"/>
    <mergeCell ref="C281:E281"/>
    <mergeCell ref="F281:G281"/>
    <mergeCell ref="C282:E282"/>
    <mergeCell ref="F282:G282"/>
    <mergeCell ref="C283:E283"/>
    <mergeCell ref="F283:G283"/>
    <mergeCell ref="C284:E284"/>
    <mergeCell ref="F284:G284"/>
    <mergeCell ref="C285:E285"/>
    <mergeCell ref="F285:G285"/>
    <mergeCell ref="C286:E286"/>
    <mergeCell ref="F286:G286"/>
    <mergeCell ref="C287:E287"/>
    <mergeCell ref="F287:G287"/>
    <mergeCell ref="C288:E288"/>
    <mergeCell ref="F288:G288"/>
    <mergeCell ref="C289:E289"/>
    <mergeCell ref="F289:G289"/>
    <mergeCell ref="C290:E290"/>
    <mergeCell ref="F290:G290"/>
    <mergeCell ref="B292:G292"/>
    <mergeCell ref="B302:G302"/>
    <mergeCell ref="B304:G304"/>
    <mergeCell ref="B305:G305"/>
    <mergeCell ref="B307:G307"/>
    <mergeCell ref="F309:G309"/>
    <mergeCell ref="F310:G310"/>
    <mergeCell ref="F311:G311"/>
    <mergeCell ref="F312:G312"/>
    <mergeCell ref="F313:G313"/>
    <mergeCell ref="F314:G314"/>
    <mergeCell ref="F315:G315"/>
    <mergeCell ref="F316:G316"/>
    <mergeCell ref="F317:G317"/>
    <mergeCell ref="F318:G318"/>
    <mergeCell ref="F319:G319"/>
    <mergeCell ref="F320:G320"/>
    <mergeCell ref="B321:G32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9" manualBreakCount="9">
    <brk id="21" man="true" max="16383" min="0"/>
    <brk id="49" man="true" max="16383" min="0"/>
    <brk id="83" man="true" max="16383" min="0"/>
    <brk id="118" man="true" max="16383" min="0"/>
    <brk id="154" man="true" max="16383" min="0"/>
    <brk id="181" man="true" max="16383" min="0"/>
    <brk id="215" man="true" max="16383" min="0"/>
    <brk id="239" man="true" max="16383" min="0"/>
    <brk id="272"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4"/>
    <col collapsed="false" customWidth="true" hidden="false" outlineLevel="0" max="4" min="4" style="0" width="10"/>
    <col collapsed="false" customWidth="true" hidden="false" outlineLevel="0" max="5" min="5" style="0" width="52"/>
    <col collapsed="false" customWidth="true" hidden="false" outlineLevel="0" max="6" min="6" style="0" width="11"/>
    <col collapsed="false" customWidth="true" hidden="false" outlineLevel="0" max="7" min="7" style="0" width="60"/>
  </cols>
  <sheetData>
    <row r="2" customFormat="false" ht="15" hidden="false" customHeight="false" outlineLevel="0" collapsed="false">
      <c r="B2" s="31" t="s">
        <v>518</v>
      </c>
    </row>
    <row r="3" customFormat="false" ht="15" hidden="false" customHeight="false" outlineLevel="0" collapsed="false">
      <c r="B3" s="32" t="s">
        <v>519</v>
      </c>
    </row>
    <row r="5" customFormat="false" ht="18" hidden="false" customHeight="true" outlineLevel="0" collapsed="false">
      <c r="B5" s="33" t="s">
        <v>172</v>
      </c>
      <c r="C5" s="33" t="s">
        <v>79</v>
      </c>
      <c r="D5" s="33" t="s">
        <v>520</v>
      </c>
      <c r="E5" s="33" t="s">
        <v>173</v>
      </c>
      <c r="F5" s="33" t="s">
        <v>521</v>
      </c>
      <c r="G5" s="33" t="s">
        <v>522</v>
      </c>
    </row>
    <row r="6" customFormat="false" ht="15" hidden="false" customHeight="false" outlineLevel="0" collapsed="false">
      <c r="B6" s="1" t="s">
        <v>523</v>
      </c>
      <c r="C6" s="2"/>
      <c r="D6" s="2"/>
      <c r="E6" s="2"/>
      <c r="F6" s="2"/>
      <c r="G6" s="2"/>
    </row>
    <row r="7" customFormat="false" ht="22.35" hidden="false" customHeight="false" outlineLevel="0" collapsed="false">
      <c r="B7" s="34" t="s">
        <v>524</v>
      </c>
      <c r="C7" s="35" t="n">
        <v>46301</v>
      </c>
      <c r="D7" s="34" t="s">
        <v>525</v>
      </c>
      <c r="E7" s="34" t="s">
        <v>526</v>
      </c>
      <c r="F7" s="34" t="s">
        <v>346</v>
      </c>
      <c r="G7" s="34" t="s">
        <v>527</v>
      </c>
    </row>
    <row r="8" customFormat="false" ht="15" hidden="false" customHeight="false" outlineLevel="0" collapsed="false">
      <c r="B8" s="34" t="s">
        <v>528</v>
      </c>
      <c r="C8" s="35" t="n">
        <v>46295</v>
      </c>
      <c r="D8" s="34" t="s">
        <v>525</v>
      </c>
      <c r="E8" s="34" t="s">
        <v>529</v>
      </c>
      <c r="F8" s="34" t="s">
        <v>346</v>
      </c>
      <c r="G8" s="34" t="s">
        <v>530</v>
      </c>
    </row>
    <row r="9" customFormat="false" ht="22.35" hidden="false" customHeight="false" outlineLevel="0" collapsed="false">
      <c r="B9" s="34" t="s">
        <v>531</v>
      </c>
      <c r="C9" s="36" t="n">
        <v>50000000</v>
      </c>
      <c r="D9" s="34" t="s">
        <v>532</v>
      </c>
      <c r="E9" s="34" t="s">
        <v>533</v>
      </c>
      <c r="F9" s="34" t="s">
        <v>134</v>
      </c>
      <c r="G9" s="34" t="s">
        <v>534</v>
      </c>
    </row>
    <row r="10" customFormat="false" ht="15" hidden="false" customHeight="false" outlineLevel="0" collapsed="false">
      <c r="B10" s="34" t="s">
        <v>535</v>
      </c>
      <c r="C10" s="36" t="n">
        <v>300000</v>
      </c>
      <c r="D10" s="34" t="s">
        <v>532</v>
      </c>
      <c r="E10" s="34" t="s">
        <v>536</v>
      </c>
      <c r="F10" s="34" t="s">
        <v>346</v>
      </c>
      <c r="G10" s="34"/>
    </row>
    <row r="11" customFormat="false" ht="22.35" hidden="false" customHeight="false" outlineLevel="0" collapsed="false">
      <c r="B11" s="34" t="s">
        <v>537</v>
      </c>
      <c r="C11" s="36" t="n">
        <v>10000000</v>
      </c>
      <c r="D11" s="34" t="s">
        <v>532</v>
      </c>
      <c r="E11" s="34" t="s">
        <v>538</v>
      </c>
      <c r="F11" s="34" t="s">
        <v>346</v>
      </c>
      <c r="G11" s="34" t="s">
        <v>539</v>
      </c>
    </row>
    <row r="12" customFormat="false" ht="22.35" hidden="false" customHeight="false" outlineLevel="0" collapsed="false">
      <c r="B12" s="34" t="s">
        <v>540</v>
      </c>
      <c r="C12" s="37" t="n">
        <v>100</v>
      </c>
      <c r="D12" s="34" t="s">
        <v>532</v>
      </c>
      <c r="E12" s="34" t="s">
        <v>541</v>
      </c>
      <c r="F12" s="34" t="s">
        <v>346</v>
      </c>
      <c r="G12" s="34" t="s">
        <v>542</v>
      </c>
    </row>
    <row r="13" customFormat="false" ht="22.35" hidden="false" customHeight="false" outlineLevel="0" collapsed="false">
      <c r="B13" s="1" t="s">
        <v>543</v>
      </c>
      <c r="C13" s="2"/>
      <c r="D13" s="2"/>
      <c r="E13" s="2"/>
      <c r="F13" s="2"/>
      <c r="G13" s="2"/>
    </row>
    <row r="14" customFormat="false" ht="22.35" hidden="false" customHeight="false" outlineLevel="0" collapsed="false">
      <c r="B14" s="34" t="s">
        <v>544</v>
      </c>
      <c r="C14" s="38" t="n">
        <v>0.34</v>
      </c>
      <c r="D14" s="34" t="s">
        <v>545</v>
      </c>
      <c r="E14" s="34" t="s">
        <v>546</v>
      </c>
      <c r="F14" s="34" t="s">
        <v>134</v>
      </c>
      <c r="G14" s="34" t="s">
        <v>547</v>
      </c>
    </row>
    <row r="15" customFormat="false" ht="22.35" hidden="false" customHeight="false" outlineLevel="0" collapsed="false">
      <c r="B15" s="34" t="s">
        <v>548</v>
      </c>
      <c r="C15" s="38" t="n">
        <v>0.17</v>
      </c>
      <c r="D15" s="34" t="s">
        <v>545</v>
      </c>
      <c r="E15" s="34" t="s">
        <v>546</v>
      </c>
      <c r="F15" s="34" t="s">
        <v>134</v>
      </c>
      <c r="G15" s="34" t="s">
        <v>549</v>
      </c>
    </row>
    <row r="16" customFormat="false" ht="15" hidden="false" customHeight="false" outlineLevel="0" collapsed="false">
      <c r="B16" s="34" t="s">
        <v>550</v>
      </c>
      <c r="C16" s="38" t="n">
        <v>0.17</v>
      </c>
      <c r="D16" s="34" t="s">
        <v>545</v>
      </c>
      <c r="E16" s="34" t="s">
        <v>546</v>
      </c>
      <c r="F16" s="34" t="s">
        <v>134</v>
      </c>
      <c r="G16" s="34" t="s">
        <v>551</v>
      </c>
    </row>
    <row r="17" customFormat="false" ht="15" hidden="false" customHeight="false" outlineLevel="0" collapsed="false">
      <c r="B17" s="34" t="s">
        <v>552</v>
      </c>
      <c r="C17" s="38" t="n">
        <v>0.17</v>
      </c>
      <c r="D17" s="34" t="s">
        <v>545</v>
      </c>
      <c r="E17" s="34" t="s">
        <v>546</v>
      </c>
      <c r="F17" s="34" t="s">
        <v>134</v>
      </c>
      <c r="G17" s="34" t="s">
        <v>553</v>
      </c>
    </row>
    <row r="18" customFormat="false" ht="22.35" hidden="false" customHeight="false" outlineLevel="0" collapsed="false">
      <c r="B18" s="34" t="s">
        <v>96</v>
      </c>
      <c r="C18" s="38" t="n">
        <v>0.15</v>
      </c>
      <c r="D18" s="34" t="s">
        <v>545</v>
      </c>
      <c r="E18" s="34" t="s">
        <v>554</v>
      </c>
      <c r="F18" s="34" t="s">
        <v>346</v>
      </c>
      <c r="G18" s="34" t="s">
        <v>555</v>
      </c>
    </row>
    <row r="19" customFormat="false" ht="15" hidden="false" customHeight="false" outlineLevel="0" collapsed="false">
      <c r="B19" s="34" t="s">
        <v>556</v>
      </c>
      <c r="C19" s="39" t="n">
        <f aca="false">W_MAPIF+W_MSIG+W_PG+W_ARES+W_LIQ</f>
        <v>1</v>
      </c>
      <c r="D19" s="34" t="s">
        <v>545</v>
      </c>
      <c r="E19" s="34" t="s">
        <v>557</v>
      </c>
      <c r="F19" s="34" t="s">
        <v>90</v>
      </c>
      <c r="G19" s="34" t="s">
        <v>558</v>
      </c>
    </row>
    <row r="20" customFormat="false" ht="15" hidden="false" customHeight="false" outlineLevel="0" collapsed="false">
      <c r="B20" s="34" t="s">
        <v>559</v>
      </c>
      <c r="C20" s="39" t="n">
        <f aca="false">W_MAPIF+W_MSIG</f>
        <v>0.51</v>
      </c>
      <c r="D20" s="34" t="s">
        <v>545</v>
      </c>
      <c r="E20" s="34" t="s">
        <v>557</v>
      </c>
      <c r="F20" s="34" t="s">
        <v>90</v>
      </c>
      <c r="G20" s="34" t="s">
        <v>560</v>
      </c>
    </row>
    <row r="21" customFormat="false" ht="15" hidden="false" customHeight="false" outlineLevel="0" collapsed="false">
      <c r="B21" s="34" t="s">
        <v>561</v>
      </c>
      <c r="C21" s="39" t="n">
        <f aca="false">W_PG+W_ARES</f>
        <v>0.34</v>
      </c>
      <c r="D21" s="34" t="s">
        <v>545</v>
      </c>
      <c r="E21" s="34" t="s">
        <v>557</v>
      </c>
      <c r="F21" s="34" t="s">
        <v>90</v>
      </c>
      <c r="G21" s="34" t="s">
        <v>562</v>
      </c>
    </row>
    <row r="22" customFormat="false" ht="15" hidden="false" customHeight="false" outlineLevel="0" collapsed="false">
      <c r="B22" s="34" t="s">
        <v>563</v>
      </c>
      <c r="C22" s="39" t="n">
        <f aca="false">W_MAPIF+W_MSIG</f>
        <v>0.51</v>
      </c>
      <c r="D22" s="34" t="s">
        <v>545</v>
      </c>
      <c r="E22" s="34" t="s">
        <v>557</v>
      </c>
      <c r="F22" s="34" t="s">
        <v>90</v>
      </c>
      <c r="G22" s="34" t="s">
        <v>564</v>
      </c>
    </row>
    <row r="23" customFormat="false" ht="15" hidden="false" customHeight="false" outlineLevel="0" collapsed="false">
      <c r="B23" s="34" t="s">
        <v>565</v>
      </c>
      <c r="C23" s="39" t="n">
        <f aca="false">W_MAPIF</f>
        <v>0.34</v>
      </c>
      <c r="D23" s="34" t="s">
        <v>545</v>
      </c>
      <c r="E23" s="34" t="s">
        <v>557</v>
      </c>
      <c r="F23" s="34" t="s">
        <v>90</v>
      </c>
      <c r="G23" s="34" t="s">
        <v>566</v>
      </c>
    </row>
    <row r="24" customFormat="false" ht="22.35" hidden="false" customHeight="false" outlineLevel="0" collapsed="false">
      <c r="B24" s="34" t="s">
        <v>567</v>
      </c>
      <c r="C24" s="39" t="n">
        <f aca="false">W_MAPIF+W_MSIG+W_PG</f>
        <v>0.68</v>
      </c>
      <c r="D24" s="34" t="s">
        <v>545</v>
      </c>
      <c r="E24" s="34" t="s">
        <v>557</v>
      </c>
      <c r="F24" s="34" t="s">
        <v>90</v>
      </c>
      <c r="G24" s="34" t="s">
        <v>568</v>
      </c>
    </row>
    <row r="25" customFormat="false" ht="22.35" hidden="false" customHeight="false" outlineLevel="0" collapsed="false">
      <c r="B25" s="1" t="s">
        <v>569</v>
      </c>
      <c r="C25" s="2"/>
      <c r="D25" s="2"/>
      <c r="E25" s="2"/>
      <c r="F25" s="2"/>
      <c r="G25" s="2"/>
    </row>
    <row r="26" customFormat="false" ht="22.35" hidden="false" customHeight="false" outlineLevel="0" collapsed="false">
      <c r="B26" s="34" t="s">
        <v>570</v>
      </c>
      <c r="C26" s="40" t="n">
        <v>24</v>
      </c>
      <c r="D26" s="34" t="s">
        <v>571</v>
      </c>
      <c r="E26" s="34" t="s">
        <v>572</v>
      </c>
      <c r="F26" s="34" t="s">
        <v>346</v>
      </c>
      <c r="G26" s="34"/>
    </row>
    <row r="27" customFormat="false" ht="22.35" hidden="false" customHeight="false" outlineLevel="0" collapsed="false">
      <c r="B27" s="34" t="s">
        <v>573</v>
      </c>
      <c r="C27" s="40" t="n">
        <v>91</v>
      </c>
      <c r="D27" s="34" t="s">
        <v>574</v>
      </c>
      <c r="E27" s="34" t="s">
        <v>575</v>
      </c>
      <c r="F27" s="34" t="s">
        <v>346</v>
      </c>
      <c r="G27" s="34" t="s">
        <v>576</v>
      </c>
    </row>
    <row r="28" customFormat="false" ht="15" hidden="false" customHeight="false" outlineLevel="0" collapsed="false">
      <c r="B28" s="34" t="s">
        <v>577</v>
      </c>
      <c r="C28" s="40" t="n">
        <v>180</v>
      </c>
      <c r="D28" s="34" t="s">
        <v>574</v>
      </c>
      <c r="E28" s="34" t="s">
        <v>578</v>
      </c>
      <c r="F28" s="34" t="s">
        <v>346</v>
      </c>
      <c r="G28" s="34"/>
    </row>
    <row r="29" customFormat="false" ht="15" hidden="false" customHeight="false" outlineLevel="0" collapsed="false">
      <c r="B29" s="34" t="s">
        <v>579</v>
      </c>
      <c r="C29" s="41" t="n">
        <v>0.05</v>
      </c>
      <c r="D29" s="34" t="s">
        <v>545</v>
      </c>
      <c r="E29" s="34" t="s">
        <v>580</v>
      </c>
      <c r="F29" s="34" t="s">
        <v>346</v>
      </c>
      <c r="G29" s="34" t="s">
        <v>581</v>
      </c>
    </row>
    <row r="30" customFormat="false" ht="22.35" hidden="false" customHeight="false" outlineLevel="0" collapsed="false">
      <c r="B30" s="34" t="s">
        <v>582</v>
      </c>
      <c r="C30" s="40" t="n">
        <v>4</v>
      </c>
      <c r="D30" s="34" t="s">
        <v>583</v>
      </c>
      <c r="E30" s="34" t="s">
        <v>584</v>
      </c>
      <c r="F30" s="34" t="s">
        <v>346</v>
      </c>
      <c r="G30" s="34" t="s">
        <v>585</v>
      </c>
    </row>
    <row r="31" customFormat="false" ht="22.35" hidden="false" customHeight="false" outlineLevel="0" collapsed="false">
      <c r="B31" s="34" t="s">
        <v>586</v>
      </c>
      <c r="C31" s="40" t="n">
        <v>35</v>
      </c>
      <c r="D31" s="34" t="s">
        <v>587</v>
      </c>
      <c r="E31" s="34" t="s">
        <v>588</v>
      </c>
      <c r="F31" s="34" t="s">
        <v>346</v>
      </c>
      <c r="G31" s="34"/>
    </row>
    <row r="32" customFormat="false" ht="15" hidden="false" customHeight="false" outlineLevel="0" collapsed="false">
      <c r="B32" s="34" t="s">
        <v>589</v>
      </c>
      <c r="C32" s="40" t="n">
        <v>25</v>
      </c>
      <c r="D32" s="34" t="s">
        <v>587</v>
      </c>
      <c r="E32" s="34" t="s">
        <v>590</v>
      </c>
      <c r="F32" s="34" t="s">
        <v>346</v>
      </c>
      <c r="G32" s="34" t="s">
        <v>591</v>
      </c>
    </row>
    <row r="33" customFormat="false" ht="15" hidden="false" customHeight="false" outlineLevel="0" collapsed="false">
      <c r="B33" s="34" t="s">
        <v>592</v>
      </c>
      <c r="C33" s="40" t="n">
        <v>30</v>
      </c>
      <c r="D33" s="34" t="s">
        <v>587</v>
      </c>
      <c r="E33" s="34" t="s">
        <v>593</v>
      </c>
      <c r="F33" s="34" t="s">
        <v>346</v>
      </c>
      <c r="G33" s="34" t="s">
        <v>594</v>
      </c>
    </row>
    <row r="34" customFormat="false" ht="15" hidden="false" customHeight="false" outlineLevel="0" collapsed="false">
      <c r="B34" s="34" t="s">
        <v>595</v>
      </c>
      <c r="C34" s="38" t="n">
        <v>0.15</v>
      </c>
      <c r="D34" s="34" t="s">
        <v>233</v>
      </c>
      <c r="E34" s="34" t="s">
        <v>596</v>
      </c>
      <c r="F34" s="34" t="s">
        <v>346</v>
      </c>
      <c r="G34" s="34" t="s">
        <v>597</v>
      </c>
    </row>
    <row r="35" customFormat="false" ht="15" hidden="false" customHeight="false" outlineLevel="0" collapsed="false">
      <c r="B35" s="34" t="s">
        <v>598</v>
      </c>
      <c r="C35" s="38" t="n">
        <v>0.16</v>
      </c>
      <c r="D35" s="34" t="s">
        <v>545</v>
      </c>
      <c r="E35" s="34" t="s">
        <v>599</v>
      </c>
      <c r="F35" s="34" t="s">
        <v>134</v>
      </c>
      <c r="G35" s="34"/>
    </row>
    <row r="36" customFormat="false" ht="15" hidden="false" customHeight="false" outlineLevel="0" collapsed="false">
      <c r="B36" s="34" t="s">
        <v>600</v>
      </c>
      <c r="C36" s="38" t="n">
        <v>0.05</v>
      </c>
      <c r="D36" s="34" t="s">
        <v>233</v>
      </c>
      <c r="E36" s="34" t="s">
        <v>601</v>
      </c>
      <c r="F36" s="34" t="s">
        <v>134</v>
      </c>
      <c r="G36" s="34" t="s">
        <v>602</v>
      </c>
    </row>
    <row r="37" customFormat="false" ht="15" hidden="false" customHeight="false" outlineLevel="0" collapsed="false">
      <c r="B37" s="34" t="s">
        <v>603</v>
      </c>
      <c r="C37" s="38" t="n">
        <v>1.3</v>
      </c>
      <c r="D37" s="34" t="s">
        <v>545</v>
      </c>
      <c r="E37" s="34" t="s">
        <v>604</v>
      </c>
      <c r="F37" s="34" t="s">
        <v>346</v>
      </c>
      <c r="G37" s="34" t="s">
        <v>605</v>
      </c>
    </row>
    <row r="38" customFormat="false" ht="15" hidden="false" customHeight="false" outlineLevel="0" collapsed="false">
      <c r="B38" s="34" t="s">
        <v>606</v>
      </c>
      <c r="C38" s="38" t="n">
        <v>0</v>
      </c>
      <c r="D38" s="34" t="s">
        <v>545</v>
      </c>
      <c r="E38" s="34" t="s">
        <v>607</v>
      </c>
      <c r="F38" s="34" t="s">
        <v>346</v>
      </c>
      <c r="G38" s="34" t="s">
        <v>608</v>
      </c>
    </row>
    <row r="39" customFormat="false" ht="22.35" hidden="false" customHeight="false" outlineLevel="0" collapsed="false">
      <c r="B39" s="34" t="s">
        <v>609</v>
      </c>
      <c r="C39" s="38" t="n">
        <v>1</v>
      </c>
      <c r="D39" s="34" t="s">
        <v>545</v>
      </c>
      <c r="E39" s="34" t="s">
        <v>610</v>
      </c>
      <c r="F39" s="34" t="s">
        <v>134</v>
      </c>
      <c r="G39" s="34" t="s">
        <v>611</v>
      </c>
    </row>
    <row r="40" customFormat="false" ht="15" hidden="false" customHeight="false" outlineLevel="0" collapsed="false">
      <c r="B40" s="34" t="s">
        <v>612</v>
      </c>
      <c r="C40" s="38" t="n">
        <v>0.3</v>
      </c>
      <c r="D40" s="34" t="s">
        <v>545</v>
      </c>
      <c r="E40" s="34" t="s">
        <v>613</v>
      </c>
      <c r="F40" s="34" t="s">
        <v>346</v>
      </c>
      <c r="G40" s="34" t="s">
        <v>614</v>
      </c>
    </row>
    <row r="41" customFormat="false" ht="15" hidden="false" customHeight="false" outlineLevel="0" collapsed="false">
      <c r="B41" s="34" t="s">
        <v>615</v>
      </c>
      <c r="C41" s="38" t="n">
        <v>0.1</v>
      </c>
      <c r="D41" s="34" t="s">
        <v>616</v>
      </c>
      <c r="E41" s="34" t="s">
        <v>617</v>
      </c>
      <c r="F41" s="34" t="s">
        <v>346</v>
      </c>
      <c r="G41" s="34" t="s">
        <v>618</v>
      </c>
    </row>
    <row r="42" customFormat="false" ht="15" hidden="false" customHeight="false" outlineLevel="0" collapsed="false">
      <c r="B42" s="1" t="s">
        <v>619</v>
      </c>
      <c r="C42" s="2"/>
      <c r="D42" s="2"/>
      <c r="E42" s="2"/>
      <c r="F42" s="2"/>
      <c r="G42" s="2"/>
    </row>
    <row r="43" customFormat="false" ht="22.35" hidden="false" customHeight="false" outlineLevel="0" collapsed="false">
      <c r="B43" s="34" t="s">
        <v>620</v>
      </c>
      <c r="C43" s="42" t="n">
        <v>0.0018</v>
      </c>
      <c r="D43" s="34" t="s">
        <v>545</v>
      </c>
      <c r="E43" s="34" t="s">
        <v>621</v>
      </c>
      <c r="F43" s="34" t="s">
        <v>346</v>
      </c>
      <c r="G43" s="34" t="s">
        <v>622</v>
      </c>
    </row>
    <row r="44" customFormat="false" ht="15" hidden="false" customHeight="false" outlineLevel="0" collapsed="false">
      <c r="B44" s="34" t="s">
        <v>623</v>
      </c>
      <c r="C44" s="42" t="n">
        <v>0.0107</v>
      </c>
      <c r="D44" s="34" t="s">
        <v>545</v>
      </c>
      <c r="E44" s="34" t="s">
        <v>624</v>
      </c>
      <c r="F44" s="34" t="s">
        <v>346</v>
      </c>
      <c r="G44" s="34" t="s">
        <v>625</v>
      </c>
    </row>
    <row r="45" customFormat="false" ht="22.35" hidden="false" customHeight="false" outlineLevel="0" collapsed="false">
      <c r="B45" s="34" t="s">
        <v>626</v>
      </c>
      <c r="C45" s="42" t="n">
        <v>0.0057</v>
      </c>
      <c r="D45" s="34" t="s">
        <v>545</v>
      </c>
      <c r="E45" s="34" t="s">
        <v>627</v>
      </c>
      <c r="F45" s="34" t="s">
        <v>346</v>
      </c>
      <c r="G45" s="34"/>
    </row>
    <row r="46" customFormat="false" ht="15" hidden="false" customHeight="false" outlineLevel="0" collapsed="false">
      <c r="B46" s="34" t="s">
        <v>628</v>
      </c>
      <c r="C46" s="42" t="n">
        <v>0.0075</v>
      </c>
      <c r="D46" s="34" t="s">
        <v>545</v>
      </c>
      <c r="E46" s="34" t="s">
        <v>629</v>
      </c>
      <c r="F46" s="34" t="s">
        <v>346</v>
      </c>
      <c r="G46" s="34" t="s">
        <v>630</v>
      </c>
    </row>
    <row r="47" customFormat="false" ht="15" hidden="false" customHeight="false" outlineLevel="0" collapsed="false">
      <c r="B47" s="34" t="s">
        <v>631</v>
      </c>
      <c r="C47" s="38" t="n">
        <v>0.05</v>
      </c>
      <c r="D47" s="34" t="s">
        <v>632</v>
      </c>
      <c r="E47" s="34" t="s">
        <v>633</v>
      </c>
      <c r="F47" s="34" t="s">
        <v>346</v>
      </c>
      <c r="G47" s="34" t="s">
        <v>634</v>
      </c>
    </row>
    <row r="48" customFormat="false" ht="22.35" hidden="false" customHeight="false" outlineLevel="0" collapsed="false">
      <c r="B48" s="34" t="s">
        <v>635</v>
      </c>
      <c r="C48" s="42" t="n">
        <v>0.0125</v>
      </c>
      <c r="D48" s="34" t="s">
        <v>545</v>
      </c>
      <c r="E48" s="34" t="s">
        <v>636</v>
      </c>
      <c r="F48" s="34" t="s">
        <v>346</v>
      </c>
      <c r="G48" s="34"/>
    </row>
    <row r="49" customFormat="false" ht="22.35" hidden="false" customHeight="false" outlineLevel="0" collapsed="false">
      <c r="B49" s="34" t="s">
        <v>637</v>
      </c>
      <c r="C49" s="43" t="n">
        <f aca="false">Fee_SGP+Fee_CIF_A+Fee_Distrib</f>
        <v>0.02</v>
      </c>
      <c r="D49" s="34" t="s">
        <v>545</v>
      </c>
      <c r="E49" s="34" t="s">
        <v>557</v>
      </c>
      <c r="F49" s="34" t="s">
        <v>90</v>
      </c>
      <c r="G49" s="34" t="s">
        <v>638</v>
      </c>
    </row>
    <row r="50" customFormat="false" ht="22.35" hidden="false" customHeight="false" outlineLevel="0" collapsed="false">
      <c r="B50" s="1" t="s">
        <v>639</v>
      </c>
      <c r="C50" s="2"/>
      <c r="D50" s="2"/>
      <c r="E50" s="2"/>
      <c r="F50" s="2"/>
      <c r="G50" s="2"/>
    </row>
    <row r="51" customFormat="false" ht="15" hidden="false" customHeight="false" outlineLevel="0" collapsed="false">
      <c r="B51" s="34" t="s">
        <v>640</v>
      </c>
      <c r="C51" s="38" t="n">
        <v>0.25</v>
      </c>
      <c r="D51" s="34" t="s">
        <v>545</v>
      </c>
      <c r="E51" s="34" t="s">
        <v>641</v>
      </c>
      <c r="F51" s="34" t="s">
        <v>134</v>
      </c>
      <c r="G51" s="34" t="s">
        <v>642</v>
      </c>
    </row>
    <row r="52" customFormat="false" ht="15" hidden="false" customHeight="false" outlineLevel="0" collapsed="false">
      <c r="B52" s="34" t="s">
        <v>643</v>
      </c>
      <c r="C52" s="40" t="n">
        <v>25</v>
      </c>
      <c r="D52" s="34" t="s">
        <v>571</v>
      </c>
      <c r="E52" s="34" t="s">
        <v>641</v>
      </c>
      <c r="F52" s="34" t="s">
        <v>134</v>
      </c>
      <c r="G52" s="34" t="s">
        <v>644</v>
      </c>
    </row>
    <row r="53" customFormat="false" ht="15" hidden="false" customHeight="false" outlineLevel="0" collapsed="false">
      <c r="B53" s="34" t="s">
        <v>645</v>
      </c>
      <c r="C53" s="38" t="n">
        <v>0.05</v>
      </c>
      <c r="D53" s="34" t="s">
        <v>233</v>
      </c>
      <c r="E53" s="34" t="s">
        <v>641</v>
      </c>
      <c r="F53" s="34" t="s">
        <v>134</v>
      </c>
      <c r="G53" s="34" t="s">
        <v>646</v>
      </c>
    </row>
    <row r="54" customFormat="false" ht="15" hidden="false" customHeight="false" outlineLevel="0" collapsed="false">
      <c r="B54" s="34" t="s">
        <v>647</v>
      </c>
      <c r="C54" s="44" t="n">
        <v>1.5</v>
      </c>
      <c r="D54" s="34" t="s">
        <v>648</v>
      </c>
      <c r="E54" s="34" t="s">
        <v>641</v>
      </c>
      <c r="F54" s="34" t="s">
        <v>134</v>
      </c>
      <c r="G54" s="34" t="s">
        <v>649</v>
      </c>
    </row>
    <row r="55" customFormat="false" ht="15" hidden="false" customHeight="false" outlineLevel="0" collapsed="false">
      <c r="B55" s="34" t="s">
        <v>650</v>
      </c>
      <c r="C55" s="44" t="n">
        <v>1</v>
      </c>
      <c r="D55" s="34" t="s">
        <v>648</v>
      </c>
      <c r="E55" s="34" t="s">
        <v>641</v>
      </c>
      <c r="F55" s="34" t="s">
        <v>134</v>
      </c>
      <c r="G55" s="34"/>
    </row>
    <row r="56" customFormat="false" ht="15" hidden="false" customHeight="false" outlineLevel="0" collapsed="false">
      <c r="B56" s="34" t="s">
        <v>651</v>
      </c>
      <c r="C56" s="38" t="n">
        <v>1.2</v>
      </c>
      <c r="D56" s="34" t="s">
        <v>545</v>
      </c>
      <c r="E56" s="34" t="s">
        <v>641</v>
      </c>
      <c r="F56" s="34" t="s">
        <v>134</v>
      </c>
      <c r="G56" s="34" t="s">
        <v>652</v>
      </c>
    </row>
    <row r="57" customFormat="false" ht="15" hidden="false" customHeight="false" outlineLevel="0" collapsed="false">
      <c r="B57" s="34" t="s">
        <v>653</v>
      </c>
      <c r="C57" s="38" t="n">
        <v>0.1</v>
      </c>
      <c r="D57" s="34" t="s">
        <v>545</v>
      </c>
      <c r="E57" s="34" t="s">
        <v>641</v>
      </c>
      <c r="F57" s="34" t="s">
        <v>134</v>
      </c>
      <c r="G57" s="34" t="s">
        <v>654</v>
      </c>
    </row>
    <row r="58" customFormat="false" ht="15" hidden="false" customHeight="false" outlineLevel="0" collapsed="false">
      <c r="B58" s="34" t="s">
        <v>655</v>
      </c>
      <c r="C58" s="38" t="n">
        <v>0.25</v>
      </c>
      <c r="D58" s="34" t="s">
        <v>545</v>
      </c>
      <c r="E58" s="34" t="s">
        <v>641</v>
      </c>
      <c r="F58" s="34" t="s">
        <v>134</v>
      </c>
      <c r="G58" s="34" t="s">
        <v>656</v>
      </c>
    </row>
    <row r="59" customFormat="false" ht="15" hidden="false" customHeight="false" outlineLevel="0" collapsed="false">
      <c r="B59" s="1" t="s">
        <v>657</v>
      </c>
      <c r="C59" s="2"/>
      <c r="D59" s="2"/>
      <c r="E59" s="2"/>
      <c r="F59" s="2"/>
      <c r="G59" s="2"/>
    </row>
    <row r="60" customFormat="false" ht="15" hidden="false" customHeight="false" outlineLevel="0" collapsed="false">
      <c r="B60" s="34" t="s">
        <v>658</v>
      </c>
      <c r="C60" s="44" t="n">
        <v>71.4</v>
      </c>
      <c r="D60" s="34" t="s">
        <v>659</v>
      </c>
      <c r="E60" s="34" t="s">
        <v>660</v>
      </c>
      <c r="F60" s="34" t="s">
        <v>346</v>
      </c>
      <c r="G60" s="34" t="s">
        <v>661</v>
      </c>
    </row>
    <row r="61" customFormat="false" ht="15" hidden="false" customHeight="false" outlineLevel="0" collapsed="false">
      <c r="B61" s="34" t="s">
        <v>662</v>
      </c>
      <c r="C61" s="44" t="n">
        <v>62.1</v>
      </c>
      <c r="D61" s="34" t="s">
        <v>659</v>
      </c>
      <c r="E61" s="34" t="s">
        <v>663</v>
      </c>
      <c r="F61" s="34" t="s">
        <v>346</v>
      </c>
      <c r="G61" s="34" t="s">
        <v>664</v>
      </c>
    </row>
    <row r="62" customFormat="false" ht="15" hidden="false" customHeight="false" outlineLevel="0" collapsed="false">
      <c r="B62" s="34" t="s">
        <v>665</v>
      </c>
      <c r="C62" s="44" t="n">
        <v>52.1</v>
      </c>
      <c r="D62" s="34" t="s">
        <v>659</v>
      </c>
      <c r="E62" s="34" t="s">
        <v>666</v>
      </c>
      <c r="F62" s="34" t="s">
        <v>346</v>
      </c>
      <c r="G62" s="34" t="s">
        <v>667</v>
      </c>
    </row>
    <row r="63" customFormat="false" ht="15" hidden="false" customHeight="false" outlineLevel="0" collapsed="false">
      <c r="B63" s="34" t="s">
        <v>668</v>
      </c>
      <c r="C63" s="44" t="n">
        <v>82.3</v>
      </c>
      <c r="D63" s="34" t="s">
        <v>659</v>
      </c>
      <c r="E63" s="34" t="s">
        <v>669</v>
      </c>
      <c r="F63" s="34" t="s">
        <v>346</v>
      </c>
      <c r="G63" s="34" t="s">
        <v>670</v>
      </c>
    </row>
    <row r="64" customFormat="false" ht="15" hidden="false" customHeight="false" outlineLevel="0" collapsed="false">
      <c r="B64" s="34" t="s">
        <v>671</v>
      </c>
      <c r="C64" s="44" t="n">
        <v>92.6</v>
      </c>
      <c r="D64" s="34" t="s">
        <v>659</v>
      </c>
      <c r="E64" s="34" t="s">
        <v>672</v>
      </c>
      <c r="F64" s="34" t="s">
        <v>346</v>
      </c>
      <c r="G64" s="34" t="s">
        <v>673</v>
      </c>
    </row>
    <row r="65" customFormat="false" ht="15" hidden="false" customHeight="false" outlineLevel="0" collapsed="false">
      <c r="B65" s="34" t="s">
        <v>674</v>
      </c>
      <c r="C65" s="44" t="n">
        <v>86.4</v>
      </c>
      <c r="D65" s="34" t="s">
        <v>659</v>
      </c>
      <c r="E65" s="34" t="s">
        <v>675</v>
      </c>
      <c r="F65" s="34" t="s">
        <v>346</v>
      </c>
      <c r="G65" s="34" t="s">
        <v>676</v>
      </c>
    </row>
    <row r="66" customFormat="false" ht="22.35" hidden="false" customHeight="false" outlineLevel="0" collapsed="false">
      <c r="B66" s="34" t="s">
        <v>677</v>
      </c>
      <c r="C66" s="40" t="n">
        <v>4</v>
      </c>
      <c r="D66" s="34" t="s">
        <v>678</v>
      </c>
      <c r="E66" s="34" t="s">
        <v>679</v>
      </c>
      <c r="F66" s="34" t="s">
        <v>346</v>
      </c>
      <c r="G66" s="34" t="s">
        <v>680</v>
      </c>
    </row>
    <row r="67" customFormat="false" ht="15" hidden="false" customHeight="false" outlineLevel="0" collapsed="false">
      <c r="B67" s="34" t="s">
        <v>681</v>
      </c>
      <c r="C67" s="40" t="n">
        <v>10</v>
      </c>
      <c r="D67" s="34" t="s">
        <v>682</v>
      </c>
      <c r="E67" s="34" t="s">
        <v>683</v>
      </c>
      <c r="F67" s="34" t="s">
        <v>346</v>
      </c>
      <c r="G67" s="34" t="s">
        <v>684</v>
      </c>
    </row>
    <row r="69" customFormat="false" ht="25.5" hidden="false" customHeight="true" outlineLevel="0" collapsed="false">
      <c r="B69" s="21" t="s">
        <v>685</v>
      </c>
      <c r="C69" s="21"/>
      <c r="D69" s="21"/>
      <c r="E69" s="21"/>
      <c r="F69" s="21"/>
      <c r="G69" s="21"/>
    </row>
  </sheetData>
  <mergeCells count="1">
    <mergeCell ref="B69:G6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40"/>
    <col collapsed="false" customWidth="true" hidden="false" outlineLevel="0" max="6" min="4" style="0" width="12"/>
    <col collapsed="false" customWidth="true" hidden="false" outlineLevel="0" max="7" min="7" style="0" width="22"/>
    <col collapsed="false" customWidth="true" hidden="false" outlineLevel="0" max="8" min="8" style="0" width="30"/>
    <col collapsed="false" customWidth="true" hidden="false" outlineLevel="0" max="9" min="9" style="0" width="52"/>
  </cols>
  <sheetData>
    <row r="2" customFormat="false" ht="15" hidden="false" customHeight="false" outlineLevel="0" collapsed="false">
      <c r="B2" s="31" t="s">
        <v>686</v>
      </c>
    </row>
    <row r="3" customFormat="false" ht="15" hidden="false" customHeight="false" outlineLevel="0" collapsed="false">
      <c r="B3" s="32" t="s">
        <v>687</v>
      </c>
    </row>
    <row r="5" customFormat="false" ht="18" hidden="false" customHeight="true" outlineLevel="0" collapsed="false">
      <c r="B5" s="33" t="s">
        <v>354</v>
      </c>
      <c r="C5" s="33" t="s">
        <v>688</v>
      </c>
      <c r="D5" s="33" t="s">
        <v>689</v>
      </c>
      <c r="E5" s="33" t="s">
        <v>688</v>
      </c>
      <c r="F5" s="33" t="s">
        <v>690</v>
      </c>
      <c r="G5" s="33" t="s">
        <v>81</v>
      </c>
      <c r="H5" s="33" t="s">
        <v>691</v>
      </c>
      <c r="I5" s="33" t="s">
        <v>692</v>
      </c>
    </row>
    <row r="6" customFormat="false" ht="64.15" hidden="false" customHeight="false" outlineLevel="0" collapsed="false">
      <c r="B6" s="1" t="s">
        <v>693</v>
      </c>
      <c r="C6" s="2"/>
      <c r="D6" s="2"/>
      <c r="E6" s="2"/>
      <c r="F6" s="2"/>
      <c r="G6" s="2"/>
      <c r="H6" s="2"/>
      <c r="I6" s="2"/>
    </row>
    <row r="7" customFormat="false" ht="30" hidden="false" customHeight="true" outlineLevel="0" collapsed="false">
      <c r="B7" s="34" t="s">
        <v>694</v>
      </c>
      <c r="C7" s="34" t="s">
        <v>695</v>
      </c>
      <c r="D7" s="34" t="s">
        <v>696</v>
      </c>
      <c r="E7" s="34" t="s">
        <v>90</v>
      </c>
      <c r="F7" s="34" t="s">
        <v>90</v>
      </c>
      <c r="G7" s="34" t="s">
        <v>697</v>
      </c>
      <c r="H7" s="34" t="s">
        <v>698</v>
      </c>
      <c r="I7" s="34" t="s">
        <v>699</v>
      </c>
    </row>
    <row r="8" customFormat="false" ht="30" hidden="false" customHeight="true" outlineLevel="0" collapsed="false">
      <c r="B8" s="34" t="s">
        <v>700</v>
      </c>
      <c r="C8" s="34" t="s">
        <v>701</v>
      </c>
      <c r="D8" s="34" t="s">
        <v>696</v>
      </c>
      <c r="E8" s="34" t="s">
        <v>90</v>
      </c>
      <c r="F8" s="34" t="s">
        <v>90</v>
      </c>
      <c r="G8" s="34" t="s">
        <v>697</v>
      </c>
      <c r="H8" s="34" t="s">
        <v>698</v>
      </c>
      <c r="I8" s="34" t="s">
        <v>702</v>
      </c>
    </row>
    <row r="9" customFormat="false" ht="30" hidden="false" customHeight="true" outlineLevel="0" collapsed="false">
      <c r="B9" s="34" t="s">
        <v>703</v>
      </c>
      <c r="C9" s="34" t="s">
        <v>612</v>
      </c>
      <c r="D9" s="34" t="s">
        <v>704</v>
      </c>
      <c r="E9" s="39" t="n">
        <f aca="false">Entreprises_max</f>
        <v>0.3</v>
      </c>
      <c r="F9" s="39" t="n">
        <f aca="false">Entreprises_max-0.05</f>
        <v>0.25</v>
      </c>
      <c r="G9" s="34" t="s">
        <v>697</v>
      </c>
      <c r="H9" s="34" t="s">
        <v>705</v>
      </c>
      <c r="I9" s="34" t="s">
        <v>706</v>
      </c>
    </row>
    <row r="10" customFormat="false" ht="30" hidden="false" customHeight="true" outlineLevel="0" collapsed="false">
      <c r="B10" s="34" t="s">
        <v>707</v>
      </c>
      <c r="C10" s="34" t="s">
        <v>708</v>
      </c>
      <c r="D10" s="34" t="s">
        <v>704</v>
      </c>
      <c r="E10" s="39" t="n">
        <v>1</v>
      </c>
      <c r="F10" s="39" t="s">
        <v>90</v>
      </c>
      <c r="G10" s="34" t="s">
        <v>697</v>
      </c>
      <c r="H10" s="34" t="s">
        <v>705</v>
      </c>
      <c r="I10" s="34" t="s">
        <v>709</v>
      </c>
    </row>
    <row r="11" customFormat="false" ht="30" hidden="false" customHeight="true" outlineLevel="0" collapsed="false">
      <c r="B11" s="34" t="s">
        <v>710</v>
      </c>
      <c r="C11" s="34" t="s">
        <v>711</v>
      </c>
      <c r="D11" s="34" t="s">
        <v>704</v>
      </c>
      <c r="E11" s="39" t="n">
        <v>0</v>
      </c>
      <c r="F11" s="39" t="s">
        <v>90</v>
      </c>
      <c r="G11" s="34" t="s">
        <v>104</v>
      </c>
      <c r="H11" s="34" t="s">
        <v>712</v>
      </c>
      <c r="I11" s="34" t="s">
        <v>713</v>
      </c>
    </row>
    <row r="12" customFormat="false" ht="30" hidden="false" customHeight="true" outlineLevel="0" collapsed="false">
      <c r="B12" s="34" t="s">
        <v>714</v>
      </c>
      <c r="C12" s="34" t="s">
        <v>715</v>
      </c>
      <c r="D12" s="34" t="s">
        <v>704</v>
      </c>
      <c r="E12" s="39" t="n">
        <v>0</v>
      </c>
      <c r="F12" s="39" t="s">
        <v>90</v>
      </c>
      <c r="G12" s="34" t="s">
        <v>104</v>
      </c>
      <c r="H12" s="34" t="s">
        <v>712</v>
      </c>
      <c r="I12" s="34" t="s">
        <v>716</v>
      </c>
    </row>
    <row r="13" customFormat="false" ht="30" hidden="false" customHeight="true" outlineLevel="0" collapsed="false">
      <c r="B13" s="34" t="s">
        <v>717</v>
      </c>
      <c r="C13" s="34" t="s">
        <v>718</v>
      </c>
      <c r="D13" s="34" t="s">
        <v>719</v>
      </c>
      <c r="E13" s="34" t="s">
        <v>90</v>
      </c>
      <c r="F13" s="34" t="s">
        <v>90</v>
      </c>
      <c r="G13" s="34" t="s">
        <v>104</v>
      </c>
      <c r="H13" s="34" t="s">
        <v>698</v>
      </c>
      <c r="I13" s="34" t="s">
        <v>720</v>
      </c>
    </row>
    <row r="14" customFormat="false" ht="30" hidden="false" customHeight="true" outlineLevel="0" collapsed="false">
      <c r="B14" s="34" t="s">
        <v>105</v>
      </c>
      <c r="C14" s="34" t="s">
        <v>721</v>
      </c>
      <c r="D14" s="34" t="s">
        <v>704</v>
      </c>
      <c r="E14" s="39" t="n">
        <f aca="false">Surengagement_max</f>
        <v>1.3</v>
      </c>
      <c r="F14" s="39" t="n">
        <f aca="false">S_sureng_orange</f>
        <v>1.2</v>
      </c>
      <c r="G14" s="34" t="s">
        <v>697</v>
      </c>
      <c r="H14" s="34" t="s">
        <v>722</v>
      </c>
      <c r="I14" s="34" t="s">
        <v>723</v>
      </c>
    </row>
    <row r="15" customFormat="false" ht="30" hidden="false" customHeight="true" outlineLevel="0" collapsed="false">
      <c r="B15" s="34" t="s">
        <v>98</v>
      </c>
      <c r="C15" s="34" t="s">
        <v>595</v>
      </c>
      <c r="D15" s="34" t="s">
        <v>704</v>
      </c>
      <c r="E15" s="39" t="n">
        <f aca="false">Liq_min</f>
        <v>0.15</v>
      </c>
      <c r="F15" s="39" t="n">
        <f aca="false">Liq_cible</f>
        <v>0.16</v>
      </c>
      <c r="G15" s="34" t="s">
        <v>697</v>
      </c>
      <c r="H15" s="34" t="s">
        <v>724</v>
      </c>
      <c r="I15" s="34" t="s">
        <v>725</v>
      </c>
    </row>
    <row r="16" customFormat="false" ht="30" hidden="false" customHeight="true" outlineLevel="0" collapsed="false">
      <c r="B16" s="34" t="s">
        <v>726</v>
      </c>
      <c r="C16" s="34" t="s">
        <v>727</v>
      </c>
      <c r="D16" s="34" t="s">
        <v>704</v>
      </c>
      <c r="E16" s="39" t="n">
        <f aca="false">Surengagement_max</f>
        <v>1.3</v>
      </c>
      <c r="F16" s="39" t="s">
        <v>90</v>
      </c>
      <c r="G16" s="34" t="s">
        <v>104</v>
      </c>
      <c r="H16" s="34" t="s">
        <v>728</v>
      </c>
      <c r="I16" s="34" t="s">
        <v>729</v>
      </c>
    </row>
    <row r="17" customFormat="false" ht="30" hidden="false" customHeight="true" outlineLevel="0" collapsed="false">
      <c r="B17" s="34" t="s">
        <v>730</v>
      </c>
      <c r="C17" s="34" t="s">
        <v>606</v>
      </c>
      <c r="D17" s="34" t="s">
        <v>704</v>
      </c>
      <c r="E17" s="39" t="n">
        <f aca="false">Emprunt_max</f>
        <v>0</v>
      </c>
      <c r="F17" s="39" t="s">
        <v>90</v>
      </c>
      <c r="G17" s="34" t="s">
        <v>104</v>
      </c>
      <c r="H17" s="34" t="s">
        <v>712</v>
      </c>
      <c r="I17" s="34" t="s">
        <v>731</v>
      </c>
    </row>
    <row r="18" customFormat="false" ht="30" hidden="false" customHeight="true" outlineLevel="0" collapsed="false">
      <c r="B18" s="34" t="s">
        <v>732</v>
      </c>
      <c r="C18" s="34" t="s">
        <v>733</v>
      </c>
      <c r="D18" s="34" t="s">
        <v>704</v>
      </c>
      <c r="E18" s="39" t="n">
        <f aca="false">Pers_phys_max</f>
        <v>0.1</v>
      </c>
      <c r="F18" s="39" t="s">
        <v>90</v>
      </c>
      <c r="G18" s="34" t="s">
        <v>697</v>
      </c>
      <c r="H18" s="34" t="s">
        <v>734</v>
      </c>
      <c r="I18" s="34" t="s">
        <v>735</v>
      </c>
    </row>
    <row r="19" customFormat="false" ht="30" hidden="false" customHeight="true" outlineLevel="0" collapsed="false">
      <c r="B19" s="34" t="s">
        <v>736</v>
      </c>
      <c r="C19" s="34" t="s">
        <v>737</v>
      </c>
      <c r="D19" s="34" t="s">
        <v>704</v>
      </c>
      <c r="E19" s="39" t="n">
        <f aca="false">Gate</f>
        <v>0.05</v>
      </c>
      <c r="F19" s="39" t="s">
        <v>90</v>
      </c>
      <c r="G19" s="34" t="s">
        <v>697</v>
      </c>
      <c r="H19" s="34" t="s">
        <v>738</v>
      </c>
      <c r="I19" s="34" t="s">
        <v>739</v>
      </c>
    </row>
    <row r="20" customFormat="false" ht="30" hidden="false" customHeight="true" outlineLevel="0" collapsed="false">
      <c r="B20" s="34" t="s">
        <v>740</v>
      </c>
      <c r="C20" s="34" t="s">
        <v>741</v>
      </c>
      <c r="D20" s="34" t="s">
        <v>704</v>
      </c>
      <c r="E20" s="34" t="s">
        <v>90</v>
      </c>
      <c r="F20" s="34" t="s">
        <v>90</v>
      </c>
      <c r="G20" s="34" t="s">
        <v>104</v>
      </c>
      <c r="H20" s="34" t="s">
        <v>742</v>
      </c>
      <c r="I20" s="34" t="s">
        <v>743</v>
      </c>
    </row>
    <row r="21" customFormat="false" ht="116.4" hidden="false" customHeight="false" outlineLevel="0" collapsed="false">
      <c r="B21" s="1" t="s">
        <v>744</v>
      </c>
      <c r="C21" s="2"/>
      <c r="D21" s="2"/>
      <c r="E21" s="2"/>
      <c r="F21" s="2"/>
      <c r="G21" s="2"/>
      <c r="H21" s="2"/>
      <c r="I21" s="2"/>
    </row>
    <row r="22" customFormat="false" ht="30" hidden="false" customHeight="true" outlineLevel="0" collapsed="false">
      <c r="B22" s="34" t="s">
        <v>745</v>
      </c>
      <c r="C22" s="34" t="s">
        <v>746</v>
      </c>
      <c r="D22" s="34" t="s">
        <v>747</v>
      </c>
      <c r="E22" s="39" t="n">
        <v>0.1</v>
      </c>
      <c r="F22" s="39" t="n">
        <v>0.05</v>
      </c>
      <c r="G22" s="34" t="s">
        <v>748</v>
      </c>
      <c r="H22" s="34" t="s">
        <v>728</v>
      </c>
      <c r="I22" s="34" t="s">
        <v>749</v>
      </c>
    </row>
    <row r="23" customFormat="false" ht="30" hidden="false" customHeight="true" outlineLevel="0" collapsed="false">
      <c r="B23" s="34" t="s">
        <v>750</v>
      </c>
      <c r="C23" s="34" t="s">
        <v>751</v>
      </c>
      <c r="D23" s="34" t="s">
        <v>747</v>
      </c>
      <c r="E23" s="39" t="n">
        <f aca="false">S_file_rouge</f>
        <v>0.25</v>
      </c>
      <c r="F23" s="39" t="n">
        <v>0.0001</v>
      </c>
      <c r="G23" s="34" t="s">
        <v>748</v>
      </c>
      <c r="H23" s="34" t="s">
        <v>728</v>
      </c>
      <c r="I23" s="34" t="s">
        <v>752</v>
      </c>
    </row>
    <row r="24" customFormat="false" ht="30" hidden="false" customHeight="true" outlineLevel="0" collapsed="false">
      <c r="B24" s="34" t="s">
        <v>753</v>
      </c>
      <c r="C24" s="34" t="s">
        <v>754</v>
      </c>
      <c r="D24" s="34" t="s">
        <v>747</v>
      </c>
      <c r="E24" s="45" t="n">
        <f aca="false">Gate_dates</f>
        <v>4</v>
      </c>
      <c r="F24" s="45" t="n">
        <v>1</v>
      </c>
      <c r="G24" s="34" t="s">
        <v>748</v>
      </c>
      <c r="H24" s="34" t="s">
        <v>414</v>
      </c>
      <c r="I24" s="34" t="s">
        <v>755</v>
      </c>
    </row>
    <row r="25" customFormat="false" ht="30" hidden="false" customHeight="true" outlineLevel="0" collapsed="false">
      <c r="B25" s="34" t="s">
        <v>756</v>
      </c>
      <c r="C25" s="34" t="s">
        <v>757</v>
      </c>
      <c r="D25" s="34" t="s">
        <v>747</v>
      </c>
      <c r="E25" s="46" t="n">
        <f aca="false">S_couv_rouge</f>
        <v>1</v>
      </c>
      <c r="F25" s="46" t="n">
        <f aca="false">S_couv_vert</f>
        <v>1.5</v>
      </c>
      <c r="G25" s="34" t="s">
        <v>748</v>
      </c>
      <c r="H25" s="34" t="s">
        <v>758</v>
      </c>
      <c r="I25" s="34" t="s">
        <v>759</v>
      </c>
    </row>
    <row r="26" customFormat="false" ht="30" hidden="false" customHeight="true" outlineLevel="0" collapsed="false">
      <c r="B26" s="34" t="s">
        <v>109</v>
      </c>
      <c r="C26" s="34" t="s">
        <v>760</v>
      </c>
      <c r="D26" s="34" t="s">
        <v>747</v>
      </c>
      <c r="E26" s="39" t="n">
        <f aca="false">Levier_max</f>
        <v>1</v>
      </c>
      <c r="F26" s="39" t="s">
        <v>90</v>
      </c>
      <c r="G26" s="34" t="s">
        <v>748</v>
      </c>
      <c r="H26" s="34" t="s">
        <v>728</v>
      </c>
      <c r="I26" s="34" t="s">
        <v>761</v>
      </c>
    </row>
    <row r="27" customFormat="false" ht="30" hidden="false" customHeight="true" outlineLevel="0" collapsed="false">
      <c r="B27" s="34" t="s">
        <v>762</v>
      </c>
      <c r="C27" s="34" t="s">
        <v>763</v>
      </c>
      <c r="D27" s="34" t="s">
        <v>747</v>
      </c>
      <c r="E27" s="39" t="n">
        <v>0.15</v>
      </c>
      <c r="F27" s="39" t="n">
        <f aca="false">S_top1_orange</f>
        <v>0.1</v>
      </c>
      <c r="G27" s="34" t="s">
        <v>748</v>
      </c>
      <c r="H27" s="34" t="s">
        <v>728</v>
      </c>
      <c r="I27" s="34" t="s">
        <v>654</v>
      </c>
    </row>
    <row r="28" customFormat="false" ht="30" hidden="false" customHeight="true" outlineLevel="0" collapsed="false">
      <c r="B28" s="34" t="s">
        <v>764</v>
      </c>
      <c r="C28" s="34" t="s">
        <v>765</v>
      </c>
      <c r="D28" s="34" t="s">
        <v>747</v>
      </c>
      <c r="E28" s="39" t="n">
        <v>0.4</v>
      </c>
      <c r="F28" s="39" t="n">
        <f aca="false">S_top5_orange</f>
        <v>0.25</v>
      </c>
      <c r="G28" s="34" t="s">
        <v>748</v>
      </c>
      <c r="H28" s="34" t="s">
        <v>728</v>
      </c>
      <c r="I28" s="34" t="s">
        <v>656</v>
      </c>
    </row>
    <row r="29" customFormat="false" ht="30" hidden="false" customHeight="true" outlineLevel="0" collapsed="false">
      <c r="B29" s="34" t="s">
        <v>94</v>
      </c>
      <c r="C29" s="34" t="s">
        <v>766</v>
      </c>
      <c r="D29" s="34" t="s">
        <v>747</v>
      </c>
      <c r="E29" s="34" t="s">
        <v>85</v>
      </c>
      <c r="F29" s="34" t="s">
        <v>85</v>
      </c>
      <c r="G29" s="34" t="s">
        <v>86</v>
      </c>
      <c r="H29" s="34" t="s">
        <v>728</v>
      </c>
      <c r="I29" s="34" t="s">
        <v>767</v>
      </c>
    </row>
    <row r="30" customFormat="false" ht="30" hidden="false" customHeight="true" outlineLevel="0" collapsed="false">
      <c r="B30" s="34" t="s">
        <v>87</v>
      </c>
      <c r="C30" s="34" t="s">
        <v>768</v>
      </c>
      <c r="D30" s="34" t="s">
        <v>747</v>
      </c>
      <c r="E30" s="34" t="s">
        <v>85</v>
      </c>
      <c r="F30" s="34" t="s">
        <v>85</v>
      </c>
      <c r="G30" s="34" t="s">
        <v>86</v>
      </c>
      <c r="H30" s="34" t="s">
        <v>728</v>
      </c>
      <c r="I30" s="34" t="s">
        <v>769</v>
      </c>
    </row>
    <row r="31" customFormat="false" ht="30" hidden="false" customHeight="true" outlineLevel="0" collapsed="false">
      <c r="B31" s="34" t="s">
        <v>101</v>
      </c>
      <c r="C31" s="34" t="s">
        <v>770</v>
      </c>
      <c r="D31" s="34" t="s">
        <v>747</v>
      </c>
      <c r="E31" s="34" t="s">
        <v>85</v>
      </c>
      <c r="F31" s="34" t="s">
        <v>85</v>
      </c>
      <c r="G31" s="34" t="s">
        <v>86</v>
      </c>
      <c r="H31" s="34" t="s">
        <v>728</v>
      </c>
      <c r="I31" s="34" t="s">
        <v>771</v>
      </c>
    </row>
    <row r="32" customFormat="false" ht="30" hidden="false" customHeight="true" outlineLevel="0" collapsed="false">
      <c r="B32" s="34" t="s">
        <v>772</v>
      </c>
      <c r="C32" s="34" t="s">
        <v>773</v>
      </c>
      <c r="D32" s="34" t="s">
        <v>747</v>
      </c>
      <c r="E32" s="34" t="s">
        <v>85</v>
      </c>
      <c r="F32" s="34" t="s">
        <v>85</v>
      </c>
      <c r="G32" s="34" t="s">
        <v>86</v>
      </c>
      <c r="H32" s="34" t="s">
        <v>774</v>
      </c>
      <c r="I32" s="34" t="s">
        <v>775</v>
      </c>
    </row>
    <row r="33" customFormat="false" ht="22.35" hidden="false" customHeight="false" outlineLevel="0" collapsed="false">
      <c r="B33" s="1" t="s">
        <v>776</v>
      </c>
      <c r="C33" s="2"/>
      <c r="D33" s="2"/>
      <c r="E33" s="2"/>
      <c r="F33" s="2"/>
      <c r="G33" s="2"/>
      <c r="H33" s="2"/>
      <c r="I33" s="2"/>
    </row>
    <row r="34" customFormat="false" ht="15" hidden="false" customHeight="false" outlineLevel="0" collapsed="false">
      <c r="B34" s="34"/>
      <c r="C34" s="34" t="s">
        <v>416</v>
      </c>
      <c r="D34" s="45" t="n">
        <f aca="false">COUNTA(B7:B35)</f>
        <v>27</v>
      </c>
      <c r="E34" s="34"/>
      <c r="F34" s="34"/>
      <c r="G34" s="34"/>
      <c r="H34" s="34"/>
      <c r="I34" s="34"/>
    </row>
    <row r="35" customFormat="false" ht="15" hidden="false" customHeight="false" outlineLevel="0" collapsed="false">
      <c r="B35" s="34"/>
      <c r="C35" s="34" t="s">
        <v>424</v>
      </c>
      <c r="D35" s="45" t="n">
        <f aca="false">COUNTIF(G7:G35,"Seuil à arrêter")</f>
        <v>4</v>
      </c>
      <c r="E35" s="34"/>
      <c r="F35" s="34"/>
      <c r="G35" s="34"/>
      <c r="H35" s="34"/>
      <c r="I35" s="34"/>
    </row>
    <row r="36" customFormat="false" ht="15" hidden="false" customHeight="false" outlineLevel="0" collapsed="false">
      <c r="B36" s="34"/>
      <c r="C36" s="34" t="s">
        <v>422</v>
      </c>
      <c r="D36" s="45" t="n">
        <f aca="false">COUNTIF(G7:G35,"À valider")</f>
        <v>7</v>
      </c>
      <c r="E36" s="34"/>
      <c r="F36" s="34"/>
      <c r="G36" s="34"/>
      <c r="H36" s="34"/>
      <c r="I36" s="34"/>
    </row>
    <row r="37" customFormat="false" ht="15" hidden="false" customHeight="false" outlineLevel="0" collapsed="false">
      <c r="B37" s="34"/>
      <c r="C37" s="34" t="s">
        <v>420</v>
      </c>
      <c r="D37" s="45" t="n">
        <f aca="false">COUNTIF(G7:G35,"Non testable")</f>
        <v>8</v>
      </c>
      <c r="E37" s="34"/>
      <c r="F37" s="34"/>
      <c r="G37" s="34"/>
      <c r="H37" s="34"/>
      <c r="I37" s="34"/>
    </row>
    <row r="38" customFormat="false" ht="15" hidden="false" customHeight="false" outlineLevel="0" collapsed="false">
      <c r="B38" s="34"/>
      <c r="C38" s="34" t="s">
        <v>418</v>
      </c>
      <c r="D38" s="45" t="n">
        <f aca="false">COUNTIF(G7:G35,"Dépassée")</f>
        <v>0</v>
      </c>
      <c r="E38" s="34"/>
      <c r="F38" s="34"/>
      <c r="G38" s="34"/>
      <c r="H38" s="34"/>
      <c r="I38" s="34"/>
    </row>
    <row r="40" customFormat="false" ht="39" hidden="false" customHeight="true" outlineLevel="0" collapsed="false">
      <c r="B40" s="21" t="s">
        <v>777</v>
      </c>
      <c r="C40" s="21"/>
      <c r="D40" s="21"/>
      <c r="E40" s="21"/>
      <c r="F40" s="21"/>
      <c r="G40" s="21"/>
      <c r="H40" s="21"/>
      <c r="I40" s="21"/>
    </row>
  </sheetData>
  <mergeCells count="1">
    <mergeCell ref="B40:I40"/>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7" min="3" style="0" width="13"/>
    <col collapsed="false" customWidth="true" hidden="false" outlineLevel="0" max="8" min="8" style="0" width="48"/>
  </cols>
  <sheetData>
    <row r="2" customFormat="false" ht="15" hidden="false" customHeight="false" outlineLevel="0" collapsed="false">
      <c r="B2" s="31" t="s">
        <v>778</v>
      </c>
    </row>
    <row r="3" customFormat="false" ht="15" hidden="false" customHeight="false" outlineLevel="0" collapsed="false">
      <c r="B3" s="32" t="s">
        <v>779</v>
      </c>
    </row>
    <row r="5" customFormat="false" ht="18" hidden="false" customHeight="true" outlineLevel="0" collapsed="false">
      <c r="B5" s="33" t="s">
        <v>145</v>
      </c>
      <c r="C5" s="33" t="s">
        <v>780</v>
      </c>
      <c r="D5" s="33" t="s">
        <v>149</v>
      </c>
      <c r="E5" s="33" t="s">
        <v>781</v>
      </c>
      <c r="F5" s="33" t="s">
        <v>782</v>
      </c>
      <c r="G5" s="33" t="s">
        <v>783</v>
      </c>
      <c r="H5" s="33" t="s">
        <v>784</v>
      </c>
    </row>
    <row r="6" customFormat="false" ht="27.75" hidden="false" customHeight="true" outlineLevel="0" collapsed="false">
      <c r="B6" s="34" t="s">
        <v>785</v>
      </c>
      <c r="C6" s="39" t="n">
        <f aca="false">W_MAPIF</f>
        <v>0.34</v>
      </c>
      <c r="D6" s="34" t="s">
        <v>153</v>
      </c>
      <c r="E6" s="47" t="n">
        <v>1825</v>
      </c>
      <c r="F6" s="47" t="n">
        <v>1825</v>
      </c>
      <c r="G6" s="34" t="s">
        <v>200</v>
      </c>
      <c r="H6" s="34" t="s">
        <v>786</v>
      </c>
    </row>
    <row r="7" customFormat="false" ht="27.75" hidden="false" customHeight="true" outlineLevel="0" collapsed="false">
      <c r="B7" s="34" t="s">
        <v>787</v>
      </c>
      <c r="C7" s="39" t="n">
        <f aca="false">W_MSIG</f>
        <v>0.17</v>
      </c>
      <c r="D7" s="34" t="s">
        <v>788</v>
      </c>
      <c r="E7" s="47" t="n">
        <v>1825</v>
      </c>
      <c r="F7" s="47" t="n">
        <v>1825</v>
      </c>
      <c r="G7" s="34" t="s">
        <v>789</v>
      </c>
      <c r="H7" s="34" t="s">
        <v>790</v>
      </c>
    </row>
    <row r="8" customFormat="false" ht="27.75" hidden="false" customHeight="true" outlineLevel="0" collapsed="false">
      <c r="B8" s="34" t="s">
        <v>791</v>
      </c>
      <c r="C8" s="39" t="n">
        <f aca="false">W_PG</f>
        <v>0.17</v>
      </c>
      <c r="D8" s="34" t="s">
        <v>153</v>
      </c>
      <c r="E8" s="47" t="n">
        <v>100</v>
      </c>
      <c r="F8" s="47" t="n">
        <v>270</v>
      </c>
      <c r="G8" s="34" t="s">
        <v>792</v>
      </c>
      <c r="H8" s="34" t="s">
        <v>793</v>
      </c>
    </row>
    <row r="9" customFormat="false" ht="27.75" hidden="false" customHeight="true" outlineLevel="0" collapsed="false">
      <c r="B9" s="34" t="s">
        <v>794</v>
      </c>
      <c r="C9" s="39" t="n">
        <f aca="false">W_ARES</f>
        <v>0.17</v>
      </c>
      <c r="D9" s="34" t="s">
        <v>165</v>
      </c>
      <c r="E9" s="47" t="n">
        <v>90</v>
      </c>
      <c r="F9" s="47" t="n">
        <v>270</v>
      </c>
      <c r="G9" s="34" t="s">
        <v>792</v>
      </c>
      <c r="H9" s="34" t="s">
        <v>795</v>
      </c>
    </row>
    <row r="10" customFormat="false" ht="27.75" hidden="false" customHeight="true" outlineLevel="0" collapsed="false">
      <c r="B10" s="34" t="s">
        <v>96</v>
      </c>
      <c r="C10" s="39" t="n">
        <f aca="false">W_LIQ</f>
        <v>0.15</v>
      </c>
      <c r="D10" s="34" t="s">
        <v>165</v>
      </c>
      <c r="E10" s="47" t="n">
        <v>3</v>
      </c>
      <c r="F10" s="47" t="n">
        <v>7</v>
      </c>
      <c r="G10" s="34" t="s">
        <v>796</v>
      </c>
      <c r="H10" s="34" t="s">
        <v>797</v>
      </c>
    </row>
    <row r="11" customFormat="false" ht="15" hidden="false" customHeight="false" outlineLevel="0" collapsed="false">
      <c r="B11" s="34" t="s">
        <v>798</v>
      </c>
      <c r="C11" s="48" t="n">
        <f aca="false">SUMPRODUCT(C6:C10,E6:E10)</f>
        <v>963.5</v>
      </c>
      <c r="D11" s="34" t="s">
        <v>574</v>
      </c>
      <c r="E11" s="48" t="n">
        <f aca="false">SUMPRODUCT(C6:C10,F6:F10)</f>
        <v>1023.6</v>
      </c>
      <c r="F11" s="34" t="s">
        <v>799</v>
      </c>
      <c r="G11" s="34"/>
      <c r="H11" s="34"/>
    </row>
    <row r="13" customFormat="false" ht="22.35" hidden="false" customHeight="false" outlineLevel="0" collapsed="false">
      <c r="B13" s="1" t="s">
        <v>800</v>
      </c>
      <c r="C13" s="2"/>
      <c r="D13" s="2"/>
      <c r="E13" s="2"/>
      <c r="F13" s="2"/>
      <c r="G13" s="2"/>
      <c r="H13" s="2"/>
    </row>
    <row r="14" customFormat="false" ht="18" hidden="false" customHeight="true" outlineLevel="0" collapsed="false">
      <c r="B14" s="33" t="s">
        <v>243</v>
      </c>
      <c r="C14" s="33" t="s">
        <v>801</v>
      </c>
      <c r="D14" s="33"/>
      <c r="E14" s="33"/>
      <c r="F14" s="33"/>
      <c r="G14" s="33"/>
      <c r="H14" s="33" t="s">
        <v>246</v>
      </c>
    </row>
    <row r="15" customFormat="false" ht="15" hidden="false" customHeight="false" outlineLevel="0" collapsed="false">
      <c r="B15" s="34" t="s">
        <v>802</v>
      </c>
      <c r="C15" s="45" t="n">
        <f aca="false">ROUND(Reglement_JO*7/5,0)</f>
        <v>49</v>
      </c>
      <c r="D15" s="34"/>
      <c r="E15" s="34"/>
      <c r="F15" s="34"/>
      <c r="G15" s="34"/>
      <c r="H15" s="34" t="s">
        <v>803</v>
      </c>
    </row>
    <row r="16" customFormat="false" ht="15" hidden="false" customHeight="false" outlineLevel="0" collapsed="false">
      <c r="B16" s="34" t="s">
        <v>804</v>
      </c>
      <c r="C16" s="45" t="n">
        <f aca="false">Preavis_j+Reglement_cal</f>
        <v>140</v>
      </c>
      <c r="D16" s="34"/>
      <c r="E16" s="34"/>
      <c r="F16" s="34"/>
      <c r="G16" s="34"/>
      <c r="H16" s="34" t="s">
        <v>805</v>
      </c>
    </row>
    <row r="17" customFormat="false" ht="15" hidden="false" customHeight="false" outlineLevel="0" collapsed="false">
      <c r="B17" s="34" t="s">
        <v>806</v>
      </c>
      <c r="C17" s="48" t="n">
        <f aca="false">TTL_passif_min+91</f>
        <v>231</v>
      </c>
      <c r="D17" s="34"/>
      <c r="E17" s="34"/>
      <c r="F17" s="34"/>
      <c r="G17" s="34"/>
      <c r="H17" s="34" t="s">
        <v>807</v>
      </c>
    </row>
    <row r="18" customFormat="false" ht="15" hidden="false" customHeight="false" outlineLevel="0" collapsed="false">
      <c r="B18" s="34" t="s">
        <v>808</v>
      </c>
      <c r="C18" s="45" t="n">
        <f aca="false">TTL_passif_min+182</f>
        <v>322</v>
      </c>
      <c r="D18" s="34"/>
      <c r="E18" s="34"/>
      <c r="F18" s="34"/>
      <c r="G18" s="34"/>
      <c r="H18" s="34" t="s">
        <v>809</v>
      </c>
    </row>
    <row r="19" customFormat="false" ht="15" hidden="false" customHeight="false" outlineLevel="0" collapsed="false">
      <c r="B19" s="34" t="s">
        <v>810</v>
      </c>
      <c r="C19" s="45" t="n">
        <f aca="false">Preavis_max_j+Reglement_cal+91</f>
        <v>320</v>
      </c>
      <c r="D19" s="34"/>
      <c r="E19" s="34"/>
      <c r="F19" s="34"/>
      <c r="G19" s="34"/>
      <c r="H19" s="34" t="s">
        <v>811</v>
      </c>
    </row>
    <row r="20" customFormat="false" ht="22.35" hidden="false" customHeight="false" outlineLevel="0" collapsed="false">
      <c r="B20" s="34" t="s">
        <v>812</v>
      </c>
      <c r="C20" s="48" t="n">
        <f aca="false">TTL_actif-TTL_passif</f>
        <v>732.5</v>
      </c>
      <c r="D20" s="34"/>
      <c r="E20" s="34"/>
      <c r="F20" s="34"/>
      <c r="G20" s="34"/>
      <c r="H20" s="34" t="s">
        <v>813</v>
      </c>
    </row>
    <row r="22" customFormat="false" ht="22.35" hidden="false" customHeight="false" outlineLevel="0" collapsed="false">
      <c r="B22" s="1" t="s">
        <v>814</v>
      </c>
      <c r="C22" s="2"/>
      <c r="D22" s="2"/>
      <c r="E22" s="2"/>
      <c r="F22" s="2"/>
      <c r="G22" s="2"/>
      <c r="H22" s="2"/>
    </row>
    <row r="23" customFormat="false" ht="18" hidden="false" customHeight="true" outlineLevel="0" collapsed="false">
      <c r="B23" s="33" t="s">
        <v>232</v>
      </c>
      <c r="C23" s="33" t="s">
        <v>233</v>
      </c>
      <c r="D23" s="33"/>
      <c r="E23" s="33"/>
      <c r="F23" s="33"/>
      <c r="G23" s="33"/>
      <c r="H23" s="33" t="s">
        <v>234</v>
      </c>
    </row>
    <row r="24" customFormat="false" ht="15" hidden="false" customHeight="false" outlineLevel="0" collapsed="false">
      <c r="B24" s="34" t="s">
        <v>235</v>
      </c>
      <c r="C24" s="39" t="n">
        <v>0</v>
      </c>
      <c r="D24" s="34"/>
      <c r="E24" s="34"/>
      <c r="F24" s="34"/>
      <c r="G24" s="34"/>
      <c r="H24" s="34" t="s">
        <v>815</v>
      </c>
    </row>
    <row r="25" customFormat="false" ht="15" hidden="false" customHeight="false" outlineLevel="0" collapsed="false">
      <c r="B25" s="34" t="s">
        <v>236</v>
      </c>
      <c r="C25" s="39" t="n">
        <f aca="false">W_LIQ</f>
        <v>0.15</v>
      </c>
      <c r="D25" s="34"/>
      <c r="E25" s="34"/>
      <c r="F25" s="34"/>
      <c r="G25" s="34"/>
      <c r="H25" s="34" t="s">
        <v>816</v>
      </c>
    </row>
    <row r="26" customFormat="false" ht="15" hidden="false" customHeight="false" outlineLevel="0" collapsed="false">
      <c r="B26" s="34" t="s">
        <v>237</v>
      </c>
      <c r="C26" s="39" t="n">
        <v>0</v>
      </c>
      <c r="D26" s="34"/>
      <c r="E26" s="34"/>
      <c r="F26" s="34"/>
      <c r="G26" s="34"/>
      <c r="H26" s="34" t="s">
        <v>817</v>
      </c>
    </row>
    <row r="27" customFormat="false" ht="15" hidden="false" customHeight="false" outlineLevel="0" collapsed="false">
      <c r="B27" s="34" t="s">
        <v>238</v>
      </c>
      <c r="C27" s="39" t="n">
        <f aca="false">W_ARES</f>
        <v>0.17</v>
      </c>
      <c r="D27" s="34"/>
      <c r="E27" s="34"/>
      <c r="F27" s="34"/>
      <c r="G27" s="34"/>
      <c r="H27" s="34" t="s">
        <v>818</v>
      </c>
    </row>
    <row r="28" customFormat="false" ht="15" hidden="false" customHeight="false" outlineLevel="0" collapsed="false">
      <c r="B28" s="34" t="s">
        <v>239</v>
      </c>
      <c r="C28" s="39" t="n">
        <f aca="false">W_PG</f>
        <v>0.17</v>
      </c>
      <c r="D28" s="34"/>
      <c r="E28" s="34"/>
      <c r="F28" s="34"/>
      <c r="G28" s="34"/>
      <c r="H28" s="34" t="s">
        <v>819</v>
      </c>
    </row>
    <row r="29" customFormat="false" ht="15" hidden="false" customHeight="false" outlineLevel="0" collapsed="false">
      <c r="B29" s="34" t="s">
        <v>240</v>
      </c>
      <c r="C29" s="39" t="n">
        <v>0</v>
      </c>
      <c r="D29" s="34"/>
      <c r="E29" s="34"/>
      <c r="F29" s="34"/>
      <c r="G29" s="34"/>
      <c r="H29" s="34" t="s">
        <v>817</v>
      </c>
    </row>
    <row r="30" customFormat="false" ht="15" hidden="false" customHeight="false" outlineLevel="0" collapsed="false">
      <c r="B30" s="34" t="s">
        <v>241</v>
      </c>
      <c r="C30" s="39" t="n">
        <f aca="false">W_FERMES</f>
        <v>0.51</v>
      </c>
      <c r="D30" s="34"/>
      <c r="E30" s="34"/>
      <c r="F30" s="34"/>
      <c r="G30" s="34"/>
      <c r="H30" s="34" t="s">
        <v>820</v>
      </c>
    </row>
    <row r="31" customFormat="false" ht="15" hidden="false" customHeight="false" outlineLevel="0" collapsed="false">
      <c r="B31" s="34" t="s">
        <v>169</v>
      </c>
      <c r="C31" s="49" t="n">
        <f aca="false">SUM(C24:C30)</f>
        <v>1</v>
      </c>
      <c r="D31" s="34"/>
      <c r="E31" s="34"/>
      <c r="F31" s="34"/>
      <c r="G31" s="34"/>
      <c r="H31" s="34" t="s">
        <v>558</v>
      </c>
    </row>
    <row r="33" customFormat="false" ht="22.35" hidden="false" customHeight="false" outlineLevel="0" collapsed="false">
      <c r="B33" s="1" t="s">
        <v>821</v>
      </c>
      <c r="C33" s="2"/>
      <c r="D33" s="2"/>
      <c r="E33" s="2"/>
      <c r="F33" s="2"/>
      <c r="G33" s="2"/>
      <c r="H33" s="2"/>
    </row>
    <row r="34" customFormat="false" ht="18" hidden="false" customHeight="true" outlineLevel="0" collapsed="false">
      <c r="B34" s="33" t="s">
        <v>78</v>
      </c>
      <c r="C34" s="33" t="s">
        <v>79</v>
      </c>
      <c r="D34" s="33" t="s">
        <v>254</v>
      </c>
      <c r="E34" s="33" t="s">
        <v>81</v>
      </c>
      <c r="F34" s="33"/>
      <c r="G34" s="33"/>
      <c r="H34" s="33" t="s">
        <v>255</v>
      </c>
    </row>
    <row r="35" customFormat="false" ht="15" hidden="false" customHeight="false" outlineLevel="0" collapsed="false">
      <c r="B35" s="34" t="s">
        <v>822</v>
      </c>
      <c r="C35" s="39" t="n">
        <f aca="false">2*Gate</f>
        <v>0.1</v>
      </c>
      <c r="D35" s="34"/>
      <c r="E35" s="34"/>
      <c r="F35" s="34"/>
      <c r="G35" s="34"/>
      <c r="H35" s="34" t="s">
        <v>823</v>
      </c>
    </row>
    <row r="36" customFormat="false" ht="15" hidden="false" customHeight="false" outlineLevel="0" collapsed="false">
      <c r="B36" s="34" t="s">
        <v>256</v>
      </c>
      <c r="C36" s="50" t="n">
        <f aca="false">W_LIQ/Gate</f>
        <v>3</v>
      </c>
      <c r="D36" s="51" t="n">
        <v>1.5</v>
      </c>
      <c r="E36" s="34" t="str">
        <f aca="false">IF(C36&gt;=D36,"Respectée","Surveillance")</f>
        <v>Respectée</v>
      </c>
      <c r="F36" s="34"/>
      <c r="G36" s="34"/>
      <c r="H36" s="34" t="s">
        <v>824</v>
      </c>
    </row>
    <row r="37" customFormat="false" ht="15" hidden="false" customHeight="false" outlineLevel="0" collapsed="false">
      <c r="B37" s="34" t="s">
        <v>258</v>
      </c>
      <c r="C37" s="51" t="n">
        <f aca="false">W_LIQ/Gate_annuel</f>
        <v>1.5</v>
      </c>
      <c r="D37" s="51" t="n">
        <v>1</v>
      </c>
      <c r="E37" s="34" t="str">
        <f aca="false">IF(C37&gt;=D37,"Respectée","Surveillance")</f>
        <v>Respectée</v>
      </c>
      <c r="F37" s="34"/>
      <c r="G37" s="34"/>
      <c r="H37" s="34" t="s">
        <v>825</v>
      </c>
    </row>
    <row r="38" customFormat="false" ht="22.35" hidden="false" customHeight="false" outlineLevel="0" collapsed="false">
      <c r="B38" s="34" t="s">
        <v>826</v>
      </c>
      <c r="C38" s="52" t="n">
        <f aca="false">W_EVER*0.05*2</f>
        <v>0.034</v>
      </c>
      <c r="D38" s="34"/>
      <c r="E38" s="34"/>
      <c r="F38" s="34"/>
      <c r="G38" s="34"/>
      <c r="H38" s="34" t="s">
        <v>827</v>
      </c>
    </row>
    <row r="39" customFormat="false" ht="22.35" hidden="false" customHeight="false" outlineLevel="0" collapsed="false">
      <c r="B39" s="34" t="s">
        <v>828</v>
      </c>
      <c r="C39" s="50" t="n">
        <f aca="false">Cap_evergreen/Gate</f>
        <v>0.68</v>
      </c>
      <c r="D39" s="51" t="n">
        <v>1</v>
      </c>
      <c r="E39" s="34" t="str">
        <f aca="false">IF(C39&gt;=D39,"Respectée","Surveillance")</f>
        <v>Surveillance</v>
      </c>
      <c r="F39" s="34"/>
      <c r="G39" s="34"/>
      <c r="H39" s="34" t="s">
        <v>829</v>
      </c>
    </row>
    <row r="40" customFormat="false" ht="22.35" hidden="false" customHeight="false" outlineLevel="0" collapsed="false">
      <c r="B40" s="34" t="s">
        <v>830</v>
      </c>
      <c r="C40" s="53" t="n">
        <v>2.96</v>
      </c>
      <c r="D40" s="51" t="n">
        <v>1.5</v>
      </c>
      <c r="E40" s="34" t="str">
        <f aca="false">IF(C40&gt;=D40,"Respectée","Surveillance")</f>
        <v>Respectée</v>
      </c>
      <c r="F40" s="34"/>
      <c r="G40" s="34"/>
      <c r="H40" s="34" t="s">
        <v>831</v>
      </c>
    </row>
    <row r="41" customFormat="false" ht="22.35" hidden="false" customHeight="false" outlineLevel="0" collapsed="false">
      <c r="B41" s="34" t="s">
        <v>832</v>
      </c>
      <c r="C41" s="53" t="n">
        <v>2.38</v>
      </c>
      <c r="D41" s="51" t="n">
        <f aca="false">S_couv_vert</f>
        <v>1.5</v>
      </c>
      <c r="E41" s="34" t="str">
        <f aca="false">IF(C41&gt;=D41,"Respectée","Surveillance")</f>
        <v>Respectée</v>
      </c>
      <c r="F41" s="34"/>
      <c r="G41" s="34"/>
      <c r="H41" s="34" t="s">
        <v>833</v>
      </c>
    </row>
    <row r="43" customFormat="false" ht="39" hidden="false" customHeight="true" outlineLevel="0" collapsed="false">
      <c r="B43" s="21" t="s">
        <v>834</v>
      </c>
      <c r="C43" s="21"/>
      <c r="D43" s="21"/>
      <c r="E43" s="21"/>
      <c r="F43" s="21"/>
      <c r="G43" s="21"/>
      <c r="H43" s="21"/>
    </row>
  </sheetData>
  <mergeCells count="1">
    <mergeCell ref="B43:H43"/>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1"/>
    <col collapsed="false" customWidth="true" hidden="false" outlineLevel="0" max="5" min="5" style="0" width="12"/>
    <col collapsed="false" customWidth="true" hidden="false" outlineLevel="0" max="6" min="6" style="0" width="11"/>
    <col collapsed="false" customWidth="true" hidden="false" outlineLevel="0" max="8" min="7" style="0" width="12"/>
    <col collapsed="false" customWidth="true" hidden="false" outlineLevel="0" max="10" min="9" style="0" width="11"/>
    <col collapsed="false" customWidth="true" hidden="false" outlineLevel="0" max="11" min="11" style="0" width="12"/>
    <col collapsed="false" customWidth="true" hidden="false" outlineLevel="0" max="12" min="12" style="0" width="10"/>
    <col collapsed="false" customWidth="true" hidden="false" outlineLevel="0" max="13" min="13" style="0" width="44"/>
  </cols>
  <sheetData>
    <row r="2" customFormat="false" ht="15" hidden="false" customHeight="false" outlineLevel="0" collapsed="false">
      <c r="B2" s="31" t="s">
        <v>835</v>
      </c>
    </row>
    <row r="3" customFormat="false" ht="15" hidden="false" customHeight="false" outlineLevel="0" collapsed="false">
      <c r="B3" s="32" t="s">
        <v>836</v>
      </c>
    </row>
    <row r="5" customFormat="false" ht="18" hidden="false" customHeight="true" outlineLevel="0" collapsed="false">
      <c r="B5" s="33" t="s">
        <v>289</v>
      </c>
      <c r="C5" s="33" t="s">
        <v>837</v>
      </c>
      <c r="D5" s="33" t="s">
        <v>291</v>
      </c>
      <c r="E5" s="33" t="s">
        <v>838</v>
      </c>
      <c r="F5" s="33" t="s">
        <v>292</v>
      </c>
      <c r="G5" s="33" t="s">
        <v>839</v>
      </c>
      <c r="H5" s="33" t="s">
        <v>840</v>
      </c>
      <c r="I5" s="33" t="s">
        <v>841</v>
      </c>
      <c r="J5" s="33" t="s">
        <v>842</v>
      </c>
      <c r="K5" s="33" t="s">
        <v>192</v>
      </c>
      <c r="L5" s="33" t="s">
        <v>26</v>
      </c>
      <c r="M5" s="33" t="s">
        <v>246</v>
      </c>
    </row>
    <row r="6" customFormat="false" ht="30" hidden="false" customHeight="true" outlineLevel="0" collapsed="false">
      <c r="B6" s="34" t="s">
        <v>843</v>
      </c>
      <c r="C6" s="47" t="n">
        <v>0</v>
      </c>
      <c r="D6" s="54" t="n">
        <v>0</v>
      </c>
      <c r="E6" s="47" t="n">
        <v>0</v>
      </c>
      <c r="F6" s="54" t="n">
        <v>0.1637</v>
      </c>
      <c r="G6" s="55" t="n">
        <v>2.47</v>
      </c>
      <c r="H6" s="38" t="n">
        <v>0.968</v>
      </c>
      <c r="I6" s="38" t="n">
        <v>0.22</v>
      </c>
      <c r="J6" s="55" t="n">
        <v>0</v>
      </c>
      <c r="K6" s="40" t="s">
        <v>90</v>
      </c>
      <c r="L6" s="34" t="str">
        <f aca="false">IF(OR(D6&gt;S_file_rouge,F6&lt;S_poche_rouge,G6&lt;S_couv_rouge,E6&gt;S_resorption_rouge,K6&lt;&gt;"-"),"Rouge",IF(OR(C6&gt;0,F6&lt;Liq_min,G6&lt;S_couv_vert,H6&gt;S_sureng_orange),"Orange","Vert"))</f>
        <v>Vert</v>
      </c>
      <c r="M6" s="34" t="s">
        <v>844</v>
      </c>
    </row>
    <row r="7" customFormat="false" ht="30" hidden="false" customHeight="true" outlineLevel="0" collapsed="false">
      <c r="B7" s="34" t="s">
        <v>845</v>
      </c>
      <c r="C7" s="47" t="n">
        <v>4</v>
      </c>
      <c r="D7" s="54" t="n">
        <v>0.1049</v>
      </c>
      <c r="E7" s="47" t="n">
        <v>24</v>
      </c>
      <c r="F7" s="54" t="n">
        <v>0.0761</v>
      </c>
      <c r="G7" s="55" t="n">
        <v>1.148</v>
      </c>
      <c r="H7" s="38" t="n">
        <v>1.022</v>
      </c>
      <c r="I7" s="38" t="n">
        <v>0.343</v>
      </c>
      <c r="J7" s="55" t="n">
        <v>0</v>
      </c>
      <c r="K7" s="40" t="s">
        <v>90</v>
      </c>
      <c r="L7" s="34" t="str">
        <f aca="false">IF(OR(D7&gt;S_file_rouge,F7&lt;S_poche_rouge,G7&lt;S_couv_rouge,E7&gt;S_resorption_rouge,K7&lt;&gt;"-"),"Rouge",IF(OR(C7&gt;0,F7&lt;Liq_min,G7&lt;S_couv_vert,H7&gt;S_sureng_orange),"Orange","Vert"))</f>
        <v>Orange</v>
      </c>
      <c r="M7" s="34" t="s">
        <v>846</v>
      </c>
    </row>
    <row r="8" customFormat="false" ht="30" hidden="false" customHeight="true" outlineLevel="0" collapsed="false">
      <c r="B8" s="34" t="s">
        <v>847</v>
      </c>
      <c r="C8" s="47" t="n">
        <v>4</v>
      </c>
      <c r="D8" s="54" t="n">
        <v>0.2616</v>
      </c>
      <c r="E8" s="47" t="n">
        <v>99</v>
      </c>
      <c r="F8" s="54" t="n">
        <v>0.0761</v>
      </c>
      <c r="G8" s="55" t="n">
        <v>0.683</v>
      </c>
      <c r="H8" s="38" t="n">
        <v>1.022</v>
      </c>
      <c r="I8" s="38" t="n">
        <v>0.342</v>
      </c>
      <c r="J8" s="55" t="n">
        <v>0</v>
      </c>
      <c r="K8" s="40" t="s">
        <v>848</v>
      </c>
      <c r="L8" s="34" t="str">
        <f aca="false">IF(OR(D8&gt;S_file_rouge,F8&lt;S_poche_rouge,G8&lt;S_couv_rouge,E8&gt;S_resorption_rouge,K8&lt;&gt;"-"),"Rouge",IF(OR(C8&gt;0,F8&lt;Liq_min,G8&lt;S_couv_vert,H8&gt;S_sureng_orange),"Orange","Vert"))</f>
        <v>Rouge</v>
      </c>
      <c r="M8" s="34" t="s">
        <v>849</v>
      </c>
    </row>
    <row r="9" customFormat="false" ht="30" hidden="false" customHeight="true" outlineLevel="0" collapsed="false">
      <c r="B9" s="34" t="s">
        <v>850</v>
      </c>
      <c r="C9" s="47" t="n">
        <v>0</v>
      </c>
      <c r="D9" s="54" t="n">
        <v>0</v>
      </c>
      <c r="E9" s="47" t="n">
        <v>0</v>
      </c>
      <c r="F9" s="54" t="n">
        <v>0.158</v>
      </c>
      <c r="G9" s="55" t="n">
        <v>3.69</v>
      </c>
      <c r="H9" s="38" t="n">
        <v>0.978</v>
      </c>
      <c r="I9" s="38" t="n">
        <v>0.289</v>
      </c>
      <c r="J9" s="55" t="n">
        <v>0</v>
      </c>
      <c r="K9" s="40" t="s">
        <v>90</v>
      </c>
      <c r="L9" s="34" t="str">
        <f aca="false">IF(OR(D9&gt;S_file_rouge,F9&lt;S_poche_rouge,G9&lt;S_couv_rouge,E9&gt;S_resorption_rouge,K9&lt;&gt;"-"),"Rouge",IF(OR(C9&gt;0,F9&lt;Liq_min,G9&lt;S_couv_vert,H9&gt;S_sureng_orange),"Orange","Vert"))</f>
        <v>Vert</v>
      </c>
      <c r="M9" s="34" t="s">
        <v>851</v>
      </c>
    </row>
    <row r="10" customFormat="false" ht="30" hidden="false" customHeight="true" outlineLevel="0" collapsed="false">
      <c r="B10" s="34" t="s">
        <v>852</v>
      </c>
      <c r="C10" s="47" t="n">
        <v>0</v>
      </c>
      <c r="D10" s="54" t="n">
        <v>0</v>
      </c>
      <c r="E10" s="47" t="n">
        <v>0</v>
      </c>
      <c r="F10" s="54" t="n">
        <v>0.1218</v>
      </c>
      <c r="G10" s="55" t="n">
        <v>2.1</v>
      </c>
      <c r="H10" s="38" t="n">
        <v>0.999</v>
      </c>
      <c r="I10" s="38" t="n">
        <v>0.348</v>
      </c>
      <c r="J10" s="55" t="n">
        <v>0</v>
      </c>
      <c r="K10" s="40" t="s">
        <v>90</v>
      </c>
      <c r="L10" s="34" t="str">
        <f aca="false">IF(OR(D10&gt;S_file_rouge,F10&lt;S_poche_rouge,G10&lt;S_couv_rouge,E10&gt;S_resorption_rouge,K10&lt;&gt;"-"),"Rouge",IF(OR(C10&gt;0,F10&lt;Liq_min,G10&lt;S_couv_vert,H10&gt;S_sureng_orange),"Orange","Vert"))</f>
        <v>Orange</v>
      </c>
      <c r="M10" s="34" t="s">
        <v>853</v>
      </c>
    </row>
    <row r="11" customFormat="false" ht="30" hidden="false" customHeight="true" outlineLevel="0" collapsed="false">
      <c r="B11" s="34" t="s">
        <v>854</v>
      </c>
      <c r="C11" s="47" t="n">
        <v>0</v>
      </c>
      <c r="D11" s="54" t="n">
        <v>0</v>
      </c>
      <c r="E11" s="47" t="n">
        <v>0</v>
      </c>
      <c r="F11" s="54" t="n">
        <v>0.1323</v>
      </c>
      <c r="G11" s="55" t="n">
        <v>1.99</v>
      </c>
      <c r="H11" s="38" t="n">
        <v>1.005</v>
      </c>
      <c r="I11" s="38" t="n">
        <v>0.358</v>
      </c>
      <c r="J11" s="55" t="n">
        <v>0</v>
      </c>
      <c r="K11" s="40" t="s">
        <v>90</v>
      </c>
      <c r="L11" s="34" t="str">
        <f aca="false">IF(OR(D11&gt;S_file_rouge,F11&lt;S_poche_rouge,G11&lt;S_couv_rouge,E11&gt;S_resorption_rouge,K11&lt;&gt;"-"),"Rouge",IF(OR(C11&gt;0,F11&lt;Liq_min,G11&lt;S_couv_vert,H11&gt;S_sureng_orange),"Orange","Vert"))</f>
        <v>Orange</v>
      </c>
      <c r="M11" s="34" t="s">
        <v>855</v>
      </c>
    </row>
    <row r="12" customFormat="false" ht="30" hidden="false" customHeight="true" outlineLevel="0" collapsed="false">
      <c r="B12" s="34" t="s">
        <v>856</v>
      </c>
      <c r="C12" s="47" t="n">
        <v>0</v>
      </c>
      <c r="D12" s="54" t="n">
        <v>0</v>
      </c>
      <c r="E12" s="47" t="n">
        <v>0</v>
      </c>
      <c r="F12" s="54" t="n">
        <v>0.1489</v>
      </c>
      <c r="G12" s="55" t="n">
        <v>2.19</v>
      </c>
      <c r="H12" s="38" t="n">
        <v>0.973</v>
      </c>
      <c r="I12" s="38" t="n">
        <v>0.288</v>
      </c>
      <c r="J12" s="55" t="n">
        <v>0</v>
      </c>
      <c r="K12" s="40" t="s">
        <v>90</v>
      </c>
      <c r="L12" s="34" t="str">
        <f aca="false">IF(OR(D12&gt;S_file_rouge,F12&lt;S_poche_rouge,G12&lt;S_couv_rouge,E12&gt;S_resorption_rouge,K12&lt;&gt;"-"),"Rouge",IF(OR(C12&gt;0,F12&lt;Liq_min,G12&lt;S_couv_vert,H12&gt;S_sureng_orange),"Orange","Vert"))</f>
        <v>Orange</v>
      </c>
      <c r="M12" s="34" t="s">
        <v>857</v>
      </c>
    </row>
    <row r="13" customFormat="false" ht="30" hidden="false" customHeight="true" outlineLevel="0" collapsed="false">
      <c r="B13" s="34" t="s">
        <v>858</v>
      </c>
      <c r="C13" s="47" t="n">
        <v>4</v>
      </c>
      <c r="D13" s="54" t="n">
        <v>0.2609</v>
      </c>
      <c r="E13" s="47" t="n">
        <v>99</v>
      </c>
      <c r="F13" s="54" t="n">
        <v>0</v>
      </c>
      <c r="G13" s="55" t="n">
        <v>0.172</v>
      </c>
      <c r="H13" s="38" t="n">
        <v>1.078</v>
      </c>
      <c r="I13" s="38" t="n">
        <v>0.334</v>
      </c>
      <c r="J13" s="55" t="n">
        <v>6.61</v>
      </c>
      <c r="K13" s="40" t="s">
        <v>848</v>
      </c>
      <c r="L13" s="34" t="str">
        <f aca="false">IF(OR(D13&gt;S_file_rouge,F13&lt;S_poche_rouge,G13&lt;S_couv_rouge,E13&gt;S_resorption_rouge,K13&lt;&gt;"-"),"Rouge",IF(OR(C13&gt;0,F13&lt;Liq_min,G13&lt;S_couv_vert,H13&gt;S_sureng_orange),"Orange","Vert"))</f>
        <v>Rouge</v>
      </c>
      <c r="M13" s="34" t="s">
        <v>859</v>
      </c>
    </row>
    <row r="14" customFormat="false" ht="15" hidden="false" customHeight="false" outlineLevel="0" collapsed="false">
      <c r="B14" s="34" t="s">
        <v>860</v>
      </c>
      <c r="C14" s="45" t="n">
        <f aca="false">COUNTIF(L6:L13,"Vert")</f>
        <v>2</v>
      </c>
      <c r="D14" s="34"/>
      <c r="E14" s="34"/>
      <c r="F14" s="34"/>
      <c r="G14" s="34"/>
      <c r="H14" s="34"/>
      <c r="I14" s="34"/>
      <c r="J14" s="34"/>
      <c r="K14" s="34"/>
      <c r="L14" s="34"/>
      <c r="M14" s="34"/>
    </row>
    <row r="15" customFormat="false" ht="15" hidden="false" customHeight="false" outlineLevel="0" collapsed="false">
      <c r="B15" s="34" t="s">
        <v>861</v>
      </c>
      <c r="C15" s="45" t="n">
        <f aca="false">COUNTIF(L6:L13,"Orange")</f>
        <v>4</v>
      </c>
      <c r="D15" s="34"/>
      <c r="E15" s="34"/>
      <c r="F15" s="34"/>
      <c r="G15" s="34"/>
      <c r="H15" s="34"/>
      <c r="I15" s="34"/>
      <c r="J15" s="34"/>
      <c r="K15" s="34"/>
      <c r="L15" s="34"/>
      <c r="M15" s="34"/>
    </row>
    <row r="16" customFormat="false" ht="15" hidden="false" customHeight="false" outlineLevel="0" collapsed="false">
      <c r="B16" s="34" t="s">
        <v>862</v>
      </c>
      <c r="C16" s="48" t="n">
        <f aca="false">COUNTIF(L6:L13,"Rouge")</f>
        <v>2</v>
      </c>
      <c r="D16" s="34"/>
      <c r="E16" s="34"/>
      <c r="F16" s="34"/>
      <c r="G16" s="34"/>
      <c r="H16" s="34"/>
      <c r="I16" s="34"/>
      <c r="J16" s="34"/>
      <c r="K16" s="34"/>
      <c r="L16" s="34"/>
      <c r="M16" s="34"/>
    </row>
    <row r="17" customFormat="false" ht="25.5" hidden="false" customHeight="true" outlineLevel="0" collapsed="false">
      <c r="B17" s="21" t="s">
        <v>863</v>
      </c>
      <c r="C17" s="21"/>
      <c r="D17" s="21"/>
      <c r="E17" s="21"/>
      <c r="F17" s="21"/>
      <c r="G17" s="21"/>
      <c r="H17" s="21"/>
      <c r="I17" s="21"/>
      <c r="J17" s="21"/>
      <c r="K17" s="21"/>
      <c r="L17" s="21"/>
      <c r="M17" s="21"/>
    </row>
    <row r="19" customFormat="false" ht="15" hidden="false" customHeight="false" outlineLevel="0" collapsed="false">
      <c r="B19" s="1" t="s">
        <v>297</v>
      </c>
      <c r="C19" s="2"/>
      <c r="D19" s="2"/>
      <c r="E19" s="2"/>
      <c r="F19" s="2"/>
      <c r="G19" s="2"/>
      <c r="H19" s="2"/>
      <c r="I19" s="2"/>
      <c r="J19" s="2"/>
      <c r="K19" s="2"/>
      <c r="L19" s="2"/>
      <c r="M19" s="2"/>
    </row>
    <row r="20" customFormat="false" ht="18" hidden="false" customHeight="true" outlineLevel="0" collapsed="false">
      <c r="B20" s="33" t="s">
        <v>864</v>
      </c>
      <c r="C20" s="33" t="s">
        <v>837</v>
      </c>
      <c r="D20" s="33" t="s">
        <v>192</v>
      </c>
      <c r="E20" s="33" t="s">
        <v>865</v>
      </c>
      <c r="F20" s="33" t="s">
        <v>866</v>
      </c>
      <c r="G20" s="33" t="s">
        <v>867</v>
      </c>
      <c r="H20" s="33"/>
      <c r="I20" s="33"/>
      <c r="J20" s="33"/>
      <c r="K20" s="33"/>
      <c r="L20" s="33" t="s">
        <v>26</v>
      </c>
      <c r="M20" s="33" t="s">
        <v>246</v>
      </c>
    </row>
    <row r="21" customFormat="false" ht="25.5" hidden="false" customHeight="true" outlineLevel="0" collapsed="false">
      <c r="B21" s="54" t="n">
        <v>0.05</v>
      </c>
      <c r="C21" s="47" t="n">
        <v>0</v>
      </c>
      <c r="D21" s="40" t="s">
        <v>90</v>
      </c>
      <c r="E21" s="54" t="n">
        <v>0.0338</v>
      </c>
      <c r="F21" s="55" t="n">
        <v>0</v>
      </c>
      <c r="G21" s="55" t="n">
        <v>0</v>
      </c>
      <c r="H21" s="34"/>
      <c r="I21" s="34"/>
      <c r="J21" s="34"/>
      <c r="K21" s="34"/>
      <c r="L21" s="34" t="str">
        <f aca="false">IF(OR(D21&lt;&gt;"-",E21&lt;S_poche_rouge),"Rouge",IF(C21&gt;0,"Orange","Vert"))</f>
        <v>Rouge</v>
      </c>
      <c r="M21" s="34" t="s">
        <v>868</v>
      </c>
    </row>
    <row r="22" customFormat="false" ht="25.5" hidden="false" customHeight="true" outlineLevel="0" collapsed="false">
      <c r="B22" s="54" t="n">
        <v>0.075</v>
      </c>
      <c r="C22" s="47" t="n">
        <v>4</v>
      </c>
      <c r="D22" s="40" t="s">
        <v>848</v>
      </c>
      <c r="E22" s="54" t="n">
        <v>0.0761</v>
      </c>
      <c r="F22" s="55" t="n">
        <v>5.16</v>
      </c>
      <c r="G22" s="55" t="n">
        <v>0.52</v>
      </c>
      <c r="H22" s="34"/>
      <c r="I22" s="34"/>
      <c r="J22" s="34"/>
      <c r="K22" s="34"/>
      <c r="L22" s="34" t="str">
        <f aca="false">IF(OR(D22&lt;&gt;"-",E22&lt;S_poche_rouge),"Rouge",IF(C22&gt;0,"Orange","Vert"))</f>
        <v>Rouge</v>
      </c>
      <c r="M22" s="34" t="s">
        <v>869</v>
      </c>
    </row>
    <row r="23" customFormat="false" ht="25.5" hidden="false" customHeight="true" outlineLevel="0" collapsed="false">
      <c r="B23" s="54" t="n">
        <v>0.1</v>
      </c>
      <c r="C23" s="47" t="n">
        <v>4</v>
      </c>
      <c r="D23" s="40" t="s">
        <v>848</v>
      </c>
      <c r="E23" s="54" t="n">
        <v>0.0761</v>
      </c>
      <c r="F23" s="55" t="n">
        <v>11.58</v>
      </c>
      <c r="G23" s="55" t="n">
        <v>1.16</v>
      </c>
      <c r="H23" s="34"/>
      <c r="I23" s="34"/>
      <c r="J23" s="34"/>
      <c r="K23" s="34"/>
      <c r="L23" s="34" t="str">
        <f aca="false">IF(OR(D23&lt;&gt;"-",E23&lt;S_poche_rouge),"Rouge",IF(C23&gt;0,"Orange","Vert"))</f>
        <v>Rouge</v>
      </c>
      <c r="M23" s="34"/>
    </row>
    <row r="24" customFormat="false" ht="25.5" hidden="false" customHeight="true" outlineLevel="0" collapsed="false">
      <c r="B24" s="54" t="n">
        <v>0.125</v>
      </c>
      <c r="C24" s="47" t="n">
        <v>4</v>
      </c>
      <c r="D24" s="40" t="s">
        <v>848</v>
      </c>
      <c r="E24" s="54" t="n">
        <v>0.0761</v>
      </c>
      <c r="F24" s="55" t="n">
        <v>17.31</v>
      </c>
      <c r="G24" s="55" t="n">
        <v>1.73</v>
      </c>
      <c r="H24" s="34"/>
      <c r="I24" s="34"/>
      <c r="J24" s="34"/>
      <c r="K24" s="34"/>
      <c r="L24" s="34" t="str">
        <f aca="false">IF(OR(D24&lt;&gt;"-",E24&lt;S_poche_rouge),"Rouge",IF(C24&gt;0,"Orange","Vert"))</f>
        <v>Rouge</v>
      </c>
      <c r="M24" s="34"/>
    </row>
    <row r="25" customFormat="false" ht="25.5" hidden="false" customHeight="true" outlineLevel="0" collapsed="false">
      <c r="B25" s="54" t="n">
        <v>0.15</v>
      </c>
      <c r="C25" s="47" t="n">
        <v>4</v>
      </c>
      <c r="D25" s="40" t="s">
        <v>848</v>
      </c>
      <c r="E25" s="54" t="n">
        <v>0.0761</v>
      </c>
      <c r="F25" s="55" t="n">
        <v>22.33</v>
      </c>
      <c r="G25" s="55" t="n">
        <v>2.23</v>
      </c>
      <c r="H25" s="34"/>
      <c r="I25" s="34"/>
      <c r="J25" s="34"/>
      <c r="K25" s="34"/>
      <c r="L25" s="34" t="str">
        <f aca="false">IF(OR(D25&lt;&gt;"-",E25&lt;S_poche_rouge),"Rouge",IF(C25&gt;0,"Orange","Vert"))</f>
        <v>Rouge</v>
      </c>
      <c r="M25" s="34"/>
    </row>
    <row r="26" customFormat="false" ht="15" hidden="false" customHeight="false" outlineLevel="0" collapsed="false">
      <c r="B26" s="34" t="s">
        <v>870</v>
      </c>
      <c r="C26" s="56" t="n">
        <v>0.075</v>
      </c>
      <c r="D26" s="34"/>
      <c r="E26" s="34"/>
      <c r="F26" s="34"/>
      <c r="G26" s="34"/>
      <c r="H26" s="34"/>
      <c r="I26" s="34"/>
      <c r="J26" s="34"/>
      <c r="K26" s="34"/>
      <c r="L26" s="34"/>
      <c r="M26" s="34"/>
    </row>
    <row r="28" customFormat="false" ht="18" hidden="false" customHeight="true" outlineLevel="0" collapsed="false">
      <c r="B28" s="33" t="s">
        <v>871</v>
      </c>
      <c r="C28" s="33" t="s">
        <v>872</v>
      </c>
      <c r="D28" s="33" t="s">
        <v>292</v>
      </c>
      <c r="E28" s="33" t="s">
        <v>839</v>
      </c>
      <c r="F28" s="33" t="s">
        <v>842</v>
      </c>
      <c r="G28" s="33"/>
      <c r="H28" s="33"/>
      <c r="I28" s="33"/>
      <c r="J28" s="33"/>
      <c r="K28" s="33"/>
      <c r="L28" s="33" t="s">
        <v>26</v>
      </c>
      <c r="M28" s="33" t="s">
        <v>246</v>
      </c>
    </row>
    <row r="29" customFormat="false" ht="21.75" hidden="false" customHeight="true" outlineLevel="0" collapsed="false">
      <c r="B29" s="54" t="n">
        <v>0.075</v>
      </c>
      <c r="C29" s="38" t="n">
        <v>0.15</v>
      </c>
      <c r="D29" s="54" t="n">
        <v>0.1397</v>
      </c>
      <c r="E29" s="55" t="n">
        <v>2.08</v>
      </c>
      <c r="F29" s="55" t="n">
        <v>0</v>
      </c>
      <c r="G29" s="34"/>
      <c r="H29" s="34"/>
      <c r="I29" s="34"/>
      <c r="J29" s="34"/>
      <c r="K29" s="34"/>
      <c r="L29" s="34" t="str">
        <f aca="false">IF(OR(D29&lt;S_poche_rouge,E29&lt;S_couv_rouge),"Rouge",IF(OR(D29&lt;Liq_min,E29&lt;S_couv_vert),"Orange","Vert"))</f>
        <v>Orange</v>
      </c>
      <c r="M29" s="34"/>
    </row>
    <row r="30" customFormat="false" ht="21.75" hidden="false" customHeight="true" outlineLevel="0" collapsed="false">
      <c r="B30" s="54" t="n">
        <v>0.125</v>
      </c>
      <c r="C30" s="38" t="n">
        <v>0.25</v>
      </c>
      <c r="D30" s="54" t="n">
        <v>0.0747</v>
      </c>
      <c r="E30" s="55" t="n">
        <v>1.5</v>
      </c>
      <c r="F30" s="55" t="n">
        <v>0</v>
      </c>
      <c r="G30" s="34"/>
      <c r="H30" s="34"/>
      <c r="I30" s="34"/>
      <c r="J30" s="34"/>
      <c r="K30" s="34"/>
      <c r="L30" s="34" t="str">
        <f aca="false">IF(OR(D30&lt;S_poche_rouge,E30&lt;S_couv_rouge),"Rouge",IF(OR(D30&lt;Liq_min,E30&lt;S_couv_vert),"Orange","Vert"))</f>
        <v>Orange</v>
      </c>
      <c r="M30" s="34" t="s">
        <v>873</v>
      </c>
    </row>
    <row r="31" customFormat="false" ht="21.75" hidden="false" customHeight="true" outlineLevel="0" collapsed="false">
      <c r="B31" s="54" t="n">
        <v>0.175</v>
      </c>
      <c r="C31" s="38" t="n">
        <v>0.35</v>
      </c>
      <c r="D31" s="54" t="n">
        <v>0</v>
      </c>
      <c r="E31" s="55" t="n">
        <v>0.93</v>
      </c>
      <c r="F31" s="55" t="n">
        <v>0.68</v>
      </c>
      <c r="G31" s="34"/>
      <c r="H31" s="34"/>
      <c r="I31" s="34"/>
      <c r="J31" s="34"/>
      <c r="K31" s="34"/>
      <c r="L31" s="34" t="str">
        <f aca="false">IF(OR(D31&lt;S_poche_rouge,E31&lt;S_couv_rouge),"Rouge",IF(OR(D31&lt;Liq_min,E31&lt;S_couv_vert),"Orange","Vert"))</f>
        <v>Rouge</v>
      </c>
      <c r="M31" s="34" t="s">
        <v>874</v>
      </c>
    </row>
    <row r="32" customFormat="false" ht="21.75" hidden="false" customHeight="true" outlineLevel="0" collapsed="false">
      <c r="B32" s="54" t="n">
        <v>0.225</v>
      </c>
      <c r="C32" s="38" t="n">
        <v>0.45</v>
      </c>
      <c r="D32" s="54" t="n">
        <v>0</v>
      </c>
      <c r="E32" s="55" t="n">
        <v>0.61</v>
      </c>
      <c r="F32" s="55" t="n">
        <v>6.41</v>
      </c>
      <c r="G32" s="34"/>
      <c r="H32" s="34"/>
      <c r="I32" s="34"/>
      <c r="J32" s="34"/>
      <c r="K32" s="34"/>
      <c r="L32" s="34" t="str">
        <f aca="false">IF(OR(D32&lt;S_poche_rouge,E32&lt;S_couv_rouge),"Rouge",IF(OR(D32&lt;Liq_min,E32&lt;S_couv_vert),"Orange","Vert"))</f>
        <v>Rouge</v>
      </c>
      <c r="M32" s="34"/>
    </row>
    <row r="33" customFormat="false" ht="21.75" hidden="false" customHeight="true" outlineLevel="0" collapsed="false">
      <c r="B33" s="54" t="n">
        <v>0.45</v>
      </c>
      <c r="C33" s="38" t="n">
        <v>0.45</v>
      </c>
      <c r="D33" s="54" t="n">
        <v>0</v>
      </c>
      <c r="E33" s="55" t="n">
        <v>0.45</v>
      </c>
      <c r="F33" s="55" t="n">
        <v>12.39</v>
      </c>
      <c r="G33" s="34"/>
      <c r="H33" s="34"/>
      <c r="I33" s="34"/>
      <c r="J33" s="34"/>
      <c r="K33" s="34"/>
      <c r="L33" s="34" t="str">
        <f aca="false">IF(OR(D33&lt;S_poche_rouge,E33&lt;S_couv_rouge),"Rouge",IF(OR(D33&lt;Liq_min,E33&lt;S_couv_vert),"Orange","Vert"))</f>
        <v>Rouge</v>
      </c>
      <c r="M33" s="34" t="s">
        <v>875</v>
      </c>
    </row>
    <row r="34" customFormat="false" ht="15" hidden="false" customHeight="false" outlineLevel="0" collapsed="false">
      <c r="B34" s="34" t="s">
        <v>876</v>
      </c>
      <c r="C34" s="56" t="n">
        <v>0.125</v>
      </c>
      <c r="D34" s="34"/>
      <c r="E34" s="34"/>
      <c r="F34" s="34"/>
      <c r="G34" s="34"/>
      <c r="H34" s="34"/>
      <c r="I34" s="34"/>
      <c r="J34" s="34"/>
      <c r="K34" s="34"/>
      <c r="L34" s="34"/>
      <c r="M34" s="34"/>
    </row>
    <row r="36" customFormat="false" ht="18" hidden="false" customHeight="true" outlineLevel="0" collapsed="false">
      <c r="B36" s="33" t="s">
        <v>877</v>
      </c>
      <c r="C36" s="33" t="s">
        <v>837</v>
      </c>
      <c r="D36" s="33" t="s">
        <v>291</v>
      </c>
      <c r="E36" s="33" t="s">
        <v>838</v>
      </c>
      <c r="F36" s="33" t="s">
        <v>292</v>
      </c>
      <c r="G36" s="33" t="s">
        <v>192</v>
      </c>
      <c r="H36" s="33"/>
      <c r="I36" s="33"/>
      <c r="J36" s="33"/>
      <c r="K36" s="33"/>
      <c r="L36" s="33" t="s">
        <v>26</v>
      </c>
      <c r="M36" s="33" t="s">
        <v>246</v>
      </c>
    </row>
    <row r="37" customFormat="false" ht="21.75" hidden="false" customHeight="true" outlineLevel="0" collapsed="false">
      <c r="B37" s="38" t="n">
        <v>0.1</v>
      </c>
      <c r="C37" s="47" t="n">
        <v>2</v>
      </c>
      <c r="D37" s="54" t="n">
        <v>0.052</v>
      </c>
      <c r="E37" s="47" t="n">
        <v>12</v>
      </c>
      <c r="F37" s="54" t="n">
        <v>0.101</v>
      </c>
      <c r="G37" s="40" t="s">
        <v>90</v>
      </c>
      <c r="H37" s="34"/>
      <c r="I37" s="34"/>
      <c r="J37" s="34"/>
      <c r="K37" s="34"/>
      <c r="L37" s="34" t="str">
        <f aca="false">IF(OR(G37&lt;&gt;"-",E37&gt;S_resorption_rouge),"Rouge",IF(C37&gt;0,"Orange","Vert"))</f>
        <v>Orange</v>
      </c>
      <c r="M37" s="34"/>
    </row>
    <row r="38" customFormat="false" ht="21.75" hidden="false" customHeight="true" outlineLevel="0" collapsed="false">
      <c r="B38" s="38" t="n">
        <v>0.15</v>
      </c>
      <c r="C38" s="47" t="n">
        <v>4</v>
      </c>
      <c r="D38" s="54" t="n">
        <v>0.104</v>
      </c>
      <c r="E38" s="47" t="n">
        <v>24</v>
      </c>
      <c r="F38" s="54" t="n">
        <v>0.0706</v>
      </c>
      <c r="G38" s="40" t="s">
        <v>90</v>
      </c>
      <c r="H38" s="34"/>
      <c r="I38" s="34"/>
      <c r="J38" s="34"/>
      <c r="K38" s="34"/>
      <c r="L38" s="34" t="str">
        <f aca="false">IF(OR(G38&lt;&gt;"-",E38&gt;S_resorption_rouge),"Rouge",IF(C38&gt;0,"Orange","Vert"))</f>
        <v>Orange</v>
      </c>
      <c r="M38" s="34" t="s">
        <v>878</v>
      </c>
    </row>
    <row r="39" customFormat="false" ht="21.75" hidden="false" customHeight="true" outlineLevel="0" collapsed="false">
      <c r="B39" s="38" t="n">
        <v>0.2</v>
      </c>
      <c r="C39" s="47" t="n">
        <v>4</v>
      </c>
      <c r="D39" s="54" t="n">
        <v>0.156</v>
      </c>
      <c r="E39" s="47" t="n">
        <v>99</v>
      </c>
      <c r="F39" s="54" t="n">
        <v>0.0761</v>
      </c>
      <c r="G39" s="40" t="s">
        <v>848</v>
      </c>
      <c r="H39" s="34"/>
      <c r="I39" s="34"/>
      <c r="J39" s="34"/>
      <c r="K39" s="34"/>
      <c r="L39" s="34" t="str">
        <f aca="false">IF(OR(G39&lt;&gt;"-",E39&gt;S_resorption_rouge),"Rouge",IF(C39&gt;0,"Orange","Vert"))</f>
        <v>Rouge</v>
      </c>
      <c r="M39" s="34"/>
    </row>
    <row r="40" customFormat="false" ht="21.75" hidden="false" customHeight="true" outlineLevel="0" collapsed="false">
      <c r="B40" s="38" t="n">
        <v>0.25</v>
      </c>
      <c r="C40" s="47" t="n">
        <v>4</v>
      </c>
      <c r="D40" s="54" t="n">
        <v>0.208</v>
      </c>
      <c r="E40" s="47" t="n">
        <v>99</v>
      </c>
      <c r="F40" s="54" t="n">
        <v>0.0761</v>
      </c>
      <c r="G40" s="40" t="s">
        <v>848</v>
      </c>
      <c r="H40" s="34"/>
      <c r="I40" s="34"/>
      <c r="J40" s="34"/>
      <c r="K40" s="34"/>
      <c r="L40" s="34" t="str">
        <f aca="false">IF(OR(G40&lt;&gt;"-",E40&gt;S_resorption_rouge),"Rouge",IF(C40&gt;0,"Orange","Vert"))</f>
        <v>Rouge</v>
      </c>
      <c r="M40" s="34"/>
    </row>
    <row r="41" customFormat="false" ht="15" hidden="false" customHeight="false" outlineLevel="0" collapsed="false">
      <c r="B41" s="34" t="s">
        <v>879</v>
      </c>
      <c r="C41" s="49" t="n">
        <v>0.15</v>
      </c>
      <c r="D41" s="34"/>
      <c r="E41" s="34"/>
      <c r="F41" s="34"/>
      <c r="G41" s="34"/>
      <c r="H41" s="34"/>
      <c r="I41" s="34"/>
      <c r="J41" s="34"/>
      <c r="K41" s="34"/>
      <c r="L41" s="34"/>
      <c r="M41" s="34"/>
    </row>
    <row r="43" customFormat="false" ht="51.75" hidden="false" customHeight="true" outlineLevel="0" collapsed="false">
      <c r="B43" s="21" t="s">
        <v>880</v>
      </c>
      <c r="C43" s="21"/>
      <c r="D43" s="21"/>
      <c r="E43" s="21"/>
      <c r="F43" s="21"/>
      <c r="G43" s="21"/>
      <c r="H43" s="21"/>
      <c r="I43" s="21"/>
      <c r="J43" s="21"/>
      <c r="K43" s="21"/>
      <c r="L43" s="21"/>
      <c r="M43" s="21"/>
    </row>
  </sheetData>
  <mergeCells count="2">
    <mergeCell ref="B17:M17"/>
    <mergeCell ref="B43:M43"/>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40"/>
    <col collapsed="false" customWidth="true" hidden="false" outlineLevel="0" max="7" min="7" style="0" width="20"/>
  </cols>
  <sheetData>
    <row r="2" customFormat="false" ht="15" hidden="false" customHeight="false" outlineLevel="0" collapsed="false">
      <c r="B2" s="31" t="s">
        <v>881</v>
      </c>
    </row>
    <row r="3" customFormat="false" ht="15" hidden="false" customHeight="false" outlineLevel="0" collapsed="false">
      <c r="B3" s="32" t="s">
        <v>882</v>
      </c>
    </row>
    <row r="5" customFormat="false" ht="18" hidden="false" customHeight="true" outlineLevel="0" collapsed="false">
      <c r="B5" s="33" t="s">
        <v>314</v>
      </c>
      <c r="C5" s="33" t="s">
        <v>315</v>
      </c>
      <c r="D5" s="33" t="s">
        <v>316</v>
      </c>
      <c r="E5" s="33" t="s">
        <v>317</v>
      </c>
      <c r="F5" s="33" t="s">
        <v>318</v>
      </c>
    </row>
    <row r="6" customFormat="false" ht="42" hidden="false" customHeight="true" outlineLevel="0" collapsed="false">
      <c r="B6" s="34" t="s">
        <v>883</v>
      </c>
      <c r="C6" s="34" t="s">
        <v>884</v>
      </c>
      <c r="D6" s="34" t="s">
        <v>885</v>
      </c>
      <c r="E6" s="34" t="s">
        <v>886</v>
      </c>
      <c r="F6" s="34" t="s">
        <v>887</v>
      </c>
    </row>
    <row r="7" customFormat="false" ht="42" hidden="false" customHeight="true" outlineLevel="0" collapsed="false">
      <c r="B7" s="34" t="s">
        <v>462</v>
      </c>
      <c r="C7" s="34" t="s">
        <v>888</v>
      </c>
      <c r="D7" s="34" t="s">
        <v>889</v>
      </c>
      <c r="E7" s="34" t="s">
        <v>890</v>
      </c>
      <c r="F7" s="34" t="s">
        <v>891</v>
      </c>
    </row>
    <row r="8" customFormat="false" ht="42" hidden="false" customHeight="true" outlineLevel="0" collapsed="false">
      <c r="B8" s="34" t="s">
        <v>892</v>
      </c>
      <c r="C8" s="34" t="s">
        <v>893</v>
      </c>
      <c r="D8" s="34" t="s">
        <v>894</v>
      </c>
      <c r="E8" s="34" t="s">
        <v>895</v>
      </c>
      <c r="F8" s="34" t="s">
        <v>896</v>
      </c>
    </row>
    <row r="9" customFormat="false" ht="42" hidden="false" customHeight="true" outlineLevel="0" collapsed="false">
      <c r="B9" s="34" t="s">
        <v>897</v>
      </c>
      <c r="C9" s="34" t="s">
        <v>898</v>
      </c>
      <c r="D9" s="34" t="s">
        <v>899</v>
      </c>
      <c r="E9" s="34" t="s">
        <v>900</v>
      </c>
      <c r="F9" s="34" t="s">
        <v>165</v>
      </c>
    </row>
    <row r="10" customFormat="false" ht="42" hidden="false" customHeight="true" outlineLevel="0" collapsed="false">
      <c r="B10" s="34" t="s">
        <v>901</v>
      </c>
      <c r="C10" s="34" t="s">
        <v>902</v>
      </c>
      <c r="D10" s="34" t="s">
        <v>903</v>
      </c>
      <c r="E10" s="34" t="s">
        <v>903</v>
      </c>
      <c r="F10" s="34" t="s">
        <v>903</v>
      </c>
    </row>
    <row r="11" customFormat="false" ht="42" hidden="false" customHeight="true" outlineLevel="0" collapsed="false">
      <c r="B11" s="34" t="s">
        <v>177</v>
      </c>
      <c r="C11" s="34" t="s">
        <v>904</v>
      </c>
      <c r="D11" s="34" t="s">
        <v>905</v>
      </c>
      <c r="E11" s="34" t="s">
        <v>906</v>
      </c>
      <c r="F11" s="34" t="s">
        <v>907</v>
      </c>
    </row>
    <row r="12" customFormat="false" ht="42" hidden="false" customHeight="true" outlineLevel="0" collapsed="false">
      <c r="B12" s="34" t="s">
        <v>180</v>
      </c>
      <c r="C12" s="34" t="s">
        <v>908</v>
      </c>
      <c r="D12" s="34" t="s">
        <v>909</v>
      </c>
      <c r="E12" s="34" t="s">
        <v>910</v>
      </c>
      <c r="F12" s="34" t="s">
        <v>911</v>
      </c>
    </row>
    <row r="13" customFormat="false" ht="42" hidden="false" customHeight="true" outlineLevel="0" collapsed="false">
      <c r="B13" s="34" t="s">
        <v>319</v>
      </c>
      <c r="C13" s="34" t="s">
        <v>912</v>
      </c>
      <c r="D13" s="34" t="s">
        <v>913</v>
      </c>
      <c r="E13" s="34" t="s">
        <v>914</v>
      </c>
      <c r="F13" s="34" t="s">
        <v>915</v>
      </c>
    </row>
    <row r="14" customFormat="false" ht="42" hidden="false" customHeight="true" outlineLevel="0" collapsed="false">
      <c r="B14" s="34" t="s">
        <v>320</v>
      </c>
      <c r="C14" s="34" t="s">
        <v>912</v>
      </c>
      <c r="D14" s="34" t="s">
        <v>916</v>
      </c>
      <c r="E14" s="34" t="s">
        <v>917</v>
      </c>
      <c r="F14" s="34" t="s">
        <v>918</v>
      </c>
    </row>
    <row r="15" customFormat="false" ht="42" hidden="false" customHeight="true" outlineLevel="0" collapsed="false">
      <c r="B15" s="34" t="s">
        <v>174</v>
      </c>
      <c r="C15" s="34" t="s">
        <v>919</v>
      </c>
      <c r="D15" s="34" t="s">
        <v>920</v>
      </c>
      <c r="E15" s="34" t="s">
        <v>921</v>
      </c>
      <c r="F15" s="34" t="s">
        <v>922</v>
      </c>
    </row>
    <row r="16" customFormat="false" ht="42" hidden="false" customHeight="true" outlineLevel="0" collapsed="false">
      <c r="B16" s="34" t="s">
        <v>321</v>
      </c>
      <c r="C16" s="34" t="s">
        <v>923</v>
      </c>
      <c r="D16" s="34" t="s">
        <v>924</v>
      </c>
      <c r="E16" s="34" t="s">
        <v>925</v>
      </c>
      <c r="F16" s="34" t="s">
        <v>926</v>
      </c>
    </row>
    <row r="17" customFormat="false" ht="42" hidden="false" customHeight="true" outlineLevel="0" collapsed="false">
      <c r="B17" s="34" t="s">
        <v>927</v>
      </c>
      <c r="C17" s="34" t="s">
        <v>928</v>
      </c>
      <c r="D17" s="34" t="s">
        <v>929</v>
      </c>
      <c r="E17" s="34" t="s">
        <v>930</v>
      </c>
      <c r="F17" s="34" t="s">
        <v>931</v>
      </c>
    </row>
    <row r="18" customFormat="false" ht="42" hidden="false" customHeight="true" outlineLevel="0" collapsed="false">
      <c r="B18" s="34" t="s">
        <v>323</v>
      </c>
      <c r="C18" s="34" t="s">
        <v>932</v>
      </c>
      <c r="D18" s="34" t="s">
        <v>933</v>
      </c>
      <c r="E18" s="34" t="s">
        <v>934</v>
      </c>
      <c r="F18" s="34" t="s">
        <v>935</v>
      </c>
    </row>
    <row r="19" customFormat="false" ht="42" hidden="false" customHeight="true" outlineLevel="0" collapsed="false">
      <c r="B19" s="34" t="s">
        <v>324</v>
      </c>
      <c r="C19" s="34" t="s">
        <v>936</v>
      </c>
      <c r="D19" s="34" t="s">
        <v>937</v>
      </c>
      <c r="E19" s="34" t="s">
        <v>938</v>
      </c>
      <c r="F19" s="34" t="s">
        <v>939</v>
      </c>
    </row>
    <row r="20" customFormat="false" ht="42" hidden="false" customHeight="true" outlineLevel="0" collapsed="false">
      <c r="B20" s="34" t="s">
        <v>940</v>
      </c>
      <c r="C20" s="34" t="s">
        <v>941</v>
      </c>
      <c r="D20" s="34" t="s">
        <v>942</v>
      </c>
      <c r="E20" s="34" t="s">
        <v>943</v>
      </c>
      <c r="F20" s="34" t="s">
        <v>944</v>
      </c>
    </row>
    <row r="21" customFormat="false" ht="42" hidden="false" customHeight="true" outlineLevel="0" collapsed="false">
      <c r="B21" s="34" t="s">
        <v>325</v>
      </c>
      <c r="C21" s="34" t="s">
        <v>945</v>
      </c>
      <c r="D21" s="34" t="s">
        <v>946</v>
      </c>
      <c r="E21" s="34" t="s">
        <v>947</v>
      </c>
      <c r="F21" s="34" t="s">
        <v>945</v>
      </c>
    </row>
    <row r="22" customFormat="false" ht="42" hidden="false" customHeight="true" outlineLevel="0" collapsed="false">
      <c r="B22" s="34" t="s">
        <v>948</v>
      </c>
      <c r="C22" s="34" t="s">
        <v>949</v>
      </c>
      <c r="D22" s="34" t="s">
        <v>950</v>
      </c>
      <c r="E22" s="34" t="s">
        <v>951</v>
      </c>
      <c r="F22" s="34" t="s">
        <v>952</v>
      </c>
    </row>
    <row r="24" customFormat="false" ht="43.25" hidden="false" customHeight="false" outlineLevel="0" collapsed="false">
      <c r="B24" s="1" t="s">
        <v>953</v>
      </c>
      <c r="C24" s="2"/>
      <c r="D24" s="2"/>
      <c r="E24" s="2"/>
      <c r="F24" s="2"/>
    </row>
    <row r="25" customFormat="false" ht="18" hidden="false" customHeight="true" outlineLevel="0" collapsed="false">
      <c r="B25" s="33" t="s">
        <v>954</v>
      </c>
      <c r="C25" s="33" t="s">
        <v>955</v>
      </c>
      <c r="D25" s="33" t="s">
        <v>315</v>
      </c>
      <c r="E25" s="33" t="s">
        <v>316</v>
      </c>
      <c r="F25" s="33" t="s">
        <v>317</v>
      </c>
      <c r="G25" s="33" t="s">
        <v>318</v>
      </c>
    </row>
    <row r="26" customFormat="false" ht="15.75" hidden="false" customHeight="true" outlineLevel="0" collapsed="false">
      <c r="B26" s="34" t="s">
        <v>956</v>
      </c>
      <c r="C26" s="34" t="s">
        <v>957</v>
      </c>
      <c r="D26" s="34" t="s">
        <v>957</v>
      </c>
      <c r="E26" s="34" t="s">
        <v>958</v>
      </c>
      <c r="F26" s="34" t="s">
        <v>957</v>
      </c>
      <c r="G26" s="34" t="s">
        <v>957</v>
      </c>
    </row>
    <row r="27" customFormat="false" ht="15.75" hidden="false" customHeight="true" outlineLevel="0" collapsed="false">
      <c r="B27" s="34" t="s">
        <v>959</v>
      </c>
      <c r="C27" s="34" t="s">
        <v>960</v>
      </c>
      <c r="D27" s="34" t="s">
        <v>961</v>
      </c>
      <c r="E27" s="34" t="s">
        <v>962</v>
      </c>
      <c r="F27" s="34" t="s">
        <v>960</v>
      </c>
      <c r="G27" s="34" t="s">
        <v>960</v>
      </c>
    </row>
    <row r="28" customFormat="false" ht="15.75" hidden="false" customHeight="true" outlineLevel="0" collapsed="false">
      <c r="B28" s="34" t="s">
        <v>963</v>
      </c>
      <c r="C28" s="34" t="s">
        <v>964</v>
      </c>
      <c r="D28" s="34" t="s">
        <v>965</v>
      </c>
      <c r="E28" s="34" t="s">
        <v>964</v>
      </c>
      <c r="F28" s="34" t="s">
        <v>964</v>
      </c>
      <c r="G28" s="34" t="s">
        <v>964</v>
      </c>
    </row>
    <row r="29" customFormat="false" ht="15.75" hidden="false" customHeight="true" outlineLevel="0" collapsed="false">
      <c r="B29" s="34" t="s">
        <v>966</v>
      </c>
      <c r="C29" s="34" t="s">
        <v>967</v>
      </c>
      <c r="D29" s="34" t="s">
        <v>968</v>
      </c>
      <c r="E29" s="34" t="s">
        <v>969</v>
      </c>
      <c r="F29" s="34" t="s">
        <v>970</v>
      </c>
      <c r="G29" s="34" t="s">
        <v>969</v>
      </c>
    </row>
    <row r="30" customFormat="false" ht="15.75" hidden="false" customHeight="true" outlineLevel="0" collapsed="false">
      <c r="B30" s="34" t="s">
        <v>971</v>
      </c>
      <c r="C30" s="34" t="s">
        <v>972</v>
      </c>
      <c r="D30" s="34" t="s">
        <v>973</v>
      </c>
      <c r="E30" s="34" t="s">
        <v>973</v>
      </c>
      <c r="F30" s="34" t="s">
        <v>974</v>
      </c>
      <c r="G30" s="34" t="s">
        <v>972</v>
      </c>
    </row>
    <row r="31" customFormat="false" ht="15.75" hidden="false" customHeight="true" outlineLevel="0" collapsed="false">
      <c r="B31" s="34" t="s">
        <v>975</v>
      </c>
      <c r="C31" s="34" t="s">
        <v>976</v>
      </c>
      <c r="D31" s="34" t="s">
        <v>977</v>
      </c>
      <c r="E31" s="34" t="s">
        <v>977</v>
      </c>
      <c r="F31" s="34" t="s">
        <v>977</v>
      </c>
      <c r="G31" s="34" t="s">
        <v>977</v>
      </c>
    </row>
    <row r="32" customFormat="false" ht="15.75" hidden="false" customHeight="true" outlineLevel="0" collapsed="false">
      <c r="B32" s="34" t="s">
        <v>978</v>
      </c>
      <c r="C32" s="57" t="n">
        <f aca="false">ROUND(100*(0.25*10/13+0.3*4/4+0.1*2/2+0.1*1/6+0.15*7/10+0.1*0/3),1)</f>
        <v>71.4</v>
      </c>
      <c r="D32" s="57" t="n">
        <f aca="false">ROUND(100*(0.25*10/13+0.3*1/4+0.1*0/2+0.1*2/6+0.15*8/10+0.1*3/3),1)</f>
        <v>52.1</v>
      </c>
      <c r="E32" s="57" t="n">
        <f aca="false">ROUND(100*(0.25*11/13+0.3*3/4+0.1*2/2+0.1*4/6+0.15*8/10+0.1*3/3),1)</f>
        <v>82.3</v>
      </c>
      <c r="F32" s="57" t="n">
        <f aca="false">ROUND(100*(0.25*10/13+0.3*4/4+0.1*2/2+0.1*5/6+0.15*10/10+0.1*3/3),1)</f>
        <v>92.6</v>
      </c>
      <c r="G32" s="57" t="n">
        <f aca="false">ROUND(100*(0.25*10/13+0.3*4/4+0.1*2/2+0.1*4/6+0.15*7/10+0.1*3/3),1)</f>
        <v>86.4</v>
      </c>
    </row>
    <row r="33" customFormat="false" ht="15.75" hidden="false" customHeight="true" outlineLevel="0" collapsed="false">
      <c r="B33" s="34" t="s">
        <v>329</v>
      </c>
      <c r="C33" s="34" t="str">
        <f aca="false">IF(C32&gt;56,"Élevé",IF(C32&gt;34,"Moyen","Faible"))</f>
        <v>Élevé</v>
      </c>
      <c r="D33" s="34" t="str">
        <f aca="false">IF(D32&gt;56,"Élevé",IF(D32&gt;34,"Moyen","Faible"))</f>
        <v>Moyen</v>
      </c>
      <c r="E33" s="34" t="str">
        <f aca="false">IF(E32&gt;56,"Élevé",IF(E32&gt;34,"Moyen","Faible"))</f>
        <v>Élevé</v>
      </c>
      <c r="F33" s="34" t="str">
        <f aca="false">IF(F32&gt;56,"Élevé",IF(F32&gt;34,"Moyen","Faible"))</f>
        <v>Élevé</v>
      </c>
      <c r="G33" s="34" t="str">
        <f aca="false">IF(G32&gt;56,"Élevé",IF(G32&gt;34,"Moyen","Faible"))</f>
        <v>Élevé</v>
      </c>
    </row>
    <row r="34" customFormat="false" ht="15.75" hidden="false" customHeight="true" outlineLevel="0" collapsed="false">
      <c r="B34" s="34" t="s">
        <v>901</v>
      </c>
      <c r="C34" s="34" t="s">
        <v>90</v>
      </c>
      <c r="D34" s="39" t="n">
        <f aca="false">W_MAPIF</f>
        <v>0.34</v>
      </c>
      <c r="E34" s="39" t="n">
        <f aca="false">W_MSIG</f>
        <v>0.17</v>
      </c>
      <c r="F34" s="39" t="n">
        <f aca="false">W_PG</f>
        <v>0.17</v>
      </c>
      <c r="G34" s="39" t="n">
        <f aca="false">W_ARES</f>
        <v>0.17</v>
      </c>
    </row>
    <row r="35" customFormat="false" ht="22.35" hidden="false" customHeight="false" outlineLevel="0" collapsed="false">
      <c r="B35" s="34" t="s">
        <v>979</v>
      </c>
      <c r="C35" s="57" t="n">
        <f aca="false">ROUND(D34*D32+E34*E32+F34*F32+G34*G32,1)</f>
        <v>62.1</v>
      </c>
      <c r="D35" s="34"/>
      <c r="E35" s="34"/>
      <c r="F35" s="34"/>
      <c r="G35" s="34"/>
    </row>
    <row r="36" customFormat="false" ht="22.35" hidden="false" customHeight="false" outlineLevel="0" collapsed="false">
      <c r="B36" s="34" t="s">
        <v>980</v>
      </c>
      <c r="C36" s="46" t="n">
        <f aca="false">ROUND(C35/(1-W_LIQ),1)</f>
        <v>73.1</v>
      </c>
      <c r="D36" s="34"/>
      <c r="E36" s="34"/>
      <c r="F36" s="34"/>
      <c r="G36" s="34"/>
    </row>
    <row r="38" customFormat="false" ht="25.5" hidden="false" customHeight="true" outlineLevel="0" collapsed="false">
      <c r="B38" s="21" t="s">
        <v>981</v>
      </c>
      <c r="C38" s="21"/>
      <c r="D38" s="21"/>
      <c r="E38" s="21"/>
      <c r="F38" s="21"/>
      <c r="G38" s="21"/>
      <c r="H38" s="21"/>
    </row>
  </sheetData>
  <mergeCells count="1">
    <mergeCell ref="B38:H38"/>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48"/>
    <col collapsed="false" customWidth="true" hidden="false" outlineLevel="0" max="4" min="4" style="0" width="70"/>
    <col collapsed="false" customWidth="true" hidden="false" outlineLevel="0" max="5" min="5" style="0" width="30"/>
    <col collapsed="false" customWidth="true" hidden="false" outlineLevel="0" max="6" min="6" style="0" width="24"/>
    <col collapsed="false" customWidth="true" hidden="false" outlineLevel="0" max="7" min="7" style="0" width="20"/>
  </cols>
  <sheetData>
    <row r="2" customFormat="false" ht="15" hidden="false" customHeight="false" outlineLevel="0" collapsed="false">
      <c r="B2" s="31" t="s">
        <v>982</v>
      </c>
    </row>
    <row r="3" customFormat="false" ht="15" hidden="false" customHeight="false" outlineLevel="0" collapsed="false">
      <c r="B3" s="32" t="s">
        <v>983</v>
      </c>
    </row>
    <row r="5" customFormat="false" ht="18" hidden="false" customHeight="true" outlineLevel="0" collapsed="false">
      <c r="B5" s="33" t="s">
        <v>55</v>
      </c>
      <c r="C5" s="33" t="s">
        <v>984</v>
      </c>
      <c r="D5" s="33" t="s">
        <v>985</v>
      </c>
      <c r="E5" s="33" t="s">
        <v>986</v>
      </c>
      <c r="F5" s="33" t="s">
        <v>987</v>
      </c>
    </row>
    <row r="6" customFormat="false" ht="48" hidden="false" customHeight="true" outlineLevel="0" collapsed="false">
      <c r="B6" s="34" t="s">
        <v>988</v>
      </c>
      <c r="C6" s="34" t="s">
        <v>989</v>
      </c>
      <c r="D6" s="34" t="s">
        <v>990</v>
      </c>
      <c r="E6" s="34" t="s">
        <v>991</v>
      </c>
      <c r="F6" s="34" t="s">
        <v>992</v>
      </c>
    </row>
    <row r="7" customFormat="false" ht="48" hidden="false" customHeight="true" outlineLevel="0" collapsed="false">
      <c r="B7" s="34" t="s">
        <v>993</v>
      </c>
      <c r="C7" s="34" t="s">
        <v>994</v>
      </c>
      <c r="D7" s="34" t="s">
        <v>995</v>
      </c>
      <c r="E7" s="34" t="s">
        <v>996</v>
      </c>
      <c r="F7" s="34" t="s">
        <v>992</v>
      </c>
    </row>
    <row r="8" customFormat="false" ht="48" hidden="false" customHeight="true" outlineLevel="0" collapsed="false">
      <c r="B8" s="34" t="s">
        <v>997</v>
      </c>
      <c r="C8" s="34" t="s">
        <v>998</v>
      </c>
      <c r="D8" s="34" t="s">
        <v>999</v>
      </c>
      <c r="E8" s="34" t="s">
        <v>1000</v>
      </c>
      <c r="F8" s="34" t="s">
        <v>992</v>
      </c>
    </row>
    <row r="9" customFormat="false" ht="48" hidden="false" customHeight="true" outlineLevel="0" collapsed="false">
      <c r="B9" s="34" t="s">
        <v>1001</v>
      </c>
      <c r="C9" s="34" t="s">
        <v>1002</v>
      </c>
      <c r="D9" s="34" t="s">
        <v>1003</v>
      </c>
      <c r="E9" s="34" t="s">
        <v>1004</v>
      </c>
      <c r="F9" s="34" t="s">
        <v>1005</v>
      </c>
    </row>
    <row r="10" customFormat="false" ht="48" hidden="false" customHeight="true" outlineLevel="0" collapsed="false">
      <c r="B10" s="34" t="s">
        <v>1006</v>
      </c>
      <c r="C10" s="34" t="s">
        <v>1007</v>
      </c>
      <c r="D10" s="34" t="s">
        <v>1008</v>
      </c>
      <c r="E10" s="34" t="s">
        <v>1009</v>
      </c>
      <c r="F10" s="34" t="s">
        <v>1005</v>
      </c>
    </row>
    <row r="11" customFormat="false" ht="48" hidden="false" customHeight="true" outlineLevel="0" collapsed="false">
      <c r="B11" s="34" t="s">
        <v>1010</v>
      </c>
      <c r="C11" s="34" t="s">
        <v>1011</v>
      </c>
      <c r="D11" s="34" t="s">
        <v>1012</v>
      </c>
      <c r="E11" s="34" t="s">
        <v>1013</v>
      </c>
      <c r="F11" s="34" t="s">
        <v>1014</v>
      </c>
    </row>
    <row r="12" customFormat="false" ht="48" hidden="false" customHeight="true" outlineLevel="0" collapsed="false">
      <c r="B12" s="34" t="s">
        <v>1015</v>
      </c>
      <c r="C12" s="34" t="s">
        <v>1016</v>
      </c>
      <c r="D12" s="34" t="s">
        <v>1017</v>
      </c>
      <c r="E12" s="34" t="s">
        <v>1018</v>
      </c>
      <c r="F12" s="34" t="s">
        <v>1019</v>
      </c>
    </row>
    <row r="13" customFormat="false" ht="48" hidden="false" customHeight="true" outlineLevel="0" collapsed="false">
      <c r="B13" s="34" t="s">
        <v>1020</v>
      </c>
      <c r="C13" s="34" t="s">
        <v>1021</v>
      </c>
      <c r="D13" s="34" t="s">
        <v>1022</v>
      </c>
      <c r="E13" s="34" t="s">
        <v>1023</v>
      </c>
      <c r="F13" s="34" t="s">
        <v>1024</v>
      </c>
    </row>
    <row r="14" customFormat="false" ht="48" hidden="false" customHeight="true" outlineLevel="0" collapsed="false">
      <c r="B14" s="34" t="s">
        <v>1025</v>
      </c>
      <c r="C14" s="34" t="s">
        <v>1026</v>
      </c>
      <c r="D14" s="34" t="s">
        <v>1027</v>
      </c>
      <c r="E14" s="34" t="s">
        <v>991</v>
      </c>
      <c r="F14" s="34" t="s">
        <v>1028</v>
      </c>
    </row>
    <row r="15" customFormat="false" ht="48" hidden="false" customHeight="true" outlineLevel="0" collapsed="false">
      <c r="B15" s="34" t="s">
        <v>1029</v>
      </c>
      <c r="C15" s="34" t="s">
        <v>1030</v>
      </c>
      <c r="D15" s="34" t="s">
        <v>1031</v>
      </c>
      <c r="E15" s="34" t="s">
        <v>1032</v>
      </c>
      <c r="F15" s="34" t="s">
        <v>1028</v>
      </c>
    </row>
    <row r="16" customFormat="false" ht="48" hidden="false" customHeight="true" outlineLevel="0" collapsed="false">
      <c r="B16" s="34" t="s">
        <v>1033</v>
      </c>
      <c r="C16" s="34" t="s">
        <v>1034</v>
      </c>
      <c r="D16" s="34" t="s">
        <v>1035</v>
      </c>
      <c r="E16" s="34" t="s">
        <v>1036</v>
      </c>
      <c r="F16" s="34" t="s">
        <v>1037</v>
      </c>
    </row>
    <row r="17" customFormat="false" ht="48" hidden="false" customHeight="true" outlineLevel="0" collapsed="false">
      <c r="B17" s="34" t="s">
        <v>1038</v>
      </c>
      <c r="C17" s="34" t="s">
        <v>1039</v>
      </c>
      <c r="D17" s="34" t="s">
        <v>1040</v>
      </c>
      <c r="E17" s="34" t="s">
        <v>991</v>
      </c>
      <c r="F17" s="34" t="s">
        <v>1041</v>
      </c>
    </row>
    <row r="19" customFormat="false" ht="74.6" hidden="false" customHeight="false" outlineLevel="0" collapsed="false">
      <c r="B19" s="1" t="s">
        <v>1042</v>
      </c>
      <c r="C19" s="2"/>
      <c r="D19" s="2"/>
      <c r="E19" s="2"/>
      <c r="F19" s="2"/>
    </row>
    <row r="20" customFormat="false" ht="18" hidden="false" customHeight="true" outlineLevel="0" collapsed="false">
      <c r="B20" s="33" t="s">
        <v>55</v>
      </c>
      <c r="C20" s="33" t="s">
        <v>56</v>
      </c>
      <c r="D20" s="33" t="s">
        <v>57</v>
      </c>
      <c r="E20" s="33" t="s">
        <v>1043</v>
      </c>
      <c r="F20" s="33" t="s">
        <v>986</v>
      </c>
      <c r="G20" s="33" t="s">
        <v>58</v>
      </c>
    </row>
    <row r="21" customFormat="false" ht="39.75" hidden="false" customHeight="true" outlineLevel="0" collapsed="false">
      <c r="B21" s="34" t="s">
        <v>59</v>
      </c>
      <c r="C21" s="34" t="s">
        <v>1044</v>
      </c>
      <c r="D21" s="34" t="s">
        <v>1045</v>
      </c>
      <c r="E21" s="34" t="s">
        <v>1046</v>
      </c>
      <c r="F21" s="34" t="s">
        <v>1047</v>
      </c>
      <c r="G21" s="34" t="s">
        <v>1048</v>
      </c>
    </row>
    <row r="22" customFormat="false" ht="39.75" hidden="false" customHeight="true" outlineLevel="0" collapsed="false">
      <c r="B22" s="34" t="s">
        <v>60</v>
      </c>
      <c r="C22" s="34" t="s">
        <v>1049</v>
      </c>
      <c r="D22" s="34" t="s">
        <v>1050</v>
      </c>
      <c r="E22" s="34" t="s">
        <v>997</v>
      </c>
      <c r="F22" s="34" t="s">
        <v>1000</v>
      </c>
      <c r="G22" s="34" t="s">
        <v>1048</v>
      </c>
    </row>
    <row r="23" customFormat="false" ht="39.75" hidden="false" customHeight="true" outlineLevel="0" collapsed="false">
      <c r="B23" s="34" t="s">
        <v>61</v>
      </c>
      <c r="C23" s="34" t="s">
        <v>1051</v>
      </c>
      <c r="D23" s="34" t="s">
        <v>1052</v>
      </c>
      <c r="E23" s="34" t="s">
        <v>1053</v>
      </c>
      <c r="F23" s="34" t="s">
        <v>1018</v>
      </c>
      <c r="G23" s="34" t="s">
        <v>1005</v>
      </c>
    </row>
    <row r="24" customFormat="false" ht="39.75" hidden="false" customHeight="true" outlineLevel="0" collapsed="false">
      <c r="B24" s="34" t="s">
        <v>62</v>
      </c>
      <c r="C24" s="34" t="s">
        <v>1054</v>
      </c>
      <c r="D24" s="34" t="s">
        <v>1055</v>
      </c>
      <c r="E24" s="34" t="s">
        <v>1056</v>
      </c>
      <c r="F24" s="34" t="s">
        <v>1013</v>
      </c>
      <c r="G24" s="34" t="s">
        <v>1014</v>
      </c>
    </row>
    <row r="25" customFormat="false" ht="39.75" hidden="false" customHeight="true" outlineLevel="0" collapsed="false">
      <c r="B25" s="34" t="s">
        <v>63</v>
      </c>
      <c r="C25" s="34" t="s">
        <v>1057</v>
      </c>
      <c r="D25" s="34" t="s">
        <v>1058</v>
      </c>
      <c r="E25" s="34" t="s">
        <v>1059</v>
      </c>
      <c r="F25" s="34" t="s">
        <v>1009</v>
      </c>
      <c r="G25" s="34" t="s">
        <v>1024</v>
      </c>
    </row>
    <row r="26" customFormat="false" ht="39.75" hidden="false" customHeight="true" outlineLevel="0" collapsed="false">
      <c r="B26" s="34" t="s">
        <v>64</v>
      </c>
      <c r="C26" s="34" t="s">
        <v>1060</v>
      </c>
      <c r="D26" s="34" t="s">
        <v>1061</v>
      </c>
      <c r="E26" s="34" t="s">
        <v>1062</v>
      </c>
      <c r="F26" s="34" t="s">
        <v>1063</v>
      </c>
      <c r="G26" s="34" t="s">
        <v>1028</v>
      </c>
    </row>
    <row r="28" customFormat="false" ht="25.5" hidden="false" customHeight="true" outlineLevel="0" collapsed="false">
      <c r="B28" s="21" t="s">
        <v>1064</v>
      </c>
      <c r="C28" s="21"/>
      <c r="D28" s="21"/>
      <c r="E28" s="21"/>
      <c r="F28" s="21"/>
      <c r="G28" s="21"/>
    </row>
  </sheetData>
  <mergeCells count="1">
    <mergeCell ref="B28:G28"/>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2"/>
    <col collapsed="false" customWidth="true" hidden="false" outlineLevel="0" max="4" min="3" style="0" width="12"/>
    <col collapsed="false" customWidth="true" hidden="false" outlineLevel="0" max="5" min="5" style="0" width="10"/>
    <col collapsed="false" customWidth="true" hidden="false" outlineLevel="0" max="6" min="6" style="0" width="12"/>
    <col collapsed="false" customWidth="true" hidden="false" outlineLevel="0" max="7" min="7" style="0" width="70"/>
  </cols>
  <sheetData>
    <row r="2" customFormat="false" ht="15" hidden="false" customHeight="false" outlineLevel="0" collapsed="false">
      <c r="B2" s="31" t="s">
        <v>1065</v>
      </c>
    </row>
    <row r="3" customFormat="false" ht="15" hidden="false" customHeight="false" outlineLevel="0" collapsed="false">
      <c r="B3" s="32" t="s">
        <v>1066</v>
      </c>
    </row>
    <row r="5" customFormat="false" ht="18" hidden="false" customHeight="true" outlineLevel="0" collapsed="false">
      <c r="B5" s="33" t="s">
        <v>173</v>
      </c>
      <c r="C5" s="33" t="s">
        <v>209</v>
      </c>
      <c r="D5" s="33" t="s">
        <v>1067</v>
      </c>
      <c r="E5" s="33" t="s">
        <v>1068</v>
      </c>
      <c r="F5" s="33" t="s">
        <v>81</v>
      </c>
      <c r="G5" s="33" t="s">
        <v>1069</v>
      </c>
    </row>
    <row r="6" customFormat="false" ht="25.5" hidden="false" customHeight="true" outlineLevel="0" collapsed="false">
      <c r="B6" s="34" t="s">
        <v>1070</v>
      </c>
      <c r="C6" s="35" t="n">
        <v>46295</v>
      </c>
      <c r="D6" s="45" t="n">
        <f aca="false">DateArrete-C6</f>
        <v>6</v>
      </c>
      <c r="E6" s="47" t="n">
        <v>30</v>
      </c>
      <c r="F6" s="34" t="str">
        <f aca="false">IF(D6&lt;=E6,"Conforme","Périmée")</f>
        <v>Conforme</v>
      </c>
      <c r="G6" s="34" t="s">
        <v>1071</v>
      </c>
    </row>
    <row r="7" customFormat="false" ht="25.5" hidden="false" customHeight="true" outlineLevel="0" collapsed="false">
      <c r="B7" s="34" t="s">
        <v>1072</v>
      </c>
      <c r="C7" s="35" t="n">
        <v>46295</v>
      </c>
      <c r="D7" s="45" t="n">
        <f aca="false">DateArrete-C7</f>
        <v>6</v>
      </c>
      <c r="E7" s="47" t="n">
        <v>60</v>
      </c>
      <c r="F7" s="34" t="str">
        <f aca="false">IF(D7&lt;=E7,"Conforme","Périmée")</f>
        <v>Conforme</v>
      </c>
      <c r="G7" s="34" t="s">
        <v>1073</v>
      </c>
    </row>
    <row r="8" customFormat="false" ht="25.5" hidden="false" customHeight="true" outlineLevel="0" collapsed="false">
      <c r="B8" s="34" t="s">
        <v>1074</v>
      </c>
      <c r="C8" s="35" t="n">
        <v>46293</v>
      </c>
      <c r="D8" s="45" t="n">
        <f aca="false">DateArrete-C8</f>
        <v>8</v>
      </c>
      <c r="E8" s="47" t="n">
        <v>90</v>
      </c>
      <c r="F8" s="34" t="str">
        <f aca="false">IF(D8&lt;=E8,"Conforme","Périmée")</f>
        <v>Conforme</v>
      </c>
      <c r="G8" s="34" t="s">
        <v>1075</v>
      </c>
    </row>
    <row r="9" customFormat="false" ht="25.5" hidden="false" customHeight="true" outlineLevel="0" collapsed="false">
      <c r="B9" s="34" t="s">
        <v>1076</v>
      </c>
      <c r="C9" s="35" t="n">
        <v>46289</v>
      </c>
      <c r="D9" s="45" t="n">
        <f aca="false">DateArrete-C9</f>
        <v>12</v>
      </c>
      <c r="E9" s="47" t="n">
        <v>90</v>
      </c>
      <c r="F9" s="34" t="str">
        <f aca="false">IF(D9&lt;=E9,"Conforme","Périmée")</f>
        <v>Conforme</v>
      </c>
      <c r="G9" s="34" t="s">
        <v>1077</v>
      </c>
    </row>
    <row r="10" customFormat="false" ht="25.5" hidden="false" customHeight="true" outlineLevel="0" collapsed="false">
      <c r="B10" s="34" t="s">
        <v>1078</v>
      </c>
      <c r="C10" s="35" t="n">
        <v>46300</v>
      </c>
      <c r="D10" s="45" t="n">
        <f aca="false">DateArrete-C10</f>
        <v>1</v>
      </c>
      <c r="E10" s="47" t="n">
        <v>30</v>
      </c>
      <c r="F10" s="34" t="str">
        <f aca="false">IF(D10&lt;=E10,"Conforme","Périmée")</f>
        <v>Conforme</v>
      </c>
      <c r="G10" s="34" t="s">
        <v>1079</v>
      </c>
    </row>
    <row r="11" customFormat="false" ht="25.5" hidden="false" customHeight="true" outlineLevel="0" collapsed="false">
      <c r="B11" s="34" t="s">
        <v>1080</v>
      </c>
      <c r="C11" s="35" t="n">
        <v>46301</v>
      </c>
      <c r="D11" s="45" t="n">
        <f aca="false">DateArrete-C11</f>
        <v>0</v>
      </c>
      <c r="E11" s="47" t="n">
        <v>90</v>
      </c>
      <c r="F11" s="34" t="str">
        <f aca="false">IF(D11&lt;=E11,"Conforme","Périmée")</f>
        <v>Conforme</v>
      </c>
      <c r="G11" s="34" t="s">
        <v>1081</v>
      </c>
    </row>
    <row r="12" customFormat="false" ht="25.5" hidden="false" customHeight="true" outlineLevel="0" collapsed="false">
      <c r="B12" s="34" t="s">
        <v>1082</v>
      </c>
      <c r="C12" s="35" t="n">
        <v>46279</v>
      </c>
      <c r="D12" s="45" t="n">
        <f aca="false">DateArrete-C12</f>
        <v>22</v>
      </c>
      <c r="E12" s="47" t="n">
        <v>90</v>
      </c>
      <c r="F12" s="34" t="str">
        <f aca="false">IF(D12&lt;=E12,"Conforme","Périmée")</f>
        <v>Conforme</v>
      </c>
      <c r="G12" s="34" t="s">
        <v>1083</v>
      </c>
    </row>
    <row r="13" customFormat="false" ht="25.5" hidden="false" customHeight="true" outlineLevel="0" collapsed="false">
      <c r="B13" s="34" t="s">
        <v>1084</v>
      </c>
      <c r="C13" s="35" t="n">
        <v>46294</v>
      </c>
      <c r="D13" s="45" t="n">
        <f aca="false">DateArrete-C13</f>
        <v>7</v>
      </c>
      <c r="E13" s="47" t="n">
        <v>60</v>
      </c>
      <c r="F13" s="34" t="str">
        <f aca="false">IF(D13&lt;=E13,"Conforme","Périmée")</f>
        <v>Conforme</v>
      </c>
      <c r="G13" s="34" t="s">
        <v>1085</v>
      </c>
    </row>
    <row r="14" customFormat="false" ht="25.5" hidden="false" customHeight="true" outlineLevel="0" collapsed="false">
      <c r="B14" s="34" t="s">
        <v>1086</v>
      </c>
      <c r="C14" s="35" t="n">
        <v>46245</v>
      </c>
      <c r="D14" s="45" t="n">
        <f aca="false">DateArrete-C14</f>
        <v>56</v>
      </c>
      <c r="E14" s="47" t="n">
        <v>180</v>
      </c>
      <c r="F14" s="34" t="str">
        <f aca="false">IF(D14&lt;=E14,"Conforme","Périmée")</f>
        <v>Conforme</v>
      </c>
      <c r="G14" s="34" t="s">
        <v>1087</v>
      </c>
    </row>
    <row r="15" customFormat="false" ht="25.5" hidden="false" customHeight="true" outlineLevel="0" collapsed="false">
      <c r="B15" s="34" t="s">
        <v>1088</v>
      </c>
      <c r="C15" s="35" t="n">
        <v>46182</v>
      </c>
      <c r="D15" s="45" t="n">
        <f aca="false">DateArrete-C15</f>
        <v>119</v>
      </c>
      <c r="E15" s="47" t="n">
        <v>180</v>
      </c>
      <c r="F15" s="34" t="str">
        <f aca="false">IF(D15&lt;=E15,"Conforme","Périmée")</f>
        <v>Conforme</v>
      </c>
      <c r="G15" s="34" t="s">
        <v>1089</v>
      </c>
    </row>
    <row r="16" customFormat="false" ht="25.5" hidden="false" customHeight="true" outlineLevel="0" collapsed="false">
      <c r="B16" s="34" t="s">
        <v>1090</v>
      </c>
      <c r="C16" s="35" t="n">
        <v>46142</v>
      </c>
      <c r="D16" s="45" t="n">
        <f aca="false">DateArrete-C16</f>
        <v>159</v>
      </c>
      <c r="E16" s="47" t="n">
        <v>180</v>
      </c>
      <c r="F16" s="34" t="str">
        <f aca="false">IF(D16&lt;=E16,"Conforme","Périmée")</f>
        <v>Conforme</v>
      </c>
      <c r="G16" s="34" t="s">
        <v>1091</v>
      </c>
    </row>
    <row r="17" customFormat="false" ht="25.5" hidden="false" customHeight="true" outlineLevel="0" collapsed="false">
      <c r="B17" s="34" t="s">
        <v>1092</v>
      </c>
      <c r="C17" s="35" t="n">
        <v>46081</v>
      </c>
      <c r="D17" s="45" t="n">
        <f aca="false">DateArrete-C17</f>
        <v>220</v>
      </c>
      <c r="E17" s="47" t="n">
        <v>180</v>
      </c>
      <c r="F17" s="34" t="str">
        <f aca="false">IF(D17&lt;=E17,"Conforme","Périmée")</f>
        <v>Périmée</v>
      </c>
      <c r="G17" s="34" t="s">
        <v>1093</v>
      </c>
    </row>
    <row r="18" customFormat="false" ht="15" hidden="false" customHeight="false" outlineLevel="0" collapsed="false">
      <c r="B18" s="34" t="s">
        <v>436</v>
      </c>
      <c r="C18" s="48" t="n">
        <f aca="false">COUNTIF(F6:F17,"Périmée")</f>
        <v>1</v>
      </c>
      <c r="D18" s="34"/>
      <c r="E18" s="34"/>
      <c r="F18" s="34"/>
      <c r="G18" s="34"/>
    </row>
    <row r="19" customFormat="false" ht="15" hidden="false" customHeight="false" outlineLevel="0" collapsed="false">
      <c r="B19" s="34" t="s">
        <v>1094</v>
      </c>
      <c r="C19" s="45" t="n">
        <f aca="false">COUNTA(B6:B17)</f>
        <v>12</v>
      </c>
      <c r="D19" s="34"/>
      <c r="E19" s="34"/>
      <c r="F19" s="34"/>
      <c r="G19" s="34"/>
    </row>
    <row r="21" customFormat="false" ht="39" hidden="false" customHeight="true" outlineLevel="0" collapsed="false">
      <c r="B21" s="21" t="s">
        <v>1095</v>
      </c>
      <c r="C21" s="21"/>
      <c r="D21" s="21"/>
      <c r="E21" s="21"/>
      <c r="F21" s="21"/>
      <c r="G21" s="21"/>
    </row>
  </sheetData>
  <mergeCells count="1">
    <mergeCell ref="B21:G2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2026-10-06T17:08:00Z</dcterms:created>
  <dc:creator>openpyxl</dc:creator>
  <dc:description/>
  <dc:language>en-US</dc:language>
  <cp:lastModifiedBy/>
  <dcterms:modified xsi:type="dcterms:W3CDTF">2026-10-06T17:08:01Z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