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PREVIEW" sheetId="1" state="visible" r:id="rId3"/>
    <sheet name="0 Paramètres" sheetId="2" state="visible" r:id="rId4"/>
    <sheet name="1 Limites" sheetId="3" state="visible" r:id="rId5"/>
    <sheet name="2 Liquidité" sheetId="4" state="visible" r:id="rId6"/>
    <sheet name="3 Scénarios" sheetId="5" state="visible" r:id="rId7"/>
    <sheet name="3b Moteur" sheetId="6" state="visible" r:id="rId8"/>
    <sheet name="4 Fonds cibles" sheetId="7" state="visible" r:id="rId9"/>
    <sheet name="5 Recommandations" sheetId="8" state="visible" r:id="rId10"/>
    <sheet name="DATA" sheetId="9" state="visible" r:id="rId11"/>
  </sheets>
  <definedNames>
    <definedName function="false" hidden="false" name="AN_cible" vbProcedure="false">'0 Paramètres'!$C$9</definedName>
    <definedName function="false" hidden="false" name="AN_min" vbProcedure="false">'0 Paramètres'!$C$10</definedName>
    <definedName function="false" hidden="false" name="Appels_base" vbProcedure="false">'0 Paramètres'!$C$75</definedName>
    <definedName function="false" hidden="false" name="Blocage_mois" vbProcedure="false">'0 Paramètres'!$C$26</definedName>
    <definedName function="false" hidden="false" name="Buckets_total" vbProcedure="false">'2 Liquidité'!$C$31</definedName>
    <definedName function="false" hidden="false" name="B_2_7" vbProcedure="false">'2 Liquidité'!$C$25</definedName>
    <definedName function="false" hidden="false" name="B_31_90" vbProcedure="false">'2 Liquidité'!$C$27</definedName>
    <definedName function="false" hidden="false" name="B_365" vbProcedure="false">'2 Liquidité'!$C$30</definedName>
    <definedName function="false" hidden="false" name="B_91_180" vbProcedure="false">'2 Liquidité'!$C$28</definedName>
    <definedName function="false" hidden="false" name="Capacite_evg" vbProcedure="false">'0 Paramètres'!$C$76</definedName>
    <definedName function="false" hidden="false" name="Cap_ARES" vbProcedure="false">'0 Paramètres'!$C$107</definedName>
    <definedName function="false" hidden="false" name="Cap_evergreen" vbProcedure="false">'2 Liquidité'!$C$38</definedName>
    <definedName function="false" hidden="false" name="Cap_MAPIF" vbProcedure="false">'0 Paramètres'!$C$98</definedName>
    <definedName function="false" hidden="false" name="Cap_MSIG" vbProcedure="false">'0 Paramètres'!$C$101</definedName>
    <definedName function="false" hidden="false" name="Cap_PG" vbProcedure="false">'0 Paramètres'!$C$104</definedName>
    <definedName function="false" hidden="false" name="Centralisation_sous_JO" vbProcedure="false">'0 Paramètres'!$C$32</definedName>
    <definedName function="false" hidden="false" name="Choc_cap" vbProcedure="false">'0 Paramètres'!$C$92</definedName>
    <definedName function="false" hidden="false" name="Choc_dette" vbProcedure="false">'0 Paramètres'!$C$93</definedName>
    <definedName function="false" hidden="false" name="Choc_usd" vbProcedure="false">'0 Paramètres'!$C$94</definedName>
    <definedName function="false" hidden="false" name="Collecte_norm" vbProcedure="false">'0 Paramètres'!$C$84</definedName>
    <definedName function="false" hidden="false" name="Couv_12m" vbProcedure="false">'2 Liquidité'!$C$41</definedName>
    <definedName function="false" hidden="false" name="Couv_12m_c" vbProcedure="false">'2 Liquidité'!$D$41</definedName>
    <definedName function="false" hidden="false" name="Couv_12m_s" vbProcedure="false">'2 Liquidité'!$E$41</definedName>
    <definedName function="false" hidden="false" name="Couv_evergreen_gate" vbProcedure="false">'2 Liquidité'!$C$39</definedName>
    <definedName function="false" hidden="false" name="Couv_evergreen_gate_c" vbProcedure="false">'2 Liquidité'!$D$39</definedName>
    <definedName function="false" hidden="false" name="Couv_evergreen_gate_s" vbProcedure="false">'2 Liquidité'!$E$39</definedName>
    <definedName function="false" hidden="false" name="Couv_poche_annuel" vbProcedure="false">'2 Liquidité'!$C$37</definedName>
    <definedName function="false" hidden="false" name="Couv_poche_annuel_c" vbProcedure="false">'2 Liquidité'!$D$37</definedName>
    <definedName function="false" hidden="false" name="Couv_poche_annuel_s" vbProcedure="false">'2 Liquidité'!$E$37</definedName>
    <definedName function="false" hidden="false" name="Couv_poche_gate" vbProcedure="false">'2 Liquidité'!$C$36</definedName>
    <definedName function="false" hidden="false" name="Couv_poche_gate_c" vbProcedure="false">'2 Liquidité'!$D$36</definedName>
    <definedName function="false" hidden="false" name="Couv_poche_gate_s" vbProcedure="false">'2 Liquidité'!$E$36</definedName>
    <definedName function="false" hidden="false" name="DateArrete" vbProcedure="false">'0 Paramètres'!$C$7</definedName>
    <definedName function="false" hidden="false" name="DateProspectus" vbProcedure="false">'0 Paramètres'!$C$8</definedName>
    <definedName function="false" hidden="false" name="Date_depart" vbProcedure="false">'0 Paramètres'!$C$72</definedName>
    <definedName function="false" hidden="false" name="Dec1" vbProcedure="false">'5 Recommandations'!$C$21</definedName>
    <definedName function="false" hidden="false" name="Dec2" vbProcedure="false">'5 Recommandations'!$C$22</definedName>
    <definedName function="false" hidden="false" name="Dec3" vbProcedure="false">'5 Recommandations'!$C$23</definedName>
    <definedName function="false" hidden="false" name="Dec4" vbProcedure="false">'5 Recommandations'!$C$24</definedName>
    <definedName function="false" hidden="false" name="Dec5" vbProcedure="false">'5 Recommandations'!$C$25</definedName>
    <definedName function="false" hidden="false" name="Dec6" vbProcedure="false">'5 Recommandations'!$C$26</definedName>
    <definedName function="false" hidden="false" name="DecE1" vbProcedure="false">'5 Recommandations'!$G$21</definedName>
    <definedName function="false" hidden="false" name="DecE2" vbProcedure="false">'5 Recommandations'!$G$22</definedName>
    <definedName function="false" hidden="false" name="DecE3" vbProcedure="false">'5 Recommandations'!$G$23</definedName>
    <definedName function="false" hidden="false" name="DecE4" vbProcedure="false">'5 Recommandations'!$G$24</definedName>
    <definedName function="false" hidden="false" name="DecE5" vbProcedure="false">'5 Recommandations'!$G$25</definedName>
    <definedName function="false" hidden="false" name="DecE6" vbProcedure="false">'5 Recommandations'!$G$26</definedName>
    <definedName function="false" hidden="false" name="Decote" vbProcedure="false">'0 Paramètres'!$C$77</definedName>
    <definedName function="false" hidden="false" name="DecP1" vbProcedure="false">'5 Recommandations'!$D$21</definedName>
    <definedName function="false" hidden="false" name="DecP2" vbProcedure="false">'5 Recommandations'!$D$22</definedName>
    <definedName function="false" hidden="false" name="DecP3" vbProcedure="false">'5 Recommandations'!$D$23</definedName>
    <definedName function="false" hidden="false" name="DecP4" vbProcedure="false">'5 Recommandations'!$D$24</definedName>
    <definedName function="false" hidden="false" name="DecP5" vbProcedure="false">'5 Recommandations'!$D$25</definedName>
    <definedName function="false" hidden="false" name="DecP6" vbProcedure="false">'5 Recommandations'!$D$26</definedName>
    <definedName function="false" hidden="false" name="Deduc_ares" vbProcedure="false">'0 Paramètres'!$C$88</definedName>
    <definedName function="false" hidden="false" name="Deduc_trim" vbProcedure="false">'0 Paramètres'!$C$89</definedName>
    <definedName function="false" hidden="false" name="Distrib_tension" vbProcedure="false">'0 Paramètres'!$C$87</definedName>
    <definedName function="false" hidden="false" name="Dist_ARES" vbProcedure="false">'0 Paramètres'!$C$106</definedName>
    <definedName function="false" hidden="false" name="Dist_MAPIF" vbProcedure="false">'0 Paramètres'!$C$97</definedName>
    <definedName function="false" hidden="false" name="Dist_MSIG" vbProcedure="false">'0 Paramètres'!$C$100</definedName>
    <definedName function="false" hidden="false" name="Dist_PG" vbProcedure="false">'0 Paramètres'!$C$103</definedName>
    <definedName function="false" hidden="false" name="Dist_porteurs" vbProcedure="false">'0 Paramètres'!$C$85</definedName>
    <definedName function="false" hidden="false" name="Ecart_TTL" vbProcedure="false">'2 Liquidité'!$C$20</definedName>
    <definedName function="false" hidden="false" name="Emprunt_max" vbProcedure="false">'0 Paramètres'!$C$38</definedName>
    <definedName function="false" hidden="false" name="Eng_Couv0" vbProcedure="false">'3 Scénarios'!$C$19</definedName>
    <definedName function="false" hidden="false" name="Eng_Res0" vbProcedure="false">'3 Scénarios'!$C$18</definedName>
    <definedName function="false" hidden="false" name="Entreprises_max" vbProcedure="false">'0 Paramètres'!$C$40</definedName>
    <definedName function="false" hidden="false" name="Fee_CIF_A" vbProcedure="false">'0 Paramètres'!$C$44</definedName>
    <definedName function="false" hidden="false" name="Fee_CIF_B" vbProcedure="false">'0 Paramètres'!$C$45</definedName>
    <definedName function="false" hidden="false" name="Fee_Const" vbProcedure="false">'0 Paramètres'!$C$48</definedName>
    <definedName function="false" hidden="false" name="Fee_Distrib" vbProcedure="false">'0 Paramètres'!$C$46</definedName>
    <definedName function="false" hidden="false" name="Fee_Entree" vbProcedure="false">'0 Paramètres'!$C$47</definedName>
    <definedName function="false" hidden="false" name="Fee_SGP" vbProcedure="false">'0 Paramètres'!$C$43</definedName>
    <definedName function="false" hidden="false" name="Fee_Total_A1" vbProcedure="false">'0 Paramètres'!$C$49</definedName>
    <definedName function="false" hidden="false" name="Frais_an" vbProcedure="false">'0 Paramètres'!$C$82</definedName>
    <definedName function="false" hidden="false" name="Gate" vbProcedure="false">'0 Paramètres'!$C$29</definedName>
    <definedName function="false" hidden="false" name="Gate_annuel" vbProcedure="false">'2 Liquidité'!$C$35</definedName>
    <definedName function="false" hidden="false" name="Gate_dates" vbProcedure="false">'0 Paramètres'!$C$30</definedName>
    <definedName function="false" hidden="false" name="Gel_combine" vbProcedure="false">'3 Scénarios'!$C$20</definedName>
    <definedName function="false" hidden="false" name="IRPc_ARES" vbProcedure="false">'4 Fonds cibles'!$G$32</definedName>
    <definedName function="false" hidden="false" name="IRPc_Fonds" vbProcedure="false">'4 Fonds cibles'!$C$32</definedName>
    <definedName function="false" hidden="false" name="IRPc_MAPIF" vbProcedure="false">'4 Fonds cibles'!$D$32</definedName>
    <definedName function="false" hidden="false" name="IRPc_MSIG" vbProcedure="false">'4 Fonds cibles'!$E$32</definedName>
    <definedName function="false" hidden="false" name="IRPc_PG" vbProcedure="false">'4 Fonds cibles'!$F$32</definedName>
    <definedName function="false" hidden="false" name="IRPc_Transp" vbProcedure="false">'4 Fonds cibles'!$C$35</definedName>
    <definedName function="false" hidden="false" name="IRPc_Transp_hp" vbProcedure="false">'4 Fonds cibles'!$C$36</definedName>
    <definedName function="false" hidden="false" name="IRP_ARES" vbProcedure="false">'0 Paramètres'!$C$65</definedName>
    <definedName function="false" hidden="false" name="IRP_Fonds" vbProcedure="false">'0 Paramètres'!$C$60</definedName>
    <definedName function="false" hidden="false" name="IRP_MAPIF" vbProcedure="false">'0 Paramètres'!$C$62</definedName>
    <definedName function="false" hidden="false" name="IRP_MSIG" vbProcedure="false">'0 Paramètres'!$C$63</definedName>
    <definedName function="false" hidden="false" name="IRP_PG" vbProcedure="false">'0 Paramètres'!$C$64</definedName>
    <definedName function="false" hidden="false" name="IRP_Transp" vbProcedure="false">'0 Paramètres'!$C$61</definedName>
    <definedName function="false" hidden="false" name="Levier_max" vbProcedure="false">'0 Paramètres'!$C$39</definedName>
    <definedName function="false" hidden="false" name="Lim_a_arreter" vbProcedure="false">'1 Limites'!$D$35</definedName>
    <definedName function="false" hidden="false" name="Lim_a_valider" vbProcedure="false">'1 Limites'!$D$36</definedName>
    <definedName function="false" hidden="false" name="Lim_depassees" vbProcedure="false">'1 Limites'!$D$38</definedName>
    <definedName function="false" hidden="false" name="Lim_non_testables" vbProcedure="false">'1 Limites'!$D$37</definedName>
    <definedName function="false" hidden="false" name="Lim_total" vbProcedure="false">'1 Limites'!$D$34</definedName>
    <definedName function="false" hidden="false" name="Liq_cible" vbProcedure="false">'0 Paramètres'!$C$35</definedName>
    <definedName function="false" hidden="false" name="Liq_min" vbProcedure="false">'0 Paramètres'!$C$34</definedName>
    <definedName function="false" hidden="false" name="Liq_monetaire_min" vbProcedure="false">'0 Paramètres'!$C$36</definedName>
    <definedName function="false" hidden="false" name="MSIG_USD" vbProcedure="false">'0 Paramètres'!$C$90</definedName>
    <definedName function="false" hidden="false" name="NA_depart" vbProcedure="false">'0 Paramètres'!$C$73</definedName>
    <definedName function="false" hidden="false" name="Nominal" vbProcedure="false">'0 Paramètres'!$C$12</definedName>
    <definedName function="false" hidden="false" name="N_orange" vbProcedure="false">'3 Scénarios'!$C$16</definedName>
    <definedName function="false" hidden="false" name="N_rouge" vbProcedure="false">'3 Scénarios'!$C$17</definedName>
    <definedName function="false" hidden="false" name="N_vert" vbProcedure="false">'3 Scénarios'!$C$15</definedName>
    <definedName function="false" hidden="false" name="Part_d" vbProcedure="false">'0 Paramètres'!$C$86</definedName>
    <definedName function="false" hidden="false" name="Part_MAPIF_NA" vbProcedure="false">'0 Paramètres'!$C$74</definedName>
    <definedName function="false" hidden="false" name="PDR" vbProcedure="false">'0 Paramètres'!$C$67</definedName>
    <definedName function="false" hidden="false" name="Persist5_poche" vbProcedure="false">'3 Scénarios'!$C$32</definedName>
    <definedName function="false" hidden="false" name="Pers_phys_max" vbProcedure="false">'0 Paramètres'!$C$41</definedName>
    <definedName function="false" hidden="false" name="Poche_min_exec" vbProcedure="false">'0 Paramètres'!$C$78</definedName>
    <definedName function="false" hidden="false" name="Porteur_max" vbProcedure="false">'3 Scénarios'!$C$47</definedName>
    <definedName function="false" hidden="false" name="Preavis_j" vbProcedure="false">'0 Paramètres'!$C$27</definedName>
    <definedName function="false" hidden="false" name="Preavis_max_j" vbProcedure="false">'0 Paramètres'!$C$28</definedName>
    <definedName function="false" hidden="false" name="Publication_JO" vbProcedure="false">'0 Paramètres'!$C$33</definedName>
    <definedName function="false" hidden="false" name="Rachats_norm" vbProcedure="false">'0 Paramètres'!$C$83</definedName>
    <definedName function="false" hidden="false" name="Rec1" vbProcedure="false">'5 Recommandations'!$C$6</definedName>
    <definedName function="false" hidden="false" name="Rec10" vbProcedure="false">'5 Recommandations'!$C$15</definedName>
    <definedName function="false" hidden="false" name="Rec11" vbProcedure="false">'5 Recommandations'!$C$16</definedName>
    <definedName function="false" hidden="false" name="Rec12" vbProcedure="false">'5 Recommandations'!$C$17</definedName>
    <definedName function="false" hidden="false" name="Rec2" vbProcedure="false">'5 Recommandations'!$C$7</definedName>
    <definedName function="false" hidden="false" name="Rec3" vbProcedure="false">'5 Recommandations'!$C$8</definedName>
    <definedName function="false" hidden="false" name="Rec4" vbProcedure="false">'5 Recommandations'!$C$9</definedName>
    <definedName function="false" hidden="false" name="Rec5" vbProcedure="false">'5 Recommandations'!$C$10</definedName>
    <definedName function="false" hidden="false" name="Rec6" vbProcedure="false">'5 Recommandations'!$C$11</definedName>
    <definedName function="false" hidden="false" name="Rec7" vbProcedure="false">'5 Recommandations'!$C$12</definedName>
    <definedName function="false" hidden="false" name="Rec8" vbProcedure="false">'5 Recommandations'!$C$13</definedName>
    <definedName function="false" hidden="false" name="Rec9" vbProcedure="false">'5 Recommandations'!$C$14</definedName>
    <definedName function="false" hidden="false" name="Reglement_cal" vbProcedure="false">'2 Liquidité'!$C$15</definedName>
    <definedName function="false" hidden="false" name="Reglement_JO" vbProcedure="false">'0 Paramètres'!$C$31</definedName>
    <definedName function="false" hidden="false" name="Rend_ARES" vbProcedure="false">'0 Paramètres'!$C$105</definedName>
    <definedName function="false" hidden="false" name="Rend_MAPIF" vbProcedure="false">'0 Paramètres'!$C$96</definedName>
    <definedName function="false" hidden="false" name="Rend_MSIG" vbProcedure="false">'0 Paramètres'!$C$99</definedName>
    <definedName function="false" hidden="false" name="Rend_PG" vbProcedure="false">'0 Paramètres'!$C$102</definedName>
    <definedName function="false" hidden="false" name="Ressources_12m" vbProcedure="false">'2 Liquidité'!$C$40</definedName>
    <definedName function="false" hidden="false" name="Ressources_12m_c" vbProcedure="false">'2 Liquidité'!$D$40</definedName>
    <definedName function="false" hidden="false" name="Ressources_12m_s" vbProcedure="false">'2 Liquidité'!$E$40</definedName>
    <definedName function="false" hidden="false" name="Rupture_appels" vbProcedure="false">'3 Scénarios'!$C$40</definedName>
    <definedName function="false" hidden="false" name="Rupture_cession" vbProcedure="false">'3 Scénarios'!$C$31</definedName>
    <definedName function="false" hidden="false" name="Rupture_rachats" vbProcedure="false">'3 Scénarios'!$C$30</definedName>
    <definedName function="false" hidden="false" name="Sc_adverse" vbProcedure="false">'3 Scénarios'!$L$7</definedName>
    <definedName function="false" hidden="false" name="Sc_adverse_poche" vbProcedure="false">'3 Scénarios'!$F$7</definedName>
    <definedName function="false" hidden="false" name="Sc_adverse_resorption" vbProcedure="false">'3 Scénarios'!$E$7</definedName>
    <definedName function="false" hidden="false" name="Sc_appels" vbProcedure="false">'3 Scénarios'!$L$11</definedName>
    <definedName function="false" hidden="false" name="Sc_base" vbProcedure="false">'3 Scénarios'!$L$6</definedName>
    <definedName function="false" hidden="false" name="Sc_combine" vbProcedure="false">'3 Scénarios'!$L$13</definedName>
    <definedName function="false" hidden="false" name="Sc_combine_cession" vbProcedure="false">'3 Scénarios'!$J$13</definedName>
    <definedName function="false" hidden="false" name="Sc_combine_gel" vbProcedure="false">'3 Scénarios'!$M$13</definedName>
    <definedName function="false" hidden="false" name="Sc_distrib" vbProcedure="false">'3 Scénarios'!$L$10</definedName>
    <definedName function="false" hidden="false" name="Sc_extreme" vbProcedure="false">'3 Scénarios'!$L$8</definedName>
    <definedName function="false" hidden="false" name="Sc_extreme_file" vbProcedure="false">'3 Scénarios'!$D$8</definedName>
    <definedName function="false" hidden="false" name="Sc_prorata" vbProcedure="false">'3 Scénarios'!$L$14</definedName>
    <definedName function="false" hidden="false" name="Sc_top5" vbProcedure="false">'3 Scénarios'!$L$9</definedName>
    <definedName function="false" hidden="false" name="Sc_valo" vbProcedure="false">'3 Scénarios'!$L$12</definedName>
    <definedName function="false" hidden="false" name="Seuil_Declenchement" vbProcedure="false">'0 Paramètres'!$C$11</definedName>
    <definedName function="false" hidden="false" name="Seuil_reinv" vbProcedure="false">'0 Paramètres'!$C$79</definedName>
    <definedName function="false" hidden="false" name="Src_perimees" vbProcedure="false">DATA!$C$18</definedName>
    <definedName function="false" hidden="false" name="Src_total" vbProcedure="false">DATA!$C$19</definedName>
    <definedName function="false" hidden="false" name="SRI" vbProcedure="false">'0 Paramètres'!$C$66</definedName>
    <definedName function="false" hidden="false" name="Surengagement_max" vbProcedure="false">'0 Paramètres'!$C$37</definedName>
    <definedName function="false" hidden="false" name="S_couv_rouge" vbProcedure="false">'0 Paramètres'!$C$55</definedName>
    <definedName function="false" hidden="false" name="S_couv_vert" vbProcedure="false">'0 Paramètres'!$C$54</definedName>
    <definedName function="false" hidden="false" name="S_file_rouge" vbProcedure="false">'0 Paramètres'!$C$51</definedName>
    <definedName function="false" hidden="false" name="S_poche_rouge" vbProcedure="false">'0 Paramètres'!$C$53</definedName>
    <definedName function="false" hidden="false" name="S_resorption_rouge" vbProcedure="false">'0 Paramètres'!$C$52</definedName>
    <definedName function="false" hidden="false" name="S_sureng_orange" vbProcedure="false">'0 Paramètres'!$C$56</definedName>
    <definedName function="false" hidden="false" name="S_top1_orange" vbProcedure="false">'0 Paramètres'!$C$57</definedName>
    <definedName function="false" hidden="false" name="S_top5_orange" vbProcedure="false">'0 Paramètres'!$C$58</definedName>
    <definedName function="false" hidden="false" name="Taux_emprunt" vbProcedure="false">'0 Paramètres'!$C$81</definedName>
    <definedName function="false" hidden="false" name="Taux_treso" vbProcedure="false">'0 Paramètres'!$C$80</definedName>
    <definedName function="false" hidden="false" name="Top5" vbProcedure="false">'0 Paramètres'!$C$91</definedName>
    <definedName function="false" hidden="false" name="TTL_actif" vbProcedure="false">'2 Liquidité'!$C$11</definedName>
    <definedName function="false" hidden="false" name="TTL_actif_stress" vbProcedure="false">'2 Liquidité'!$E$11</definedName>
    <definedName function="false" hidden="false" name="TTL_passif" vbProcedure="false">'2 Liquidité'!$C$17</definedName>
    <definedName function="false" hidden="false" name="TTL_passif_max" vbProcedure="false">'2 Liquidité'!$C$18</definedName>
    <definedName function="false" hidden="false" name="TTL_passif_min" vbProcedure="false">'2 Liquidité'!$C$16</definedName>
    <definedName function="false" hidden="false" name="TTL_passif_prolonge" vbProcedure="false">'2 Liquidité'!$C$19</definedName>
    <definedName function="false" hidden="false" name="Ws_ARES" vbProcedure="false">'0 Paramètres'!$C$111</definedName>
    <definedName function="false" hidden="false" name="Ws_LIQ" vbProcedure="false">'0 Paramètres'!$C$112</definedName>
    <definedName function="false" hidden="false" name="Ws_MAPIF" vbProcedure="false">'0 Paramètres'!$C$108</definedName>
    <definedName function="false" hidden="false" name="Ws_MSIG" vbProcedure="false">'0 Paramètres'!$C$109</definedName>
    <definedName function="false" hidden="false" name="Ws_PG" vbProcedure="false">'0 Paramètres'!$C$110</definedName>
    <definedName function="false" hidden="false" name="Ws_TOT" vbProcedure="false">'0 Paramètres'!$C$113</definedName>
    <definedName function="false" hidden="false" name="W_ARES" vbProcedure="false">'0 Paramètres'!$C$17</definedName>
    <definedName function="false" hidden="false" name="W_EVER" vbProcedure="false">'0 Paramètres'!$C$21</definedName>
    <definedName function="false" hidden="false" name="W_FERMES" vbProcedure="false">'0 Paramètres'!$C$20</definedName>
    <definedName function="false" hidden="false" name="W_LIQ" vbProcedure="false">'0 Paramètres'!$C$18</definedName>
    <definedName function="false" hidden="false" name="W_MACQ" vbProcedure="false">'0 Paramètres'!$C$22</definedName>
    <definedName function="false" hidden="false" name="W_MAPIF" vbProcedure="false">'0 Paramètres'!$C$14</definedName>
    <definedName function="false" hidden="false" name="W_MSIG" vbProcedure="false">'0 Paramètres'!$C$15</definedName>
    <definedName function="false" hidden="false" name="W_PG" vbProcedure="false">'0 Paramètres'!$C$16</definedName>
    <definedName function="false" hidden="false" name="W_TOT" vbProcedure="false">'0 Paramètres'!$C$19</definedName>
    <definedName function="false" hidden="false" name="W_USD_BAS" vbProcedure="false">'0 Paramètres'!$C$23</definedName>
    <definedName function="false" hidden="false" name="W_USD_HAUT" vbProcedure="false">'0 Paramètres'!$C$24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<sst xmlns="http://schemas.openxmlformats.org/spreadsheetml/2006/main" count="3826" uniqueCount="1291">
  <si>
    <t xml:space="preserve">Openstone Infraworld  ·  Compartiment I</t>
  </si>
  <si>
    <t xml:space="preserve">Rapport de risque initial  ·  Octobre 2026  ·  Prospectus du 30/09/2026</t>
  </si>
  <si>
    <t xml:space="preserve">BAND</t>
  </si>
  <si>
    <t xml:space="preserve">COVER</t>
  </si>
  <si>
    <t xml:space="preserve">RAPPORT DE RISQUE INITIAL · OCTOBRE 2026</t>
  </si>
  <si>
    <t xml:space="preserve">Openstone Infraworld - Compartiment I</t>
  </si>
  <si>
    <t xml:space="preserve">Fonds de fonds d'infrastructure evergreen semi-liquide · quatre fonds cibles, deux fermés et deux evergreen</t>
  </si>
  <si>
    <t xml:space="preserve">Fonction permanente de gestion des risques - Fundcraft France</t>
  </si>
  <si>
    <t xml:space="preserve">PRÉ-LANCEMENT · PROSPECTUS PROJET DU 30 SEPTEMBRE 2026 · ACTIF NET CIBLE 50 M€ · SRI 4 / 7 · FPS - RG AMF ART. 423-27</t>
  </si>
  <si>
    <t xml:space="preserve">Document interne - ne pas diffuser · AIFMD art. 15-16 · ESMA 34-39-897</t>
  </si>
  <si>
    <t xml:space="preserve">SOCIÉTÉ DE GESTION</t>
  </si>
  <si>
    <t xml:space="preserve">Fundcraft France SAS - AMF GP-20260008</t>
  </si>
  <si>
    <t xml:space="preserve">CONSEILLER ET DISTRIBUTEUR PRINCIPAL</t>
  </si>
  <si>
    <t xml:space="preserve">Openstone (Innovative Finance SAS) - CIF ORIAS 23002459</t>
  </si>
  <si>
    <t xml:space="preserve">GÉRANTS DES FONDS CIBLES</t>
  </si>
  <si>
    <t xml:space="preserve">Macquarie (MAPIF II, MSIG 3) · Partners Group (Next Generation Infrastructure) · Ares (Global Infrastructure ELTIF)</t>
  </si>
  <si>
    <t xml:space="preserve">DÉPOSITAIRE · DÉLÉGATAIRE COMPTABLE · COMMISSAIRE AUX COMPTES</t>
  </si>
  <si>
    <t xml:space="preserve">BFCM · CIC · APLITEC</t>
  </si>
  <si>
    <t xml:space="preserve">Rapport établi sur la documentation : le Fonds n'est pas constitué, aucune valeur liquidative ni aucun porteur. Toutes les grandeurs en euros sont des cibles ; les stress tests sont calculés dans ce classeur.</t>
  </si>
  <si>
    <t xml:space="preserve">00. Synthèse pour le Comité des Risques</t>
  </si>
  <si>
    <t xml:space="preserve">TITLE</t>
  </si>
  <si>
    <t xml:space="preserve">Verdict  ·  trois chiffres  ·  six décisions</t>
  </si>
  <si>
    <t xml:space="preserve">SUB</t>
  </si>
  <si>
    <t xml:space="preserve">VERDICT DE LA FONCTION RISQUES   charte Fundcraft, verdict d'ensemble = pire domaine
Échelle à cinq niveaux : Routine, Vigilance, Élevé, Sévère, Critique. Rapport initial : le verdict porte sur la conception du véhicule, non sur une position.</t>
  </si>
  <si>
    <t xml:space="preserve">SEC</t>
  </si>
  <si>
    <t xml:space="preserve">Domaine</t>
  </si>
  <si>
    <t xml:space="preserve">Verdict</t>
  </si>
  <si>
    <t xml:space="preserve">Fondement</t>
  </si>
  <si>
    <t xml:space="preserve">Implication</t>
  </si>
  <si>
    <t xml:space="preserve">HDR</t>
  </si>
  <si>
    <t xml:space="preserve">Liquidité structurelle</t>
  </si>
  <si>
    <t xml:space="preserve">Élevé</t>
  </si>
  <si>
    <t xml:space="preserve">Le plafonnement de 5 % est la seule digue ; au-delà de quatre dates, la suspension.</t>
  </si>
  <si>
    <t xml:space="preserve">ROW</t>
  </si>
  <si>
    <t xml:space="preserve">Stress tests</t>
  </si>
  <si>
    <t xml:space="preserve">Décision 5 : séquencer les engagements ; rejouer sur l'encours réel (R12).</t>
  </si>
  <si>
    <t xml:space="preserve">Concentration</t>
  </si>
  <si>
    <t xml:space="preserve">Décision 4 : limites internes gérant 40 % et fonds cible 35 %.</t>
  </si>
  <si>
    <t xml:space="preserve">Marché, change et valorisation</t>
  </si>
  <si>
    <t xml:space="preserve">Vigilance</t>
  </si>
  <si>
    <t xml:space="preserve">Décision 4 : limite de change ; décision 6 : revue des VL reçues.</t>
  </si>
  <si>
    <t xml:space="preserve">Documentation et gouvernance</t>
  </si>
  <si>
    <t xml:space="preserve">Décisions 1, 2 et 6 avant le dépôt du prospectus.</t>
  </si>
  <si>
    <t xml:space="preserve">Verdict d'ensemble</t>
  </si>
  <si>
    <t xml:space="preserve">ÉLEVÉ</t>
  </si>
  <si>
    <t xml:space="preserve">Fixé par la liquidité, les stress tests, la concentration et la documentation. Aucune limite du prospectus n'est testable avant la première valeur liquidative.</t>
  </si>
  <si>
    <t xml:space="preserve">Lancement conditionné aux décisions 1 à 3 ; revue à la première VL.</t>
  </si>
  <si>
    <t xml:space="preserve">TROIS CHIFFRES QUI COMMANDENT LES DÉCISIONS</t>
  </si>
  <si>
    <t xml:space="preserve">PART DE L'ACTIF SANS LIQUIDITÉ AVANT ÉCHÉANCE</t>
  </si>
  <si>
    <t xml:space="preserve">POINT DE RUPTURE DES RACHATS PERSISTANTS</t>
  </si>
  <si>
    <t xml:space="preserve">CONCENTRATION SUR UN SEUL GÉRANT</t>
  </si>
  <si>
    <t xml:space="preserve">KPI1</t>
  </si>
  <si>
    <t xml:space="preserve">KPI2</t>
  </si>
  <si>
    <t xml:space="preserve">KPI3</t>
  </si>
  <si>
    <t xml:space="preserve">SIX DÉCISIONS SOUMISES AU COMITÉ   détail en onglet 5</t>
  </si>
  <si>
    <t xml:space="preserve">N°</t>
  </si>
  <si>
    <t xml:space="preserve">Décision</t>
  </si>
  <si>
    <t xml:space="preserve">Proposition de la Fonction Risques</t>
  </si>
  <si>
    <t xml:space="preserve">Échéance</t>
  </si>
  <si>
    <t xml:space="preserve">1</t>
  </si>
  <si>
    <t xml:space="preserve">2</t>
  </si>
  <si>
    <t xml:space="preserve">3</t>
  </si>
  <si>
    <t xml:space="preserve">4</t>
  </si>
  <si>
    <t xml:space="preserve">5</t>
  </si>
  <si>
    <t xml:space="preserve">6</t>
  </si>
  <si>
    <t xml:space="preserve">Les douze recommandations de la Fonction Risques et les points suivis sans décision figurent en onglet 5. Le corps du rapport (pages 01 à 07) documente chaque chiffre ; l'annexe donne les sources et leur fraîcheur.</t>
  </si>
  <si>
    <t xml:space="preserve">NOTE</t>
  </si>
  <si>
    <t xml:space="preserve">01. Synthèse et caractéristiques du Fonds</t>
  </si>
  <si>
    <t xml:space="preserve">Conclusion  ·  chiffres clés  ·  points d'attention</t>
  </si>
  <si>
    <t xml:space="preserve">CONCLUSION DE LA GESTION DES RISQUES</t>
  </si>
  <si>
    <t xml:space="preserve">ACTIF NET CIBLE</t>
  </si>
  <si>
    <t xml:space="preserve">PLAFOND PAR DATE DE CENTRALISATION</t>
  </si>
  <si>
    <t xml:space="preserve">POCHE LIQUIDE / PLAFOND PAR DATE</t>
  </si>
  <si>
    <t xml:space="preserve">SCORE IRP DU FONDS</t>
  </si>
  <si>
    <t xml:space="preserve">SCORE IRP EN TRANSPARENCE</t>
  </si>
  <si>
    <t xml:space="preserve">prévision commerciale ; aucune souscription reçue</t>
  </si>
  <si>
    <t xml:space="preserve">Élevé - liquidité et crédit saturés, contrepartie et levier faibles</t>
  </si>
  <si>
    <t xml:space="preserve">CHIFFRES CLÉS   à l'allocation cible, en % de l'actif net sauf mention</t>
  </si>
  <si>
    <t xml:space="preserve">Indicateur</t>
  </si>
  <si>
    <t xml:space="preserve">Valeur</t>
  </si>
  <si>
    <t xml:space="preserve">Seuil / limite</t>
  </si>
  <si>
    <t xml:space="preserve">Statut</t>
  </si>
  <si>
    <t xml:space="preserve">Référence</t>
  </si>
  <si>
    <t xml:space="preserve">Commentaire</t>
  </si>
  <si>
    <t xml:space="preserve">Fonds fermés (MAPIF II, MSIG 3)</t>
  </si>
  <si>
    <t xml:space="preserve">À arrêter</t>
  </si>
  <si>
    <t xml:space="preserve">Seuil à arrêter</t>
  </si>
  <si>
    <t xml:space="preserve">KRI-09</t>
  </si>
  <si>
    <t xml:space="preserve">Aucune limite de division des risques au prospectus (art. 21.7)</t>
  </si>
  <si>
    <t xml:space="preserve">Fonds evergreen (PG NGI, Ares AGI)</t>
  </si>
  <si>
    <t xml:space="preserve">-</t>
  </si>
  <si>
    <t xml:space="preserve">Information</t>
  </si>
  <si>
    <t xml:space="preserve">Rachat trimestriel plafonné à 5 % chez chaque fonds cible</t>
  </si>
  <si>
    <t xml:space="preserve">Gérant Macquarie</t>
  </si>
  <si>
    <t xml:space="preserve">KRI-08</t>
  </si>
  <si>
    <t xml:space="preserve">Proposition : 40 %, alerte 35 %</t>
  </si>
  <si>
    <t xml:space="preserve">Actifs liquides</t>
  </si>
  <si>
    <t xml:space="preserve">Respectée</t>
  </si>
  <si>
    <t xml:space="preserve">RL-02</t>
  </si>
  <si>
    <t xml:space="preserve">Plancher permanent ; cible de gestion 16 %</t>
  </si>
  <si>
    <t xml:space="preserve">Dollar non couvert, hypothèse basse / haute</t>
  </si>
  <si>
    <t xml:space="preserve">KRI-10</t>
  </si>
  <si>
    <t xml:space="preserve">Aucune couverture possible : dérivés interdits (IR-07)</t>
  </si>
  <si>
    <t xml:space="preserve">Sur-engagement maximal</t>
  </si>
  <si>
    <t xml:space="preserve">Paramétré</t>
  </si>
  <si>
    <t xml:space="preserve">RL-01</t>
  </si>
  <si>
    <t xml:space="preserve">Sans ligne de crédit ; appels financés par la poche et les distributions</t>
  </si>
  <si>
    <t xml:space="preserve">Levier (engagement et brut)</t>
  </si>
  <si>
    <t xml:space="preserve">À réintroduire</t>
  </si>
  <si>
    <t xml:space="preserve">KRI-05</t>
  </si>
  <si>
    <t xml:space="preserve">Supprimé du projet du 30/09 ; art. 23 § 1 a) de la directive</t>
  </si>
  <si>
    <t xml:space="preserve">Délai moyen de liquidation de l'actif</t>
  </si>
  <si>
    <t xml:space="preserve">TTL</t>
  </si>
  <si>
    <t xml:space="preserve">Délai moyen de sortie d'un porteur</t>
  </si>
  <si>
    <t xml:space="preserve">Limites du prospectus franchies</t>
  </si>
  <si>
    <t xml:space="preserve">Onglet 1</t>
  </si>
  <si>
    <t xml:space="preserve">Aucune position : rien à tester avant la première VL</t>
  </si>
  <si>
    <t xml:space="preserve">Seuils internes à arrêter ou à valider</t>
  </si>
  <si>
    <t xml:space="preserve">Décision 4</t>
  </si>
  <si>
    <t xml:space="preserve">POINTS D'ATTENTION   décisions attendues</t>
  </si>
  <si>
    <t xml:space="preserve">Priorité</t>
  </si>
  <si>
    <t xml:space="preserve">Sujet</t>
  </si>
  <si>
    <t xml:space="preserve">Constat</t>
  </si>
  <si>
    <t xml:space="preserve">Décision attendue</t>
  </si>
  <si>
    <t xml:space="preserve">Haute</t>
  </si>
  <si>
    <t xml:space="preserve">Texte de liquidité</t>
  </si>
  <si>
    <t xml:space="preserve">Préavis de 91 jours au prospectus du 30/09 contre 180 jours dans la note de liquidité et le classeur de stress tests ; Demandes Prioritaires maintenues ; issue après 4 dates non écrite</t>
  </si>
  <si>
    <t xml:space="preserve">Décision 1 : figer le texte et recaler la note (R1)</t>
  </si>
  <si>
    <t xml:space="preserve">Construction du portefeuille</t>
  </si>
  <si>
    <t xml:space="preserve">Tickets minimaux de 10 M$ chez MAPIF II et MSIG 3 pour des lignes cibles de 17 et 8,5 M€ ; véhicule et manche de MSIG 3 non arrêtés</t>
  </si>
  <si>
    <t xml:space="preserve">Décision 3 : dérogations écrites avant tout engagement (R4, R5)</t>
  </si>
  <si>
    <t xml:space="preserve">Concentration et change</t>
  </si>
  <si>
    <t xml:space="preserve">51 % chez un gérant, 34 % sur une ligne, dollar non couvert jusqu'à 68 % ; aucun seuil au prospectus</t>
  </si>
  <si>
    <t xml:space="preserve">Décision 4 : limites internes KRI-08 à KRI-11 (R6)</t>
  </si>
  <si>
    <t xml:space="preserve">Moyenne</t>
  </si>
  <si>
    <t xml:space="preserve">Levier AIFM</t>
  </si>
  <si>
    <t xml:space="preserve">Niveau maximal de levier absent du projet du 30/09</t>
  </si>
  <si>
    <t xml:space="preserve">Décision 2 : 100 % engagement et brut (R3)</t>
  </si>
  <si>
    <t xml:space="preserve">Gouvernance</t>
  </si>
  <si>
    <t xml:space="preserve">Conseiller à la fois conseil, distributeur principal et titulaire du pouvoir de révocation de la Société de Gestion</t>
  </si>
  <si>
    <t xml:space="preserve">Décision 6 : cartographie du conflit et procédure de revue des VL (R9, R10)</t>
  </si>
  <si>
    <t xml:space="preserve">Statuts : Respectée, Surveillance, Paramétré, Non testable, Seuil à arrêter, À valider. Convention définie en onglet 1.</t>
  </si>
  <si>
    <t xml:space="preserve">02. Portefeuille cible et liquidité contractuelle</t>
  </si>
  <si>
    <t xml:space="preserve">Allocation  ·  conditions du Fonds  ·  calendrier de la première fenêtre</t>
  </si>
  <si>
    <t xml:space="preserve">ALLOCATION CIBLE   synthèse Openstone de septembre 2026, non contractuelle
Quatre fonds cibles : deux fermés (secondaires, dette) et deux evergreen (equity, equity et dette). Instruments visés : 50 % equity secondaire, 30 % dette, 20 % equity primaire.</t>
  </si>
  <si>
    <t xml:space="preserve">Ligne</t>
  </si>
  <si>
    <t xml:space="preserve">Poids</t>
  </si>
  <si>
    <t xml:space="preserve">Montant cible</t>
  </si>
  <si>
    <t xml:space="preserve">Forme</t>
  </si>
  <si>
    <t xml:space="preserve">Devise</t>
  </si>
  <si>
    <t xml:space="preserve">Liquidité pour le Fonds</t>
  </si>
  <si>
    <t xml:space="preserve">Macquarie Alliance Partners Infrastructure Fund II</t>
  </si>
  <si>
    <t xml:space="preserve">Fermé, secondaires</t>
  </si>
  <si>
    <t xml:space="preserve">USD</t>
  </si>
  <si>
    <t xml:space="preserve">Aucune avant échéance (10 à 14 ans) ; cession agréée par le GP</t>
  </si>
  <si>
    <t xml:space="preserve">Macquarie Specialized Infrastructure Global 3</t>
  </si>
  <si>
    <t xml:space="preserve">Fermé hybride, dette</t>
  </si>
  <si>
    <t xml:space="preserve">USD ou EUR</t>
  </si>
  <si>
    <t xml:space="preserve">Retrait annuel après 3 ans, payé par écoulement sans date</t>
  </si>
  <si>
    <t xml:space="preserve">Partners Group Next Generation Infrastructure</t>
  </si>
  <si>
    <t xml:space="preserve">Evergreen, equity</t>
  </si>
  <si>
    <t xml:space="preserve">USD (classe H possible)</t>
  </si>
  <si>
    <t xml:space="preserve">Mensuel, préavis 45 j.o., gate 5 % par trimestre distributions comprises</t>
  </si>
  <si>
    <t xml:space="preserve">Ares Global Infrastructure ELTIF</t>
  </si>
  <si>
    <t xml:space="preserve">Evergreen ELTIF, equity et dette</t>
  </si>
  <si>
    <t xml:space="preserve">EUR</t>
  </si>
  <si>
    <t xml:space="preserve">Trimestriel, gate 5 % net, déduction 5 % avant 24 mois</t>
  </si>
  <si>
    <t xml:space="preserve">Monétaire, dépôts, OPC obligataires</t>
  </si>
  <si>
    <t xml:space="preserve">Quotidienne ; plancher de 15 % de l'actif (art. 21.8)</t>
  </si>
  <si>
    <t xml:space="preserve">Total</t>
  </si>
  <si>
    <t xml:space="preserve">Aucun emprunt, aucun dérivé, aucun passif financier</t>
  </si>
  <si>
    <t xml:space="preserve">RACHAT ET LIQUIDITÉ DU FONDS   prospectus du 30 septembre 2026</t>
  </si>
  <si>
    <t xml:space="preserve">Paramètre</t>
  </si>
  <si>
    <t xml:space="preserve">Source</t>
  </si>
  <si>
    <t xml:space="preserve">Valeur liquidative</t>
  </si>
  <si>
    <t xml:space="preserve">Mensuelle, dernier Jour Ouvré</t>
  </si>
  <si>
    <t xml:space="preserve">Art. 6.1</t>
  </si>
  <si>
    <t xml:space="preserve">Souscriptions</t>
  </si>
  <si>
    <t xml:space="preserve">Mensuelles, à cours inconnu</t>
  </si>
  <si>
    <t xml:space="preserve">Art. 7.1</t>
  </si>
  <si>
    <t xml:space="preserve">Rachats</t>
  </si>
  <si>
    <t xml:space="preserve">Semestriels, VL du 30 juin et du 31 décembre</t>
  </si>
  <si>
    <t xml:space="preserve">Art. 7.2.1</t>
  </si>
  <si>
    <t xml:space="preserve">Centralisation le 31 mars et le 30 septembre à 12 h ; demandes définitives</t>
  </si>
  <si>
    <t xml:space="preserve">Période de Blocage</t>
  </si>
  <si>
    <t xml:space="preserve">Art. 7.2.2</t>
  </si>
  <si>
    <t xml:space="preserve">Imputation FIFO des rachats sur les parts les plus anciennes</t>
  </si>
  <si>
    <t xml:space="preserve">Préavis</t>
  </si>
  <si>
    <t xml:space="preserve">Art. 7.2.3 et 7.2.7</t>
  </si>
  <si>
    <t xml:space="preserve">La Société de Gestion connaît les demandes brutes trois mois avant la VL</t>
  </si>
  <si>
    <t xml:space="preserve">Plafonnement des Rachats</t>
  </si>
  <si>
    <t xml:space="preserve">Art. 7.2.6</t>
  </si>
  <si>
    <t xml:space="preserve">Suspension</t>
  </si>
  <si>
    <t xml:space="preserve">Circonstances exceptionnelles, L. 214-24-41 CMF</t>
  </si>
  <si>
    <t xml:space="preserve">Art. 7.2.8</t>
  </si>
  <si>
    <t xml:space="preserve">Souscriptions suspendues simultanément ; sans plafonnement préalable obligatoire</t>
  </si>
  <si>
    <t xml:space="preserve">Délai de règlement</t>
  </si>
  <si>
    <t xml:space="preserve">Art. 7.2.5</t>
  </si>
  <si>
    <t xml:space="preserve">5 Jours Ouvrés après publication ; en numéraire</t>
  </si>
  <si>
    <t xml:space="preserve">Frais de sortie</t>
  </si>
  <si>
    <t xml:space="preserve">Néant</t>
  </si>
  <si>
    <t xml:space="preserve">Art. 27.2.4</t>
  </si>
  <si>
    <t xml:space="preserve">Les déductions de sortie existent chez Ares (5 % avant 24 mois) et PG NGI (discrétionnaire)</t>
  </si>
  <si>
    <t xml:space="preserve">Dissolution</t>
  </si>
  <si>
    <t xml:space="preserve">Actif net sous 300 000 € pendant 30 jours ; sous 1 M€ ou rachats non exécutés au-delà de 50 % des parts, sur décision</t>
  </si>
  <si>
    <t xml:space="preserve">Règlement art. 2 et 15</t>
  </si>
  <si>
    <t xml:space="preserve">Accord du Conseiller requis pour la dissolution anticipée</t>
  </si>
  <si>
    <t xml:space="preserve">CALENDRIER DE LA PREMIÈRE FENÊTRE DE RACHAT   hypothèse : constitution au 31/12/2026</t>
  </si>
  <si>
    <t xml:space="preserve">Étape</t>
  </si>
  <si>
    <t xml:space="preserve">Date</t>
  </si>
  <si>
    <t xml:space="preserve">Écart</t>
  </si>
  <si>
    <t xml:space="preserve">Constitution du Fonds (hypothèse)</t>
  </si>
  <si>
    <t xml:space="preserve">31/12/2026</t>
  </si>
  <si>
    <t xml:space="preserve">Attestation de dépôt des fonds par le Dépositaire</t>
  </si>
  <si>
    <t xml:space="preserve">Fin de la Période de Blocage des premières parts</t>
  </si>
  <si>
    <t xml:space="preserve">31/12/2028</t>
  </si>
  <si>
    <t xml:space="preserve">24 mois</t>
  </si>
  <si>
    <t xml:space="preserve">Chaque souscription ultérieure porte son propre blocage</t>
  </si>
  <si>
    <t xml:space="preserve">Première Date de Centralisation des Rachats</t>
  </si>
  <si>
    <t xml:space="preserve">31/03/2029</t>
  </si>
  <si>
    <t xml:space="preserve">Première VL de rachat : 30/06/2029 ; règlement au plus tard mi-août 2029</t>
  </si>
  <si>
    <t xml:space="preserve">Demandes aux fonds evergreen</t>
  </si>
  <si>
    <t xml:space="preserve">Mi-avril 2029</t>
  </si>
  <si>
    <t xml:space="preserve">45 j.o. avant la VL</t>
  </si>
  <si>
    <t xml:space="preserve">PG NGI : préavis 45 Jours Ouvrés ; Ares : cut-off 1er Jour Ouvré de juin</t>
  </si>
  <si>
    <t xml:space="preserve">Fin de la déduction Ares pour des parts souscrites début 2027</t>
  </si>
  <si>
    <t xml:space="preserve">Début 2029</t>
  </si>
  <si>
    <t xml:space="preserve">Un rachat Ares avant 24 mois coûte 5 % de la ligne - recommandation R8</t>
  </si>
  <si>
    <t xml:space="preserve">Le classeur de stress tests part du 30/09/2028 avec toutes les parts rachetables : hypothèse prudente par rapport à ce calendrier.</t>
  </si>
  <si>
    <t xml:space="preserve">03. Profil de liquidité et couverture des rachats</t>
  </si>
  <si>
    <t xml:space="preserve">Actif  ·  passif  ·  adéquation  ·  ratios de couverture  ·  outils de gestion de la liquidité</t>
  </si>
  <si>
    <t xml:space="preserve">PROFIL DE LIQUIDITÉ DE L'ACTIF   format Annexe IV, à l'allocation cible
TTL (time to liquidate) : délai complet pour disposer du cash. Une position sans fenêtre garantie est classée au-delà de 365 jours.</t>
  </si>
  <si>
    <t xml:space="preserve">Tranche de liquidation</t>
  </si>
  <si>
    <t xml:space="preserve">% actif</t>
  </si>
  <si>
    <t xml:space="preserve">Contenu</t>
  </si>
  <si>
    <t xml:space="preserve">0 à 1 jour</t>
  </si>
  <si>
    <t xml:space="preserve">2 à 7 jours</t>
  </si>
  <si>
    <t xml:space="preserve">8 à 30 jours</t>
  </si>
  <si>
    <t xml:space="preserve">31 à 90 jours</t>
  </si>
  <si>
    <t xml:space="preserve">91 à 180 jours</t>
  </si>
  <si>
    <t xml:space="preserve">181 à 365 jours</t>
  </si>
  <si>
    <t xml:space="preserve">Plus de 365 jours</t>
  </si>
  <si>
    <t xml:space="preserve">ADÉQUATION ACTIF-PASSIF   en jours</t>
  </si>
  <si>
    <t xml:space="preserve">Mesure</t>
  </si>
  <si>
    <t xml:space="preserve">TTL actif</t>
  </si>
  <si>
    <t xml:space="preserve">TTL passif</t>
  </si>
  <si>
    <t xml:space="preserve">Lecture</t>
  </si>
  <si>
    <t xml:space="preserve">Délais moyens, préavis normal</t>
  </si>
  <si>
    <t xml:space="preserve">L'actif se liquide près de trois ans après la sortie moyenne d'un porteur : le plafonnement absorbe l'écart</t>
  </si>
  <si>
    <t xml:space="preserve">Délais moyens, préavis prolongé à 180 jours</t>
  </si>
  <si>
    <t xml:space="preserve">La prolongation gagne un trimestre ; elle n'est pas un correctif structurel</t>
  </si>
  <si>
    <t xml:space="preserve">Délais en stress (fonds evergreen en Special Dealing)</t>
  </si>
  <si>
    <t xml:space="preserve">Sortie la plus rapide d'un porteur contre actif le plus lent</t>
  </si>
  <si>
    <t xml:space="preserve">RATIOS DE COUVERTURE DES RACHATS</t>
  </si>
  <si>
    <t xml:space="preserve">Cible</t>
  </si>
  <si>
    <t xml:space="preserve">Définition</t>
  </si>
  <si>
    <t xml:space="preserve">Poche liquide / plafond par date</t>
  </si>
  <si>
    <t xml:space="preserve">Trois dates de plafond servies sur la seule poche</t>
  </si>
  <si>
    <t xml:space="preserve">Poche liquide / plafond annuel</t>
  </si>
  <si>
    <t xml:space="preserve">Une année de plafond servie sur la seule poche</t>
  </si>
  <si>
    <t xml:space="preserve">Capacité evergreen semestrielle / plafond par date</t>
  </si>
  <si>
    <t xml:space="preserve">Ressources à douze mois / plafond annuel</t>
  </si>
  <si>
    <t xml:space="preserve">Classeur de stress tests : poche, distributions et rachats evergreen</t>
  </si>
  <si>
    <t xml:space="preserve">Couverture de liquidité à douze mois au départ</t>
  </si>
  <si>
    <t xml:space="preserve">Nette des appels, frais et acomptes ; seuil vert 1,5 (KRI-04)</t>
  </si>
  <si>
    <t xml:space="preserve">OUTILS DE GESTION DE LA LIQUIDITÉ   annexe V de la directive (UE) 2024/927, note de liquidité § 3</t>
  </si>
  <si>
    <t xml:space="preserve">Outil</t>
  </si>
  <si>
    <t xml:space="preserve">Déclenchement</t>
  </si>
  <si>
    <t xml:space="preserve">Durée et levée</t>
  </si>
  <si>
    <t xml:space="preserve">Observation</t>
  </si>
  <si>
    <t xml:space="preserve">Plafonnement des Rachats (art. 7.2.6)</t>
  </si>
  <si>
    <t xml:space="preserve">Demandes nettes supérieures à 5 % de l'actif net à une date</t>
  </si>
  <si>
    <t xml:space="preserve">Quatre dates consécutives au plus ; levé dès le retour sous 5 %</t>
  </si>
  <si>
    <t xml:space="preserve">Issue au-delà de quatre dates à écrire</t>
  </si>
  <si>
    <t xml:space="preserve">Prolongation du préavis (art. 7.2.7)</t>
  </si>
  <si>
    <t xml:space="preserve">File supérieure à 10 % de l'actif net, couverture à douze mois sous 1,2, plafonnement chez un fonds cible</t>
  </si>
  <si>
    <t xml:space="preserve">180 jours au plus, douze mois au plus ; levée à couverture 1,5 et file sous 5 %</t>
  </si>
  <si>
    <t xml:space="preserve">Seul outil agissant avant l'exécution ; à décider une centralisation à l'avance</t>
  </si>
  <si>
    <t xml:space="preserve">Suspension des rachats (art. 7.2.8)</t>
  </si>
  <si>
    <t xml:space="preserve">Circonstances exceptionnelles ; durée maximale du plafonnement atteinte</t>
  </si>
  <si>
    <t xml:space="preserve">Souscriptions suspendues simultanément ; réexamen mensuel</t>
  </si>
  <si>
    <t xml:space="preserve">Notification AMF, Dépositaire, distributeurs et porteurs</t>
  </si>
  <si>
    <t xml:space="preserve">Suspension des souscriptions (art. 7.1.6)</t>
  </si>
  <si>
    <t xml:space="preserve">Circonstances exceptionnelles ou capacité d'investissement épuisée</t>
  </si>
  <si>
    <t xml:space="preserve">Sur décision de la Société de Gestion</t>
  </si>
  <si>
    <t xml:space="preserve">Évite la dilution de la poche en cas d'appels retardés</t>
  </si>
  <si>
    <t xml:space="preserve">04. Stress tests de liquidité</t>
  </si>
  <si>
    <t xml:space="preserve">Scénarios  ·  tests inversés  ·  lecture - moteur en formules, onglet 3b</t>
  </si>
  <si>
    <t xml:space="preserve">SCÉNARIOS DE LA NOTE DE LIQUIDITÉ   actif net cible, départ à la fin du blocage, 36 mois, calcul en formules (onglet 3b)
Verdicts sur les seuils de la note (onglet 0) : rouge si file &gt; 25 %, poche &lt; 5 %, couverture &lt; 1,0, résorption &gt; 25 mois ou suspension ; orange si une date est plafonnée, poche &lt; 15 %, couverture &lt; 1,5 ou sur-engagement &gt; 120 %.</t>
  </si>
  <si>
    <t xml:space="preserve">Scénario</t>
  </si>
  <si>
    <t xml:space="preserve">Dates plafonnées</t>
  </si>
  <si>
    <t xml:space="preserve">File max</t>
  </si>
  <si>
    <t xml:space="preserve">Poche min</t>
  </si>
  <si>
    <t xml:space="preserve">Couverture 12 m</t>
  </si>
  <si>
    <t xml:space="preserve">Verdict et lecture</t>
  </si>
  <si>
    <t xml:space="preserve">Bilan</t>
  </si>
  <si>
    <t xml:space="preserve">TESTS INVERSÉS</t>
  </si>
  <si>
    <t xml:space="preserve">Question</t>
  </si>
  <si>
    <t xml:space="preserve">Réponse</t>
  </si>
  <si>
    <t xml:space="preserve">Niveau de rachats persistants par date qui conduit à la suspension</t>
  </si>
  <si>
    <t xml:space="preserve">Appels de fonds sur douze mois qui font passer la poche sous 10 %</t>
  </si>
  <si>
    <t xml:space="preserve">Non-appelé de départ de 25 % de l'actif net ; à 17,5 % la poche est épuisée et les cessions commencent</t>
  </si>
  <si>
    <t xml:space="preserve">Taille maximale d'un porteur unique sortant sans suspension ni cession</t>
  </si>
  <si>
    <t xml:space="preserve">Les autres porteurs demandent 2 % par date ; au-delà de 15 %, file non résorbée et suspension</t>
  </si>
  <si>
    <t xml:space="preserve">Rachats égaux au plafond (5 % par date) sur toute la période : poche minimale</t>
  </si>
  <si>
    <t xml:space="preserve">Servis sans plafonnement, ils érodent la poche sous 5 % : le plafond ne protège pas quand la demande lui est exactement égale</t>
  </si>
  <si>
    <t xml:space="preserve">LECTURE DE LA GESTION DES RISQUES</t>
  </si>
  <si>
    <t xml:space="preserve">Le dispositif tient à trois conditions : une collecte qui ne s'arrête pas (le scénario de base suppose 5 % par trimestre), des distributions des fonds cibles qui arrivent (le scénario de distributions divisées par deux suffit à passer sous le plancher) et un non-appelé contenu (le point de rupture est à 25 % de l'actif net). Aucune de ces trois conditions ne dépend de la Société de Gestion seule. Les hypothèses structurantes - collecte, non-appelé de départ, décote de cession, part des parts de distribution - sont à arrêter en Comité des risques (R12), et le moteur est rejoué sur l'encours réel dès la première valeur liquidative (R12). Le préavis de 91 jours du prospectus du 30/09 ne change pas les flux : il réduit de trois mois le temps de préparation de chaque date.</t>
  </si>
  <si>
    <t xml:space="preserve">Limites de la méthode : chocs de valorisation calibrés sur des indices Preqin corrigés du lissage (Geltner), sans historique propre ; comportement de rachat postulé, non modélisé ; capacité des fonds evergreen supposée pleine hors scénario au prorata ; cessions secondaires de parts de fonds fermés supposées possibles à 10 % de décote, ce qui est optimiste pour MAPIF II (accord du GP) et sans objet pour MSIG 3 (run-off). Niveau de confiance : moyen.</t>
  </si>
  <si>
    <t xml:space="preserve">05. Les quatre fonds cibles</t>
  </si>
  <si>
    <t xml:space="preserve">Conditions  ·  profil de risque initial  ·  points ouverts</t>
  </si>
  <si>
    <t xml:space="preserve">CONDITIONS STRUCTURANTES   lecture des prospectus et PPM ; forme, stratégie et prestataires en onglet 4</t>
  </si>
  <si>
    <t xml:space="preserve">Terme</t>
  </si>
  <si>
    <t xml:space="preserve">MAPIF II</t>
  </si>
  <si>
    <t xml:space="preserve">MSIG 3 (USD)</t>
  </si>
  <si>
    <t xml:space="preserve">PG NGI</t>
  </si>
  <si>
    <t xml:space="preserve">Ares AGI ELTIF</t>
  </si>
  <si>
    <t xml:space="preserve">Plafonnement</t>
  </si>
  <si>
    <t xml:space="preserve">Pénalité de sortie</t>
  </si>
  <si>
    <t xml:space="preserve">Frais de gestion</t>
  </si>
  <si>
    <t xml:space="preserve">Performance</t>
  </si>
  <si>
    <t xml:space="preserve">Levier</t>
  </si>
  <si>
    <t xml:space="preserve">Ticket minimum</t>
  </si>
  <si>
    <t xml:space="preserve">SFDR</t>
  </si>
  <si>
    <t xml:space="preserve">PROFIL DE RISQUE INITIAL   scores IRP 0 à 100, poids de l'allocation cible</t>
  </si>
  <si>
    <t xml:space="preserve">Fonds</t>
  </si>
  <si>
    <t xml:space="preserve">Score IRP</t>
  </si>
  <si>
    <t xml:space="preserve">Notation</t>
  </si>
  <si>
    <t xml:space="preserve">Allocation</t>
  </si>
  <si>
    <t xml:space="preserve">Contribution</t>
  </si>
  <si>
    <t xml:space="preserve">Typologies saturées</t>
  </si>
  <si>
    <t xml:space="preserve">Openstone Infraworld (caractéristiques propres)</t>
  </si>
  <si>
    <t xml:space="preserve">Liquidité, crédit</t>
  </si>
  <si>
    <t xml:space="preserve">Levier ; liquidité faible (fonds fermé)</t>
  </si>
  <si>
    <t xml:space="preserve">MSIG 3 (USD, levered)</t>
  </si>
  <si>
    <t xml:space="preserve">Crédit, levier</t>
  </si>
  <si>
    <t xml:space="preserve">PG Next Generation Infrastructure</t>
  </si>
  <si>
    <t xml:space="preserve">Liquidité, crédit, opérationnel, levier</t>
  </si>
  <si>
    <t xml:space="preserve">Liquidité, crédit, levier</t>
  </si>
  <si>
    <t xml:space="preserve">Score en transparence</t>
  </si>
  <si>
    <t xml:space="preserve">POINTS OUVERTS PAR FONDS CIBLE   à lever avant engagement</t>
  </si>
  <si>
    <t xml:space="preserve">Points ouverts</t>
  </si>
  <si>
    <t xml:space="preserve">Criticité</t>
  </si>
  <si>
    <t xml:space="preserve">Dérogation de ticket (10 M$) ; plafonds AIFM (annexe A du LPA) ; ligne de souscription sans durée maximale ; fréquence contractuelle de VL ; notification AMF du passeport</t>
  </si>
  <si>
    <t xml:space="preserve">Élevée</t>
  </si>
  <si>
    <t xml:space="preserve">MSIG 3</t>
  </si>
  <si>
    <t xml:space="preserve">Véhicule USD ou EUR et manche levered ou unlevered ; dérogation de ticket ; admission comme Automatic Withdrawing Investor ; first closing inconnu ; aucun dépositaire AIFMD identifié ; non-appelé survivant au retrait</t>
  </si>
  <si>
    <t xml:space="preserve">Classe souscrite (I ou H couverte) ; Redemption Fee discrétionnaire sans butoir ; distributions imputées sur le gate ; Special Dealing à 180 jours ; levier 200 % engagement</t>
  </si>
  <si>
    <t xml:space="preserve">Classe souscrite ; composition de l'entrepôt d'actifs ; limite ELTIF de rachat (27,3 %) ; levier non plafonné avant 2029 ; calendrier de la déduction de 24 mois</t>
  </si>
  <si>
    <t xml:space="preserve">06. Valorisation, contrepartie, opérationnel et gouvernance</t>
  </si>
  <si>
    <t xml:space="preserve">Risques non quantifiés  ·  dispositif  ·  lacunes  ·  actions</t>
  </si>
  <si>
    <t xml:space="preserve">VALORISATION   art. 19 de la directive, art. 67 à 74 du règlement délégué</t>
  </si>
  <si>
    <t xml:space="preserve">Réf.</t>
  </si>
  <si>
    <t xml:space="preserve">Risque</t>
  </si>
  <si>
    <t xml:space="preserve">Exposition à l'allocation cible</t>
  </si>
  <si>
    <t xml:space="preserve">Dispositif et lacune</t>
  </si>
  <si>
    <t xml:space="preserve">Action</t>
  </si>
  <si>
    <t xml:space="preserve">V-1</t>
  </si>
  <si>
    <t xml:space="preserve">Dépendance aux VL des gérants cibles</t>
  </si>
  <si>
    <t xml:space="preserve">IPEV déclaré par les gérants ; aucune procédure de revue de la VL reçue, ni seuil de péremption</t>
  </si>
  <si>
    <t xml:space="preserve">R9 : procédure de revue et seuil KRI-11</t>
  </si>
  <si>
    <t xml:space="preserve">V-2</t>
  </si>
  <si>
    <t xml:space="preserve">VL mensuelle du Fonds construite sur des VL trimestrielles</t>
  </si>
  <si>
    <t xml:space="preserve">Mois sans VL fraîche pour MAPIF II et MSIG 3 ; souscriptions mensuelles à cours inconnu</t>
  </si>
  <si>
    <t xml:space="preserve">Ajustement des VL des mouvements financiers (art. 13) ; aucun ajustement de marché prévu</t>
  </si>
  <si>
    <t xml:space="preserve">Documenter le stale pricing dans la politique de valorisation</t>
  </si>
  <si>
    <t xml:space="preserve">V-3</t>
  </si>
  <si>
    <t xml:space="preserve">Souscription au nominal tant que la VL est inférieure à 100 €</t>
  </si>
  <si>
    <t xml:space="preserve">Nouveaux porteurs servis au-dessus de la VL en cas de baisse initiale</t>
  </si>
  <si>
    <t xml:space="preserve">Aucun garde-fou ; question de traitement équitable (art. 11)</t>
  </si>
  <si>
    <t xml:space="preserve">R2 : limiter le nominal à la période de lancement</t>
  </si>
  <si>
    <t xml:space="preserve">CONTREPARTIE ET PRESTATAIRES   art. 38 et 43 du règlement délégué</t>
  </si>
  <si>
    <t xml:space="preserve">Exposition</t>
  </si>
  <si>
    <t xml:space="preserve">C-1</t>
  </si>
  <si>
    <t xml:space="preserve">Concentration sur un sponsor</t>
  </si>
  <si>
    <t xml:space="preserve">Diversification d'actifs, non de contrepartie ; aucune limite</t>
  </si>
  <si>
    <t xml:space="preserve">Décision 4 : KRI-08 à 40 %</t>
  </si>
  <si>
    <t xml:space="preserve">C-2</t>
  </si>
  <si>
    <t xml:space="preserve">Dépositaire et banques de dépôt</t>
  </si>
  <si>
    <t xml:space="preserve">Contreparties OCDE BBB+ (art. 15) ; revue sous A-</t>
  </si>
  <si>
    <t xml:space="preserve">Revue annuelle du Dépositaire au dossier</t>
  </si>
  <si>
    <t xml:space="preserve">C-3</t>
  </si>
  <si>
    <t xml:space="preserve">Fonds cibles sans dépositaire AIFMD</t>
  </si>
  <si>
    <t xml:space="preserve">MSIG 3 : SCSp non qualifiées de FIA à la date du PPM, aucun dépositaire désigné</t>
  </si>
  <si>
    <t xml:space="preserve">Éligibilité et look-through Annexe IV à vérifier</t>
  </si>
  <si>
    <t xml:space="preserve">R5 : vérifier avant engagement</t>
  </si>
  <si>
    <t xml:space="preserve">OPÉRATIONNEL ET GOUVERNANCE   art. 38 et 40 du règlement délégué</t>
  </si>
  <si>
    <t xml:space="preserve">O-1</t>
  </si>
  <si>
    <t xml:space="preserve">Appels de fonds à 10 Jours Ouvrés contre collecte mensuelle</t>
  </si>
  <si>
    <t xml:space="preserve">Deux fonds fermés appelant à vue ; défaut d'appel sanctionnable jusqu'à la perte de la participation</t>
  </si>
  <si>
    <t xml:space="preserve">Poche et séquencement ; aucune ligne de crédit</t>
  </si>
  <si>
    <t xml:space="preserve">Décision 5 : règle de séquencement</t>
  </si>
  <si>
    <t xml:space="preserve">O-2</t>
  </si>
  <si>
    <t xml:space="preserve">Conflit d'intérêts du Conseiller</t>
  </si>
  <si>
    <t xml:space="preserve">Conseil, distribution principale, accord préalable sur le prospectus et faculté de révoquer la Société de Gestion</t>
  </si>
  <si>
    <t xml:space="preserve">Politique de conflits d'intérêts ; décision d'investissement réservée à la Société de Gestion</t>
  </si>
  <si>
    <t xml:space="preserve">R10 : cartographie et comité</t>
  </si>
  <si>
    <t xml:space="preserve">O-3</t>
  </si>
  <si>
    <t xml:space="preserve">Chaîne de données et Annexe IV</t>
  </si>
  <si>
    <t xml:space="preserve">MSIG 3 : exercice au 31/03 et reporting à 30 j.o. ; MAPIF II : états trimestriels non audités</t>
  </si>
  <si>
    <t xml:space="preserve">Aucun calendrier de collecte formalisé</t>
  </si>
  <si>
    <t xml:space="preserve">R9 : calendrier Annexe IV</t>
  </si>
  <si>
    <t xml:space="preserve">O-4</t>
  </si>
  <si>
    <t xml:space="preserve">Cohérence documentaire</t>
  </si>
  <si>
    <t xml:space="preserve">Douze écarts au registre du prospectus ; vingt écarts entre classeur, modèle et documents des fonds cibles</t>
  </si>
  <si>
    <t xml:space="preserve">Registre tenu par la Fonction Risques</t>
  </si>
  <si>
    <t xml:space="preserve">Décisions 1 et 2</t>
  </si>
  <si>
    <t xml:space="preserve">Aucun de ces points n'est chiffré et aucun ne doit l'être en l'état : il n'existe ni série, ni historique de perte, ni référence sectorielle qui permette une mesure défendable. Ils sont traités par le dispositif et les décisions, puis suivis au registre des incidents dès le lancement.</t>
  </si>
  <si>
    <t xml:space="preserve">07. Limites, décisions et conclusion</t>
  </si>
  <si>
    <t xml:space="preserve">Suivi des limites  ·  décisions  ·  conclusion  ·  contrôles avant diffusion</t>
  </si>
  <si>
    <t xml:space="preserve">SUIVI DES LIMITES   référentiel en onglet 1</t>
  </si>
  <si>
    <t xml:space="preserve">Catégorie</t>
  </si>
  <si>
    <t xml:space="preserve">Nombre</t>
  </si>
  <si>
    <t xml:space="preserve">Ce que cela impose</t>
  </si>
  <si>
    <t xml:space="preserve">Limites et seuils recensés</t>
  </si>
  <si>
    <t xml:space="preserve">Prospectus (14), seuils internes (11)</t>
  </si>
  <si>
    <t xml:space="preserve">Franchissements de limite du prospectus</t>
  </si>
  <si>
    <t xml:space="preserve">Fiche incident, escalade aux dirigeants effectifs, information de l'AMF</t>
  </si>
  <si>
    <t xml:space="preserve">Limites non testables avant lancement</t>
  </si>
  <si>
    <t xml:space="preserve">Premier test à la première valeur liquidative</t>
  </si>
  <si>
    <t xml:space="preserve">Seuils internes à valider</t>
  </si>
  <si>
    <t xml:space="preserve">Validation des seuils de la note de liquidité § 5</t>
  </si>
  <si>
    <t xml:space="preserve">Seuils internes à arrêter</t>
  </si>
  <si>
    <t xml:space="preserve">Gérant, fonds cible, dollar non couvert, péremption des VL</t>
  </si>
  <si>
    <t xml:space="preserve">DÉCISIONS SOUMISES AU COMITÉ DES RISQUES</t>
  </si>
  <si>
    <t xml:space="preserve">CONCLUSION</t>
  </si>
  <si>
    <t xml:space="preserve">CONTRÔLES AVANT DIFFUSION   avertissements</t>
  </si>
  <si>
    <t xml:space="preserve">Contrôle</t>
  </si>
  <si>
    <t xml:space="preserve">Constaté</t>
  </si>
  <si>
    <t xml:space="preserve">Attendu</t>
  </si>
  <si>
    <t xml:space="preserve">Allocation cible bouclée</t>
  </si>
  <si>
    <t xml:space="preserve">Somme des cinq lignes de l'onglet 0</t>
  </si>
  <si>
    <t xml:space="preserve">Tranches Annexe IV bouclées</t>
  </si>
  <si>
    <t xml:space="preserve">Onglet 2</t>
  </si>
  <si>
    <t xml:space="preserve">Sources périmées</t>
  </si>
  <si>
    <t xml:space="preserve">Note de liquidité alignée sur le prospectus</t>
  </si>
  <si>
    <t xml:space="preserve">180 jours</t>
  </si>
  <si>
    <t xml:space="preserve">Avertissement</t>
  </si>
  <si>
    <t xml:space="preserve">Écart de préavis : décision 1</t>
  </si>
  <si>
    <t xml:space="preserve">Poids de départ du moteur bouclés</t>
  </si>
  <si>
    <t xml:space="preserve">Onglet 0, bloc des lignes du portefeuille</t>
  </si>
  <si>
    <t xml:space="preserve">Score IRP recalculé</t>
  </si>
  <si>
    <t xml:space="preserve">Onglet 4 contre classeur IRP du 06/10/2026</t>
  </si>
  <si>
    <t xml:space="preserve">Rapport établi par la fonction permanente de gestion des risques - Fundcraft France SAS. Document interne, ne pas diffuser.</t>
  </si>
  <si>
    <t xml:space="preserve">Annexe. Caractéristiques, base réglementaire et sources</t>
  </si>
  <si>
    <t xml:space="preserve">Caractéristiques générales  ·  parts  ·  base réglementaire  ·  fraîcheur des données</t>
  </si>
  <si>
    <t xml:space="preserve">CARACTÉRISTIQUES GÉNÉRALES</t>
  </si>
  <si>
    <t xml:space="preserve">Élément</t>
  </si>
  <si>
    <t xml:space="preserve">Dénomination</t>
  </si>
  <si>
    <t xml:space="preserve">Prospectus art. 1.1 et 18</t>
  </si>
  <si>
    <t xml:space="preserve">Forme juridique</t>
  </si>
  <si>
    <t xml:space="preserve">FPS à compartiments sous forme de FCP - art. L. 214-154 CMF ; FIA non agréé</t>
  </si>
  <si>
    <t xml:space="preserve">Prospectus art. 1.2</t>
  </si>
  <si>
    <t xml:space="preserve">Société de gestion</t>
  </si>
  <si>
    <t xml:space="preserve">Fundcraft France SAS - agrément AMF GP-20260008 du 4 juin 2026</t>
  </si>
  <si>
    <t xml:space="preserve">Prospectus art. 2.1</t>
  </si>
  <si>
    <t xml:space="preserve">Conseiller</t>
  </si>
  <si>
    <t xml:space="preserve">Innovative Finance SAS (Openstone) - CIF ORIAS 23002459, distributeur principal</t>
  </si>
  <si>
    <t xml:space="preserve">Prospectus art. 2.7 et 2.9</t>
  </si>
  <si>
    <t xml:space="preserve">Dépositaire, comptable, CAC</t>
  </si>
  <si>
    <t xml:space="preserve">BFCM ; CIC ; APLITEC</t>
  </si>
  <si>
    <t xml:space="preserve">Prospectus art. 2.2 à 2.6</t>
  </si>
  <si>
    <t xml:space="preserve">Stratégie</t>
  </si>
  <si>
    <t xml:space="preserve">Fonds de fonds d'infrastructure evergreen : fonds fermés et evergreen, secondaires, dette, equity ; co-investissements ≤ 30 %</t>
  </si>
  <si>
    <t xml:space="preserve">Prospectus art. 19 à 22</t>
  </si>
  <si>
    <t xml:space="preserve">Durée</t>
  </si>
  <si>
    <t xml:space="preserve">99 ans ; durée de placement recommandée supérieure à 10 ans</t>
  </si>
  <si>
    <t xml:space="preserve">Prospectus art. 1.3 et 4.2</t>
  </si>
  <si>
    <t xml:space="preserve">Investisseurs</t>
  </si>
  <si>
    <t xml:space="preserve">Investisseurs Autorisés (RG AMF 423-27) ; minimum 100 000 € ; aucune personne physique au-delà de 10 % des parts</t>
  </si>
  <si>
    <t xml:space="preserve">Avertissement ; art. 5.1</t>
  </si>
  <si>
    <t xml:space="preserve">Article 6 ; PAI non mesurées ; aucun engagement taxonomie</t>
  </si>
  <si>
    <t xml:space="preserve">Prospectus art. 21.4 et 21.5</t>
  </si>
  <si>
    <t xml:space="preserve">Indicateur de risque</t>
  </si>
  <si>
    <t xml:space="preserve">DIC PRIIPs du 29/09/2026</t>
  </si>
  <si>
    <t xml:space="preserve">Date d'arrêté</t>
  </si>
  <si>
    <t xml:space="preserve">Rapport initial sur documentation</t>
  </si>
  <si>
    <t xml:space="preserve">CATÉGORIES DE PARTS   huit catégories en euros, minimum 100 000 €</t>
  </si>
  <si>
    <t xml:space="preserve">Part</t>
  </si>
  <si>
    <t xml:space="preserve">ISIN</t>
  </si>
  <si>
    <t xml:space="preserve">Affectation</t>
  </si>
  <si>
    <t xml:space="preserve">Souscription</t>
  </si>
  <si>
    <t xml:space="preserve">Conseil + distribution</t>
  </si>
  <si>
    <t xml:space="preserve">A1c</t>
  </si>
  <si>
    <t xml:space="preserve">FR001401BDP7</t>
  </si>
  <si>
    <t xml:space="preserve">Capitalisation</t>
  </si>
  <si>
    <t xml:space="preserve">Après la Date de Déclenchement</t>
  </si>
  <si>
    <t xml:space="preserve">1,07 % + 0,75 %</t>
  </si>
  <si>
    <t xml:space="preserve">Barème A, avec rétrocession</t>
  </si>
  <si>
    <t xml:space="preserve">A1d</t>
  </si>
  <si>
    <t xml:space="preserve">FR001401BDQ5</t>
  </si>
  <si>
    <t xml:space="preserve">Distribution</t>
  </si>
  <si>
    <t xml:space="preserve">Acomptes trimestriels examinés</t>
  </si>
  <si>
    <t xml:space="preserve">A3c</t>
  </si>
  <si>
    <t xml:space="preserve">FR001401BDR3</t>
  </si>
  <si>
    <t xml:space="preserve">1,07 %</t>
  </si>
  <si>
    <t xml:space="preserve">Clean share ; ISIN à corriger au prospectus (« FFR »)</t>
  </si>
  <si>
    <t xml:space="preserve">A3d</t>
  </si>
  <si>
    <t xml:space="preserve">FR001401BDS1</t>
  </si>
  <si>
    <t xml:space="preserve">Clean share</t>
  </si>
  <si>
    <t xml:space="preserve">B1c</t>
  </si>
  <si>
    <t xml:space="preserve">FR001401BDT9</t>
  </si>
  <si>
    <t xml:space="preserve">Avant la Date de Déclenchement</t>
  </si>
  <si>
    <t xml:space="preserve">0,57 % + 0,75 %</t>
  </si>
  <si>
    <t xml:space="preserve">Conseil réduit jusqu'à 10 M€ ou 2 ans</t>
  </si>
  <si>
    <t xml:space="preserve">B1d</t>
  </si>
  <si>
    <t xml:space="preserve">FR001401BDU7</t>
  </si>
  <si>
    <t xml:space="preserve">B3c</t>
  </si>
  <si>
    <t xml:space="preserve">FR001401BDV5</t>
  </si>
  <si>
    <t xml:space="preserve">0,57 %</t>
  </si>
  <si>
    <t xml:space="preserve">B3d</t>
  </si>
  <si>
    <t xml:space="preserve">FR001401BDW3</t>
  </si>
  <si>
    <t xml:space="preserve">BASE RÉGLEMENTAIRE</t>
  </si>
  <si>
    <t xml:space="preserve">Rapport établi au titre de l'article 15 de la directive 2011/61/UE et des articles 38 à 49 du règlement délégué (UE) 231/2013 (gestion des risques et de la liquidité). Outils de gestion de la liquidité : article 16 § 2 ter et annexe V de la directive, tels qu'introduits par la directive (UE) 2024/927 ; instruction AMF DOC-2017-05 pour le plafonnement. Simulations de crise de liquidité : orientations ESMA 34-39-897 (2020). Déclaration Annexe IV : article 24 de la directive et article 110 du règlement délégué. Indicateur de risque : règlement (UE) 1286/2014 et règlement délégué (UE) 2017/653 (PRIIPs). Régime du FPS : articles L. 214-154 et suivants du CMF, 423-27 et suivants du RG AMF. Les seuils internes relèvent de la pratique de marché et non d'une obligation réglementaire.</t>
  </si>
  <si>
    <t xml:space="preserve">SOURCES ET FRAÎCHEUR DES DONNÉES   détail en onglet DATA</t>
  </si>
  <si>
    <t xml:space="preserve">Ancienneté</t>
  </si>
  <si>
    <t xml:space="preserve">Usage</t>
  </si>
  <si>
    <t xml:space="preserve">Toutes les valeurs de ce rapport découlent du bloc de paramètres de l'onglet 0 et des calculs qui en dérivent. Aucune valeur n'est ressaisie dans le document.</t>
  </si>
  <si>
    <t xml:space="preserve">PARAMÈTRES - OPENSTONE INFRAWORLD, COMPARTIMENT I · rapport de risque initial, octobre 2026</t>
  </si>
  <si>
    <t xml:space="preserve">Toutes les valeurs du rapport découlent de ce bloc ; aucune autre feuille ne redéfinit un paramètre. Saisies sur fond crème, valeurs dérivées en formules.</t>
  </si>
  <si>
    <t xml:space="preserve">Unité</t>
  </si>
  <si>
    <t xml:space="preserve">Fiabilité</t>
  </si>
  <si>
    <t xml:space="preserve">Réserve</t>
  </si>
  <si>
    <t xml:space="preserve">FONDS ET DATES</t>
  </si>
  <si>
    <t xml:space="preserve">Date d'arrêté du rapport</t>
  </si>
  <si>
    <t xml:space="preserve">date</t>
  </si>
  <si>
    <t xml:space="preserve">Date de l'analyse ; prospectus projet du 30 septembre 2026</t>
  </si>
  <si>
    <t xml:space="preserve">Le Fonds n'est pas constitué : rapport initial sur documentation, sans valeur liquidative ni passif.</t>
  </si>
  <si>
    <t xml:space="preserve">Date du projet de prospectus</t>
  </si>
  <si>
    <t xml:space="preserve">Prospectus Openstone Infraworld, projet du 30 septembre 2026</t>
  </si>
  <si>
    <t xml:space="preserve">Plusieurs mentions restent à compléter (SRI, ISIN A3c, mentions de liquidité).</t>
  </si>
  <si>
    <t xml:space="preserve">Actif net cible</t>
  </si>
  <si>
    <t xml:space="preserve">euros</t>
  </si>
  <si>
    <t xml:space="preserve">Encours cible retenu par la note de liquidité et l'IRP</t>
  </si>
  <si>
    <t xml:space="preserve">Prévision commerciale ; les simulations sont rejouées sur l'encours réel une fois le Fonds lancé.</t>
  </si>
  <si>
    <t xml:space="preserve">Actif net minimal réglementaire</t>
  </si>
  <si>
    <t xml:space="preserve">Règlement art. 2 ; dissolution si l'actif reste en deçà 30 jours</t>
  </si>
  <si>
    <t xml:space="preserve">Seuil de la Date de Déclenchement</t>
  </si>
  <si>
    <t xml:space="preserve">Prospectus, définitions du Compartiment I : 10 M€ d'engagements cumulés ou 2e anniversaire</t>
  </si>
  <si>
    <t xml:space="preserve">Bascule des parts B (conseil 0,57 %) vers le barème des parts A (1,07 %).</t>
  </si>
  <si>
    <t xml:space="preserve">Valeur nominale de la part</t>
  </si>
  <si>
    <t xml:space="preserve">Prospectus art. 26.3 - souscription au nominal tant que la VL lui est inférieure</t>
  </si>
  <si>
    <t xml:space="preserve">Souscription au-dessus de la VL si celle-ci passe sous 100 € : point de traitement équitable (registre, n° 9).</t>
  </si>
  <si>
    <t xml:space="preserve">ALLOCATION CIBLE  ·  synthèse Openstone de septembre 2026, non contractuelle</t>
  </si>
  <si>
    <t xml:space="preserve">Macquarie Alliance Partners Infrastructure Fund II (MAPIF II)</t>
  </si>
  <si>
    <t xml:space="preserve">% AN</t>
  </si>
  <si>
    <t xml:space="preserve">Synthèse Openstone septembre 2026, p. 2</t>
  </si>
  <si>
    <t xml:space="preserve">Fonds fermé de secondaires, USD ; conditionné à l'acceptation de la souscription et à la dérogation de ticket (10 M$).</t>
  </si>
  <si>
    <t xml:space="preserve">Macquarie Specialized Infrastructure Global 3 (MSIG 3)</t>
  </si>
  <si>
    <t xml:space="preserve">Fonds de dette fermé hybride ; véhicule (USD / EUR) et manche (levered / unlevered) non arrêtés.</t>
  </si>
  <si>
    <t xml:space="preserve">Partners Group Next Generation Infrastructure (PG NGI)</t>
  </si>
  <si>
    <t xml:space="preserve">Evergreen, devise de référence USD ; classe I ou classe H couverte à arrêter.</t>
  </si>
  <si>
    <t xml:space="preserve">Ares Global Infrastructure ELTIF (Ares AGI)</t>
  </si>
  <si>
    <t xml:space="preserve">Evergreen ELTIF en EUR ; souscription au nominal jusqu'au 01/11/2026 attendu.</t>
  </si>
  <si>
    <t xml:space="preserve">Synthèse septembre 2026 ; prospectus art. 21.8 (minimum 15 % de l'actif)</t>
  </si>
  <si>
    <t xml:space="preserve">Plancher écrit comme obligation permanente, sans clause de dépassement passif (registre, n° 2).</t>
  </si>
  <si>
    <t xml:space="preserve">Total de l'allocation</t>
  </si>
  <si>
    <t xml:space="preserve">dérivé</t>
  </si>
  <si>
    <t xml:space="preserve">Doit boucler à 100 %.</t>
  </si>
  <si>
    <t xml:space="preserve">Part des fonds fermés (MAPIF II + MSIG 3)</t>
  </si>
  <si>
    <t xml:space="preserve">Aucune liquidité avant échéance ; sortie par cession secondaire décotée.</t>
  </si>
  <si>
    <t xml:space="preserve">Part des fonds evergreen (PG NGI + Ares AGI)</t>
  </si>
  <si>
    <t xml:space="preserve">Rachat trimestriel plafonné à 5 % du fonds cible.</t>
  </si>
  <si>
    <t xml:space="preserve">Part gérée par Macquarie</t>
  </si>
  <si>
    <t xml:space="preserve">Concentration gérant : 51 % de l'allocation cible chez un seul groupe.</t>
  </si>
  <si>
    <t xml:space="preserve">Part libellée en dollars - hypothèse basse (MAPIF II)</t>
  </si>
  <si>
    <t xml:space="preserve">Si MSIG 3 est souscrit via le fonds EUR et PG NGI en classe couverte.</t>
  </si>
  <si>
    <t xml:space="preserve">Part libellée en dollars - hypothèse haute (MAPIF II + MSIG 3 USD + PG NGI)</t>
  </si>
  <si>
    <t xml:space="preserve">Devise de référence de PG NGI : USD (supplément 2) ; MSIG 3 (USD) sans classe EUR.</t>
  </si>
  <si>
    <t xml:space="preserve">CONDITIONS DE LIQUIDITÉ DU FONDS  ·  prospectus du 30 septembre 2026</t>
  </si>
  <si>
    <t xml:space="preserve">Période de Blocage par souscription</t>
  </si>
  <si>
    <t xml:space="preserve">mois</t>
  </si>
  <si>
    <t xml:space="preserve">Prospectus art. 7.2.2 - 2 ans à compter de chaque souscription, imputation FIFO</t>
  </si>
  <si>
    <t xml:space="preserve">Préavis de rachat</t>
  </si>
  <si>
    <t xml:space="preserve">jours</t>
  </si>
  <si>
    <t xml:space="preserve">Prospectus art. 7.2.3 - centralisation le 31 mars pour la VL du 30 juin, le 30 septembre pour celle du 31 décembre</t>
  </si>
  <si>
    <t xml:space="preserve">La note de liquidité du 24/09 et le classeur de stress tests retiennent 180 jours : à recaler.</t>
  </si>
  <si>
    <t xml:space="preserve">Préavis prolongé au plus</t>
  </si>
  <si>
    <t xml:space="preserve">Prospectus art. 7.2.7 - 180 jours calendaires au plus, 12 mois au plus</t>
  </si>
  <si>
    <t xml:space="preserve">Plafonnement des Rachats par date de centralisation</t>
  </si>
  <si>
    <t xml:space="preserve">Prospectus art. 7.2.6 - 5 % de l'Actif Net, demandes nettes des souscriptions</t>
  </si>
  <si>
    <t xml:space="preserve">Assiette : actif net de la VL d'exécution, inconnue à l'activation (registre, n° 7).</t>
  </si>
  <si>
    <t xml:space="preserve">Reports successifs au plus</t>
  </si>
  <si>
    <t xml:space="preserve">dates</t>
  </si>
  <si>
    <t xml:space="preserve">Prospectus art. 7.2.6 - 4 Dates de Centralisation ; Demandes Prioritaires après 2 reports</t>
  </si>
  <si>
    <t xml:space="preserve">L'issue au-delà de 4 dates n'est pas écrite ; la note de liquidité prévoit l'examen de la suspension.</t>
  </si>
  <si>
    <t xml:space="preserve">Délai de règlement des rachats</t>
  </si>
  <si>
    <t xml:space="preserve">j.o.</t>
  </si>
  <si>
    <t xml:space="preserve">Prospectus art. 7.2.5 - 5 Jours Ouvrés après publication, publication sous 30 Jours Ouvrés</t>
  </si>
  <si>
    <t xml:space="preserve">Centralisation des souscriptions avant la VL</t>
  </si>
  <si>
    <t xml:space="preserve">Prospectus art. 7.1.2</t>
  </si>
  <si>
    <t xml:space="preserve">Paiement intégral à la centralisation ; sommes bloquées hors actif net.</t>
  </si>
  <si>
    <t xml:space="preserve">Publication de la valeur liquidative</t>
  </si>
  <si>
    <t xml:space="preserve">Prospectus art. 6.2</t>
  </si>
  <si>
    <t xml:space="preserve">VL mensuelle au dernier Jour Ouvré du mois.</t>
  </si>
  <si>
    <t xml:space="preserve">Plancher d'actifs liquides</t>
  </si>
  <si>
    <t xml:space="preserve">Prospectus art. 21.8</t>
  </si>
  <si>
    <t xml:space="preserve">Assiette en actif, les autres limites en actif net (registre, n° 8).</t>
  </si>
  <si>
    <t xml:space="preserve">Poche liquide visée par la gestion</t>
  </si>
  <si>
    <t xml:space="preserve">Note de liquidité du 24/09/2026, § 1</t>
  </si>
  <si>
    <t xml:space="preserve">Dont monétaire et dépôts au minimum (règle interne)</t>
  </si>
  <si>
    <t xml:space="preserve">Note de liquidité, § 2</t>
  </si>
  <si>
    <t xml:space="preserve">Règle interne, non opposable.</t>
  </si>
  <si>
    <t xml:space="preserve">Plafond de Sur-Engagement</t>
  </si>
  <si>
    <t xml:space="preserve">Prospectus art. 23 ; art. 3.1.1 (engagements hors bilan, 130 %)</t>
  </si>
  <si>
    <t xml:space="preserve">Deux plafonds à 130 % sans précision de cumul (registre, n° 6).</t>
  </si>
  <si>
    <t xml:space="preserve">Emprunts d'espèces</t>
  </si>
  <si>
    <t xml:space="preserve">Prospectus art. 22 - néant ; ni ligne de crédit ni instrument dérivé</t>
  </si>
  <si>
    <t xml:space="preserve">Les art. 3.1.1, 14.2 et 25.2.6 supposent encore un emprunt (registre, n° 1).</t>
  </si>
  <si>
    <t xml:space="preserve">Levier AIFM, méthode de l'engagement</t>
  </si>
  <si>
    <t xml:space="preserve">Note de liquidité § 4 ; à réintroduire au prospectus (art. 23 § 1 a) de la directive 2011/61/UE)</t>
  </si>
  <si>
    <t xml:space="preserve">Le projet du 30/09 ne mentionne plus de niveau maximal de levier.</t>
  </si>
  <si>
    <t xml:space="preserve">Entreprises Cibles (co-investissements directs)</t>
  </si>
  <si>
    <t xml:space="preserve">Prospectus art. 22</t>
  </si>
  <si>
    <t xml:space="preserve">Traitement d'un dépassement passif non précisé.</t>
  </si>
  <si>
    <t xml:space="preserve">Détention maximale d'une personne physique</t>
  </si>
  <si>
    <t xml:space="preserve">% parts</t>
  </si>
  <si>
    <t xml:space="preserve">Prospectus art. 5.1 et 8.1</t>
  </si>
  <si>
    <t xml:space="preserve">Contrôle à la souscription et au transfert.</t>
  </si>
  <si>
    <t xml:space="preserve">FRAIS  ·  prospectus art. 27</t>
  </si>
  <si>
    <t xml:space="preserve">Commission de Gestion (tranche 0 - 100 M€)</t>
  </si>
  <si>
    <t xml:space="preserve">Prospectus art. 27.2.1 - 0,18 % ; 0,15 % de 100 à 500 M€ ; 0,10 % au-delà ; minimum 60 000 € par an</t>
  </si>
  <si>
    <t xml:space="preserve">Le minimum de 60 000 € pèse 0,12 % à 50 M€ et 1,2 % à 5 M€.</t>
  </si>
  <si>
    <t xml:space="preserve">Commission de Conseil, parts A (tranche 0 - 100 M€)</t>
  </si>
  <si>
    <t xml:space="preserve">Prospectus art. 27.2.2 - 1,07 % ; 1,10 % ; 1,15 %</t>
  </si>
  <si>
    <t xml:space="preserve">Barème qualifié de dégressif alors que les taux croissent (registre, n° 11).</t>
  </si>
  <si>
    <t xml:space="preserve">Commission de Conseil, parts B jusqu'à la Date de Déclenchement</t>
  </si>
  <si>
    <t xml:space="preserve">Prospectus art. 27.2.2</t>
  </si>
  <si>
    <t xml:space="preserve">Commission de Distribution, parts A1 et B1</t>
  </si>
  <si>
    <t xml:space="preserve">Prospectus art. 27.2.3</t>
  </si>
  <si>
    <t xml:space="preserve">Rétrocédée au Conseiller pour les Distributeurs.</t>
  </si>
  <si>
    <t xml:space="preserve">Droits d'entrée au plus</t>
  </si>
  <si>
    <t xml:space="preserve">% prix</t>
  </si>
  <si>
    <t xml:space="preserve">Prospectus art. 27.2.4</t>
  </si>
  <si>
    <t xml:space="preserve">Non acquis au Fonds.</t>
  </si>
  <si>
    <t xml:space="preserve">Frais de constitution au plus</t>
  </si>
  <si>
    <t xml:space="preserve">Prospectus art. 27.1 - le plus élevé de 60 000 € ou 1,25 % de l'actif net au 1er anniversaire, amortis sur 5 exercices</t>
  </si>
  <si>
    <t xml:space="preserve">Frais récurrents directs, part A1 (hors frais fixes)</t>
  </si>
  <si>
    <t xml:space="preserve">Hors dépositaire, comptable, CAC et frais des fonds cibles (1,00 à 1,25 % plus carried 12,5 à 15 %).</t>
  </si>
  <si>
    <t xml:space="preserve">SEUILS D'ALERTE DE LA NOTE DE LIQUIDITÉ  ·  § 5, vert / orange / rouge</t>
  </si>
  <si>
    <t xml:space="preserve">File d'attente (% AN) - rouge au-delà de</t>
  </si>
  <si>
    <t xml:space="preserve">Note de liquidité § 5</t>
  </si>
  <si>
    <t xml:space="preserve">Orange entre 0 et 25 %.</t>
  </si>
  <si>
    <t xml:space="preserve">Délai de résorption de la file - rouge au-delà de</t>
  </si>
  <si>
    <t xml:space="preserve">Orange de 12 à 25 mois.</t>
  </si>
  <si>
    <t xml:space="preserve">Poche d'actifs liquides - rouge en deçà de</t>
  </si>
  <si>
    <t xml:space="preserve">Orange de 5 à 15 %.</t>
  </si>
  <si>
    <t xml:space="preserve">Couverture de liquidité à 12 mois - vert au-delà de</t>
  </si>
  <si>
    <t xml:space="preserve">ratio</t>
  </si>
  <si>
    <t xml:space="preserve">Orange de 1,0 à 1,5 ; rouge en deçà de 1,0.</t>
  </si>
  <si>
    <t xml:space="preserve">Couverture de liquidité à 12 mois - rouge en deçà de</t>
  </si>
  <si>
    <t xml:space="preserve">Sur-engagement - orange au-delà de</t>
  </si>
  <si>
    <t xml:space="preserve">Rouge au-delà de 130 %.</t>
  </si>
  <si>
    <t xml:space="preserve">Premier porteur - orange au-delà de</t>
  </si>
  <si>
    <t xml:space="preserve">Rouge au-delà de 15 %.</t>
  </si>
  <si>
    <t xml:space="preserve">Cinq premiers porteurs - orange au-delà de</t>
  </si>
  <si>
    <t xml:space="preserve">Rouge au-delà de 40 %.</t>
  </si>
  <si>
    <t xml:space="preserve">INITIAL RISK PROFILE  ·  classeur du 06/10/2026, scores 0 à 100</t>
  </si>
  <si>
    <t xml:space="preserve">Score IRP du Fonds, caractéristiques propres</t>
  </si>
  <si>
    <t xml:space="preserve">/100</t>
  </si>
  <si>
    <t xml:space="preserve">Initial Risk Profile Openstone Infraworld, onglet Openstone_Infraworld</t>
  </si>
  <si>
    <t xml:space="preserve">ÉLEVÉ ; liquidité, crédit saturés ; contrepartie et levier faibles.</t>
  </si>
  <si>
    <t xml:space="preserve">Score IRP en transparence, pondéré par l'allocation cible</t>
  </si>
  <si>
    <t xml:space="preserve">Idem, bloc Transparence</t>
  </si>
  <si>
    <t xml:space="preserve">73,1 hors poche liquide.</t>
  </si>
  <si>
    <t xml:space="preserve">Score IRP MAPIF II</t>
  </si>
  <si>
    <t xml:space="preserve">Idem, onglet MAPIF_II</t>
  </si>
  <si>
    <t xml:space="preserve">MOYEN - fonds fermé sans risque de liquidité propre ; levier et opérationnel élevés.</t>
  </si>
  <si>
    <t xml:space="preserve">Score IRP MSIG 3 (USD, manche levered)</t>
  </si>
  <si>
    <t xml:space="preserve">Idem, onglet MSIG_3</t>
  </si>
  <si>
    <t xml:space="preserve">ÉLEVÉ - crédit et levier saturés ; fonds non lancé à la date du PPM.</t>
  </si>
  <si>
    <t xml:space="preserve">Score IRP PG Next Generation Infrastructure</t>
  </si>
  <si>
    <t xml:space="preserve">Idem, onglet PG_NGI</t>
  </si>
  <si>
    <t xml:space="preserve">ÉLEVÉ - liquidité, opérationnel, levier saturés ; seul fonds cible en activité.</t>
  </si>
  <si>
    <t xml:space="preserve">Score IRP Ares Global Infrastructure ELTIF</t>
  </si>
  <si>
    <t xml:space="preserve">Idem, onglet Ares_AGI</t>
  </si>
  <si>
    <t xml:space="preserve">ÉLEVÉ - blind pool en montée en charge, levier AIFM 400 % / 500 %.</t>
  </si>
  <si>
    <t xml:space="preserve">Indicateur synthétique de risque (DIC PRIIPs)</t>
  </si>
  <si>
    <t xml:space="preserve">/7</t>
  </si>
  <si>
    <t xml:space="preserve">DIC du 29/09/2026, parts A1 à B3 - classe 4, relèvement prudentiel d'une classe</t>
  </si>
  <si>
    <t xml:space="preserve">Le prospectus du 30/09 et la synthèse laissent le SRI à compléter (X/7).</t>
  </si>
  <si>
    <t xml:space="preserve">Période de détention recommandée</t>
  </si>
  <si>
    <t xml:space="preserve">ans</t>
  </si>
  <si>
    <t xml:space="preserve">Prospectus art. 4.2 (supérieure à 10 ans) ; DIC du 29/09 (10 ans)</t>
  </si>
  <si>
    <t xml:space="preserve">La synthèse Openstone affiche 8 ans : à aligner (registre, n° 10).</t>
  </si>
  <si>
    <t xml:space="preserve">Fiabilité : Élevée = texte contractuel ou classeur validé ; Moyenne = prévision, hypothèse interne ou document commercial. Les montants en euros sont des cibles : le Fonds n'a ni valeur liquidative ni porteur à la date d'arrêté.</t>
  </si>
  <si>
    <t xml:space="preserve">HYPOTHÈSES DU MOTEUR DE STRESS TESTS  ·  onglet 3b, reprises de la note de liquidité § 6 et du classeur du 24/09/2026</t>
  </si>
  <si>
    <t xml:space="preserve">Date de départ de la projection</t>
  </si>
  <si>
    <t xml:space="preserve">Fin du blocage des premières souscriptions (hypothèse de constitution fin 2026)</t>
  </si>
  <si>
    <t xml:space="preserve">Toutes les parts sont supposées rachetables dès le départ : prudent.</t>
  </si>
  <si>
    <t xml:space="preserve">Non-appelé de départ (régime normal)</t>
  </si>
  <si>
    <t xml:space="preserve">Note de liquidité § 6 et § 7 : non-appelé ramené à 15 % de l'actif net à la fin du blocage</t>
  </si>
  <si>
    <t xml:space="preserve">Soit un sur-engagement de 115 % au départ.</t>
  </si>
  <si>
    <t xml:space="preserve">Part de MAPIF II dans le non-appelé</t>
  </si>
  <si>
    <t xml:space="preserve">%</t>
  </si>
  <si>
    <t xml:space="preserve">Hypothèse (classeur du 24/09)</t>
  </si>
  <si>
    <t xml:space="preserve">Appels en régime normal, part du non-appelé initial par trimestre</t>
  </si>
  <si>
    <t xml:space="preserve">% / trim.</t>
  </si>
  <si>
    <t xml:space="preserve">Tirage sur trois ans</t>
  </si>
  <si>
    <t xml:space="preserve">Capacité de rachat des fonds evergreen, part de la ligne par trimestre</t>
  </si>
  <si>
    <t xml:space="preserve">Supplément 2 PG NGI ; annexe 7 Ares</t>
  </si>
  <si>
    <t xml:space="preserve">Gate de 5 % par trimestre chez chaque fonds cible.</t>
  </si>
  <si>
    <t xml:space="preserve">Décote de cession secondaire</t>
  </si>
  <si>
    <t xml:space="preserve">Hypothèse</t>
  </si>
  <si>
    <t xml:space="preserve">Faible</t>
  </si>
  <si>
    <t xml:space="preserve">Optimiste pour MAPIF II (accord du GP), sans objet pour MSIG 3 (run-off). Sensibilité à 25 % dans la note.</t>
  </si>
  <si>
    <t xml:space="preserve">Poche minimale après exécution au-delà du plafond</t>
  </si>
  <si>
    <t xml:space="preserve">Seuil de réinvestissement de la trésorerie dans les fonds evergreen</t>
  </si>
  <si>
    <t xml:space="preserve">Rendement de la trésorerie</t>
  </si>
  <si>
    <t xml:space="preserve">par an</t>
  </si>
  <si>
    <t xml:space="preserve">Classeur DIC</t>
  </si>
  <si>
    <t xml:space="preserve">Taux d'emprunt</t>
  </si>
  <si>
    <t xml:space="preserve">Sans objet : aucun emprunt</t>
  </si>
  <si>
    <t xml:space="preserve">Frais du Fonds, toutes parts</t>
  </si>
  <si>
    <t xml:space="preserve">% AN / an</t>
  </si>
  <si>
    <t xml:space="preserve">Prospectus art. 27, moyenne des parts, frais des fonds cibles exclus (dans les rendements nets)</t>
  </si>
  <si>
    <t xml:space="preserve">Rachats demandés en régime normal, par date</t>
  </si>
  <si>
    <t xml:space="preserve">Aucun historique : taux postulé.</t>
  </si>
  <si>
    <t xml:space="preserve">Collecte en régime normal, par trimestre</t>
  </si>
  <si>
    <t xml:space="preserve">Prévision du Conseiller, à confirmer</t>
  </si>
  <si>
    <t xml:space="preserve">Nulle dans tous les scénarios de crise.</t>
  </si>
  <si>
    <t xml:space="preserve">Acompte cible des parts de distribution</t>
  </si>
  <si>
    <t xml:space="preserve">Synthèse : 4 à 6 % ; DIC : 5 %</t>
  </si>
  <si>
    <t xml:space="preserve">Part des parts de distribution dans l'actif net</t>
  </si>
  <si>
    <t xml:space="preserve">Acomptes suspendus en cas de file, de poche sous le plancher ou de suspension (1 = oui)</t>
  </si>
  <si>
    <t xml:space="preserve">1/0</t>
  </si>
  <si>
    <t xml:space="preserve">Note de liquidité § 7 ; prospectus art. 14 (examen discrétionnaire)</t>
  </si>
  <si>
    <t xml:space="preserve">Déduction de sortie Ares (parts détenues moins de 24 mois)</t>
  </si>
  <si>
    <t xml:space="preserve">Annexe 7 : Early Redemption Deduction</t>
  </si>
  <si>
    <t xml:space="preserve">Trimestres de projection concernés par la déduction Ares</t>
  </si>
  <si>
    <t xml:space="preserve">trim.</t>
  </si>
  <si>
    <t xml:space="preserve">Hypothèse : à caler sur les dates de souscription Ares</t>
  </si>
  <si>
    <t xml:space="preserve">MSIG 3 détenu en dollars (1 = oui)</t>
  </si>
  <si>
    <t xml:space="preserve">Hypothèse : fonds EUR retenu ; le PPM lu est celui du fonds USD</t>
  </si>
  <si>
    <t xml:space="preserve">Si 1, l'exposition dollar monte à 51 % hors PG NGI.</t>
  </si>
  <si>
    <t xml:space="preserve">Part des cinq premiers porteurs</t>
  </si>
  <si>
    <t xml:space="preserve">Seuil orange des indicateurs</t>
  </si>
  <si>
    <t xml:space="preserve">Aucun registre : hypothèse de structure du passif.</t>
  </si>
  <si>
    <t xml:space="preserve">Choc de valorisation retenu, capital infrastructure</t>
  </si>
  <si>
    <t xml:space="preserve">Note de liquidité § 6 ; indices Preqin corrigés du lissage</t>
  </si>
  <si>
    <t xml:space="preserve">Supérieur au choc à 99 % à un an des indices désamorcés (7,8 à 9,9 %).</t>
  </si>
  <si>
    <t xml:space="preserve">Choc de valorisation retenu, dette infrastructure</t>
  </si>
  <si>
    <t xml:space="preserve">Note de liquidité § 6</t>
  </si>
  <si>
    <t xml:space="preserve">Variation du dollar dans les scénarios de change</t>
  </si>
  <si>
    <t xml:space="preserve">Signe selon le scénario.</t>
  </si>
  <si>
    <t xml:space="preserve">LIGNES DU PORTEFEUILLE  ·  rendement net annuel, distribution annuelle, part en capital (classeur DIC et documents des fonds cibles)</t>
  </si>
  <si>
    <t xml:space="preserve">MAPIF II - rendement net annuel</t>
  </si>
  <si>
    <t xml:space="preserve">Classeur DIC ; TRI net cible 12 à 15 % avant frais du Fonds</t>
  </si>
  <si>
    <t xml:space="preserve">MAPIF II - distribution annuelle</t>
  </si>
  <si>
    <t xml:space="preserve">Hypothèse (secondaires matures)</t>
  </si>
  <si>
    <t xml:space="preserve">MAPIF II - part en capital</t>
  </si>
  <si>
    <t xml:space="preserve">Equity</t>
  </si>
  <si>
    <t xml:space="preserve">MSIG 3 - rendement net annuel</t>
  </si>
  <si>
    <t xml:space="preserve">Classeur DIC ; TRI net cible 8 à 12 %</t>
  </si>
  <si>
    <t xml:space="preserve">MSIG 3 - distribution annuelle</t>
  </si>
  <si>
    <t xml:space="preserve">PPM : revenu distribué trimestriellement</t>
  </si>
  <si>
    <t xml:space="preserve">MSIG 3 - part en capital</t>
  </si>
  <si>
    <t xml:space="preserve">Dette</t>
  </si>
  <si>
    <t xml:space="preserve">PG NGI - rendement net annuel</t>
  </si>
  <si>
    <t xml:space="preserve">PG NGI - distribution annuelle</t>
  </si>
  <si>
    <t xml:space="preserve">Imputée sur le gate du fonds cible.</t>
  </si>
  <si>
    <t xml:space="preserve">PG NGI - part en capital</t>
  </si>
  <si>
    <t xml:space="preserve">Ares AGI - rendement net annuel</t>
  </si>
  <si>
    <t xml:space="preserve">Ares AGI - distribution annuelle</t>
  </si>
  <si>
    <t xml:space="preserve">Fiche : distributions mensuelles attendues</t>
  </si>
  <si>
    <t xml:space="preserve">Ares AGI - part en capital</t>
  </si>
  <si>
    <t xml:space="preserve">Mix equity et dette</t>
  </si>
  <si>
    <t xml:space="preserve">MAPIF II - poids de départ (cible moins non-appelé)</t>
  </si>
  <si>
    <t xml:space="preserve">La part non encore appelée est portée par les fonds evergreen en attendant.</t>
  </si>
  <si>
    <t xml:space="preserve">MSIG 3 - poids de départ</t>
  </si>
  <si>
    <t xml:space="preserve">PG NGI - poids de départ</t>
  </si>
  <si>
    <t xml:space="preserve">Ares AGI - poids de départ</t>
  </si>
  <si>
    <t xml:space="preserve">Actifs liquides - poids de départ</t>
  </si>
  <si>
    <t xml:space="preserve">Total des poids de départ</t>
  </si>
  <si>
    <t xml:space="preserve">Doit boucler à 100 %.</t>
  </si>
  <si>
    <t xml:space="preserve">RÉFÉRENTIEL DES LIMITES - OPENSTONE INFRAWORLD, COMPARTIMENT I</t>
  </si>
  <si>
    <t xml:space="preserve">Limites du prospectus (projet du 30/09/2026), seuils internes de la note de liquidité et points de contrôle. Statut à la date d'arrêté : le Fonds n'est pas constitué.</t>
  </si>
  <si>
    <t xml:space="preserve">Limite</t>
  </si>
  <si>
    <t xml:space="preserve">Type</t>
  </si>
  <si>
    <t xml:space="preserve">Alerte</t>
  </si>
  <si>
    <t xml:space="preserve">Base et contrôle</t>
  </si>
  <si>
    <t xml:space="preserve">Source et commentaire</t>
  </si>
  <si>
    <t xml:space="preserve">A. LIMITES DU PROSPECTUS - opposables</t>
  </si>
  <si>
    <t xml:space="preserve">IR-01</t>
  </si>
  <si>
    <t xml:space="preserve">Fonds Cibles principalement d'infrastructure</t>
  </si>
  <si>
    <t xml:space="preserve">Qualitative</t>
  </si>
  <si>
    <t xml:space="preserve">Non testable</t>
  </si>
  <si>
    <t xml:space="preserve">Chaque investissement</t>
  </si>
  <si>
    <t xml:space="preserve">Art. 19 et 21.2 ; « principalement », sans seuil chiffré.</t>
  </si>
  <si>
    <t xml:space="preserve">IR-03</t>
  </si>
  <si>
    <t xml:space="preserve">Zone : Europe privilégiée, Amérique du Nord et Asie admises</t>
  </si>
  <si>
    <t xml:space="preserve">Art. 21.2 ; aucun seuil. Allocation cible : environ 80 % Amérique du Nord et Europe par transparence.</t>
  </si>
  <si>
    <t xml:space="preserve">IR-04</t>
  </si>
  <si>
    <t xml:space="preserve">Dure</t>
  </si>
  <si>
    <t xml:space="preserve">Actif net, chaque VL</t>
  </si>
  <si>
    <t xml:space="preserve">Art. 22 ; traitement d'un dépassement passif non précisé.</t>
  </si>
  <si>
    <t xml:space="preserve">IR-06</t>
  </si>
  <si>
    <t xml:space="preserve">Parts de fonds (OPCVM, FIA, fonds étrangers)</t>
  </si>
  <si>
    <t xml:space="preserve">Art. 22 ; sous le plafond de sur-engagement.</t>
  </si>
  <si>
    <t xml:space="preserve">IR-07</t>
  </si>
  <si>
    <t xml:space="preserve">Instruments dérivés</t>
  </si>
  <si>
    <t xml:space="preserve">Pré-négociation</t>
  </si>
  <si>
    <t xml:space="preserve">Art. 22 : néant. Exclut toute couverture de change ou de taux.</t>
  </si>
  <si>
    <t xml:space="preserve">IR-08</t>
  </si>
  <si>
    <t xml:space="preserve">Actifs immobiliers, acquisitions et cessions temporaires de titres</t>
  </si>
  <si>
    <t xml:space="preserve">Art. 22 : néant.</t>
  </si>
  <si>
    <t xml:space="preserve">IR-10</t>
  </si>
  <si>
    <t xml:space="preserve">Fonds gérés par la Société de Gestion</t>
  </si>
  <si>
    <t xml:space="preserve">Procédure</t>
  </si>
  <si>
    <t xml:space="preserve">Art. 21.2 ; politique de conflits d'intérêts à appliquer avant investissement.</t>
  </si>
  <si>
    <t xml:space="preserve">Sur-engagement : engagements appelés et non appelés / actif net</t>
  </si>
  <si>
    <t xml:space="preserve">Avant chaque engagement et chaque VL</t>
  </si>
  <si>
    <t xml:space="preserve">Art. 23 ; dépassement passif toléré sans nouvel engagement.</t>
  </si>
  <si>
    <t xml:space="preserve">Actif, chaque VL</t>
  </si>
  <si>
    <t xml:space="preserve">Art. 21.8 ; écrit comme obligation permanente, assiette en actif (registre n° 2 et 8).</t>
  </si>
  <si>
    <t xml:space="preserve">RL-03</t>
  </si>
  <si>
    <t xml:space="preserve">Engagements hors bilan (garanties, nantissements)</t>
  </si>
  <si>
    <t xml:space="preserve">Actif net</t>
  </si>
  <si>
    <t xml:space="preserve">Art. 3.1.1 ; cumul avec RL-01 non précisé (registre n° 6).</t>
  </si>
  <si>
    <t xml:space="preserve">RL-04</t>
  </si>
  <si>
    <t xml:space="preserve">Art. 22 : néant ; art. 3.1.1, 14.2 et 25.2.6 à nettoyer (registre n° 1).</t>
  </si>
  <si>
    <t xml:space="preserve">RL-05</t>
  </si>
  <si>
    <t xml:space="preserve">Détention par une personne physique</t>
  </si>
  <si>
    <t xml:space="preserve">Parts émises, souscription et transfert</t>
  </si>
  <si>
    <t xml:space="preserve">Art. 5.1 et 8.1.</t>
  </si>
  <si>
    <t xml:space="preserve">RL-06</t>
  </si>
  <si>
    <t xml:space="preserve">Plafonnement des Rachats par Date de Centralisation</t>
  </si>
  <si>
    <t xml:space="preserve">Actif net de la VL d'exécution</t>
  </si>
  <si>
    <t xml:space="preserve">Art. 7.2.6 ; nette des souscriptions ; 4 reports au plus.</t>
  </si>
  <si>
    <t xml:space="preserve">RL-07</t>
  </si>
  <si>
    <t xml:space="preserve">Contreparties : établissements OCDE notés au moins BBB+</t>
  </si>
  <si>
    <t xml:space="preserve">À la mise en place</t>
  </si>
  <si>
    <t xml:space="preserve">Art. 15 ; revue spécifique sous A-.</t>
  </si>
  <si>
    <t xml:space="preserve">B. SEUILS INTERNES - note de liquidité du 24/09/2026, § 5, à valider en Comité des risques</t>
  </si>
  <si>
    <t xml:space="preserve">KRI-01</t>
  </si>
  <si>
    <t xml:space="preserve">Demande nette de rachat par date</t>
  </si>
  <si>
    <t xml:space="preserve">Interne</t>
  </si>
  <si>
    <t xml:space="preserve">À valider</t>
  </si>
  <si>
    <t xml:space="preserve">Rouge au-delà de 10 % ; orange de 5 à 10 %.</t>
  </si>
  <si>
    <t xml:space="preserve">KRI-02</t>
  </si>
  <si>
    <t xml:space="preserve">File d'attente de rachats reportés</t>
  </si>
  <si>
    <t xml:space="preserve">Rouge au-delà de 25 % ; orange dès la première file.</t>
  </si>
  <si>
    <t xml:space="preserve">KRI-03</t>
  </si>
  <si>
    <t xml:space="preserve">Dates plafonnées consécutives</t>
  </si>
  <si>
    <t xml:space="preserve">Au-delà de 4 : suspension examinée.</t>
  </si>
  <si>
    <t xml:space="preserve">KRI-04</t>
  </si>
  <si>
    <t xml:space="preserve">Couverture de liquidité à douze mois</t>
  </si>
  <si>
    <t xml:space="preserve">Ressources 12 mois / besoins 12 mois</t>
  </si>
  <si>
    <t xml:space="preserve">Rouge en deçà de 1,0 ; orange de 1,0 à 1,5.</t>
  </si>
  <si>
    <t xml:space="preserve">Levier, méthode de l'engagement</t>
  </si>
  <si>
    <t xml:space="preserve">Niveau maximal à réintroduire au prospectus.</t>
  </si>
  <si>
    <t xml:space="preserve">KRI-06</t>
  </si>
  <si>
    <t xml:space="preserve">Premier porteur</t>
  </si>
  <si>
    <t xml:space="preserve">KRI-07</t>
  </si>
  <si>
    <t xml:space="preserve">Cinq premiers porteurs</t>
  </si>
  <si>
    <t xml:space="preserve">Concentration par gérant de fonds cibles</t>
  </si>
  <si>
    <t xml:space="preserve">Aucune limite au prospectus ; 51 % chez Macquarie à l'allocation cible. Proposition : 40 %, alerte 35 %.</t>
  </si>
  <si>
    <t xml:space="preserve">Concentration par fonds cible</t>
  </si>
  <si>
    <t xml:space="preserve">34 % sur MAPIF II à l'allocation cible. Proposition : 35 %, alerte 30 %.</t>
  </si>
  <si>
    <t xml:space="preserve">Exposition au dollar non couverte</t>
  </si>
  <si>
    <t xml:space="preserve">34 % à 68 % selon les véhicules retenus ; aucune couverture possible (IR-07).</t>
  </si>
  <si>
    <t xml:space="preserve">KRI-11</t>
  </si>
  <si>
    <t xml:space="preserve">Péremption des VL reçues des fonds cibles</t>
  </si>
  <si>
    <t xml:space="preserve">Jours depuis la VL du fonds cible</t>
  </si>
  <si>
    <t xml:space="preserve">VL trimestrielles et décalées pour MAPIF II et MSIG 3 ; mensuelles à 15-21 j.o. pour Ares et PG NGI.</t>
  </si>
  <si>
    <t xml:space="preserve">C. SYNTHÈSE</t>
  </si>
  <si>
    <t xml:space="preserve">Statuts : Paramétré (limite inscrite au dispositif de contrôle, sans position à tester) ; Non testable (nécessite une valeur liquidative ou un registre) ; À valider (seuil interne proposé par la Fonction Risques, non encore arrêté par le Comité) ; Seuil à arrêter (aucune valeur proposée dans les documents) ; Dépassée (franchissement constaté).</t>
  </si>
  <si>
    <t xml:space="preserve">PROFIL DE LIQUIDITÉ À L'ALLOCATION CIBLE - actif, passif, couverture</t>
  </si>
  <si>
    <t xml:space="preserve">Délais de liquidation par ligne (classeur de stress tests du 24/09/2026), passif recalculé sur le préavis du prospectus du 30/09/2026 (91 jours). Format Annexe IV.</t>
  </si>
  <si>
    <t xml:space="preserve">Poids cible</t>
  </si>
  <si>
    <t xml:space="preserve">Délai normal (j)</t>
  </si>
  <si>
    <t xml:space="preserve">Délai stress (j)</t>
  </si>
  <si>
    <t xml:space="preserve">Rachat au fonds cible</t>
  </si>
  <si>
    <t xml:space="preserve">Source et hypothèse</t>
  </si>
  <si>
    <t xml:space="preserve">MAPIF II - secondaires, fermé</t>
  </si>
  <si>
    <t xml:space="preserve">PPM avril 2026 : aucun retrait ; durée 10 ans + 2 + 2. Sortie par cession agréée par le GP.</t>
  </si>
  <si>
    <t xml:space="preserve">MSIG 3 - dette, fermé hybride</t>
  </si>
  <si>
    <t xml:space="preserve">USD / EUR</t>
  </si>
  <si>
    <t xml:space="preserve">Annuel, run-off</t>
  </si>
  <si>
    <t xml:space="preserve">PPM février 2026 : lock-up 3 ans puis retrait au 31/03 payé par écoulement, sans date.</t>
  </si>
  <si>
    <t xml:space="preserve">PG NGI - evergreen</t>
  </si>
  <si>
    <t xml:space="preserve">5 % / trimestre</t>
  </si>
  <si>
    <t xml:space="preserve">Supplément 2 : rachat mensuel, préavis 45 j.o., gate 5 % distributions comprises ; Special Dealing à 180 j.</t>
  </si>
  <si>
    <t xml:space="preserve">Ares AGI ELTIF - evergreen</t>
  </si>
  <si>
    <t xml:space="preserve">Annexe 7 : rachat trimestriel, cut-off 1er j.o. du dernier mois, gate 5 % net, limite ELTIF.</t>
  </si>
  <si>
    <t xml:space="preserve">Quotidien</t>
  </si>
  <si>
    <t xml:space="preserve">Art. 21.8 : monétaire, dépôts, OPC obligataires à VL quotidienne.</t>
  </si>
  <si>
    <t xml:space="preserve">Délai moyen pondéré de liquidation de l'actif (TTL actif)</t>
  </si>
  <si>
    <t xml:space="preserve">jours (stress)</t>
  </si>
  <si>
    <t xml:space="preserve">PASSIF - délai de sortie d'un porteur après la Période de Blocage</t>
  </si>
  <si>
    <t xml:space="preserve">Jours</t>
  </si>
  <si>
    <t xml:space="preserve">Règlement après la date de VL (35 j.o.)</t>
  </si>
  <si>
    <t xml:space="preserve">Art. 7.2.5 : publication sous 30 j.o. puis paiement sous 5 j.o.</t>
  </si>
  <si>
    <t xml:space="preserve">Délai minimal de sortie (demande déposée à la centralisation)</t>
  </si>
  <si>
    <t xml:space="preserve">Centralisation le 31/03 ou le 30/09 pour la VL semestrielle suivante.</t>
  </si>
  <si>
    <t xml:space="preserve">Délai moyen de sortie</t>
  </si>
  <si>
    <t xml:space="preserve">Attente moyenne d'une date de centralisation : un trimestre.</t>
  </si>
  <si>
    <t xml:space="preserve">Délai maximal de sortie</t>
  </si>
  <si>
    <t xml:space="preserve">Demande déposée juste après une centralisation.</t>
  </si>
  <si>
    <t xml:space="preserve">Délai moyen avec préavis prolongé (180 jours)</t>
  </si>
  <si>
    <t xml:space="preserve">Art. 7.2.7 : outil de gestion de la liquidité, 12 mois au plus.</t>
  </si>
  <si>
    <t xml:space="preserve">Écart actif - passif (délais moyens)</t>
  </si>
  <si>
    <t xml:space="preserve">Positif : l'actif se liquide bien après la sortie des porteurs ; le plafonnement absorbe l'écart.</t>
  </si>
  <si>
    <t xml:space="preserve">ACTIF LIQUIDABLE PAR TRANCHE - format Annexe IV, à l'allocation cible</t>
  </si>
  <si>
    <t xml:space="preserve">Néant : la trésorerie est placée en monétaire et dépôts à J+2.</t>
  </si>
  <si>
    <t xml:space="preserve">Actifs liquides (art. 21.8).</t>
  </si>
  <si>
    <t xml:space="preserve">Néant.</t>
  </si>
  <si>
    <t xml:space="preserve">Ares AGI : rachat trimestriel sous gate.</t>
  </si>
  <si>
    <t xml:space="preserve">PG NGI : préavis de 45 j.o. puis règlement.</t>
  </si>
  <si>
    <t xml:space="preserve">MAPIF II et MSIG 3 : aucune fenêtre avant échéance.</t>
  </si>
  <si>
    <t xml:space="preserve">COUVERTURE DES RACHATS - ratios structurels à l'allocation cible</t>
  </si>
  <si>
    <t xml:space="preserve">Plafond de rachat annuel (deux dates)</t>
  </si>
  <si>
    <t xml:space="preserve">Deux Dates de Centralisation par an à 5 % chacune.</t>
  </si>
  <si>
    <t xml:space="preserve">La poche cible couvre trois dates de plafond sans autre ressource.</t>
  </si>
  <si>
    <t xml:space="preserve">Une année de plafond servie sur la seule poche.</t>
  </si>
  <si>
    <t xml:space="preserve">Capacité de rachat semestrielle des fonds evergreen</t>
  </si>
  <si>
    <t xml:space="preserve">Deux trimestres à 5 % de chaque ligne evergreen, hors gate chez les fonds cibles.</t>
  </si>
  <si>
    <t xml:space="preserve">Capacité evergreen / plafond par date</t>
  </si>
  <si>
    <t xml:space="preserve">Les deux lignes evergreen ne financent pas seules une date de plafond.</t>
  </si>
  <si>
    <t xml:space="preserve">Ressources à douze mois / plafond annuel (moteur, scénario de base, départ)</t>
  </si>
  <si>
    <t xml:space="preserve">Poche, distributions et capacités evergreen des quatre trimestres suivants, rapportées à deux dates de plafond.</t>
  </si>
  <si>
    <t xml:space="preserve">Couverture de liquidité à douze mois au départ (nette des appels, frais et acomptes)</t>
  </si>
  <si>
    <t xml:space="preserve">Moteur de l'onglet 3b, scénario de base ; seuil vert 1,5 (KRI-04).</t>
  </si>
  <si>
    <t xml:space="preserve">Convention TTL : délai complet pour disposer du cash, préavis et règlement compris ; une position sans fenêtre garantie est classée au-delà de 365 jours. Les délais des fonds cibles reprennent la lecture des documents contractuels (onglet 4) ; le passif est recalculé sur le préavis contractuel du projet du 30/09/2026 (91 jours), là où la note de liquidité retenait 180 jours.</t>
  </si>
  <si>
    <t xml:space="preserve">STRESS TESTS DE LIQUIDITÉ - synthèse des scénarios calculés dans l'onglet 3b et verdicts</t>
  </si>
  <si>
    <t xml:space="preserve">Projection trimestrielle sur 36 mois à partir de la date de départ, actif net cible, allocation cible, plafond et durée du plafonnement du prospectus du 30/09/2026. Verdicts sur les seuils de la note de liquidité (onglet 0).</t>
  </si>
  <si>
    <t xml:space="preserve">Dates plaf.</t>
  </si>
  <si>
    <t xml:space="preserve">Résorption (mois)</t>
  </si>
  <si>
    <t xml:space="preserve">Couv. 12 m min</t>
  </si>
  <si>
    <t xml:space="preserve">Sur-eng. max</t>
  </si>
  <si>
    <t xml:space="preserve">Change max</t>
  </si>
  <si>
    <t xml:space="preserve">Cession (M€)</t>
  </si>
  <si>
    <t xml:space="preserve">Scénarios verts</t>
  </si>
  <si>
    <t xml:space="preserve">Scénarios orange</t>
  </si>
  <si>
    <t xml:space="preserve">Scénarios rouges</t>
  </si>
  <si>
    <t xml:space="preserve">Ressources à douze mois / plafond annuel, au départ (scénario de base)</t>
  </si>
  <si>
    <t xml:space="preserve">Couverture de liquidité à douze mois au départ, nette des appels, frais et acomptes</t>
  </si>
  <si>
    <t xml:space="preserve">Premier triple gel (crise combinée)</t>
  </si>
  <si>
    <t xml:space="preserve">Résorption « 99 » : file non résorbée à l'horizon de 36 mois. Scénarios de la note de liquidité § 6, calculés dans l'onglet 3b ; le scénario de concentration applique bien la sortie des cinq premiers porteurs (le classeur du 24/09/2026 laissait cette demande à zéro).</t>
  </si>
  <si>
    <t xml:space="preserve">TESTS INVERSÉS  ·  calculés dans l'onglet 3b</t>
  </si>
  <si>
    <t xml:space="preserve">Rachats persistants par date (% AN)</t>
  </si>
  <si>
    <t xml:space="preserve">Poche min (plafond appliqué)</t>
  </si>
  <si>
    <t xml:space="preserve">Cession sans plafond (M€)</t>
  </si>
  <si>
    <t xml:space="preserve">Décote (M€)</t>
  </si>
  <si>
    <t xml:space="preserve">Poche min (sans plafond)</t>
  </si>
  <si>
    <t xml:space="preserve">aide</t>
  </si>
  <si>
    <t xml:space="preserve">Demandes égales au plafond : servies sans plafonnement, elles érodent la poche sous 5 %.</t>
  </si>
  <si>
    <t xml:space="preserve">Point de rupture : premier taux conduisant à la suspension ou à des cessions</t>
  </si>
  <si>
    <t xml:space="preserve">Cessions secondaires sans plafonnement à ce taux (M€)</t>
  </si>
  <si>
    <t xml:space="preserve">Poche minimale avec des rachats égaux au plafond (5 %)</t>
  </si>
  <si>
    <t xml:space="preserve">Appels de fonds à douze mois (% AN)</t>
  </si>
  <si>
    <t xml:space="preserve">Non-appelé départ</t>
  </si>
  <si>
    <t xml:space="preserve">Point de rupture : premier niveau d'appels qui fait passer la poche sous 10 % de l'actif net</t>
  </si>
  <si>
    <t xml:space="preserve">Sortie d'un porteur unique (% AN)</t>
  </si>
  <si>
    <t xml:space="preserve">Sortie maximale d'un porteur unique sans suspension ni cession</t>
  </si>
  <si>
    <t xml:space="preserve">Hypothèses (onglet 0) : poche de 15 % au départ, non-appelé 15 % tiré sur trois ans, rachats evergreen à 5 % par trimestre, décote de cession 10 %, frais 2 % par an, acomptes 5 % sur 20 % de parts de distribution, toutes les parts rachetables dès le départ (prudent). Le préavis de 91 jours ne modifie pas les flux : il réduit à trois mois le délai d'information de la Société de Gestion avant chaque date.</t>
  </si>
  <si>
    <t xml:space="preserve">MOTEUR DE STRESS TESTS DE LIQUIDITÉ - projection trimestrielle sur 36 mois, un bloc par scénario</t>
  </si>
  <si>
    <t xml:space="preserve">Toutes les cellules sont des formules alimentées par l'onglet 0 (hypothèses) et la table des scénarios ci-dessous. Mécanique reprise du classeur du 24/09/2026, recalée sur le prospectus du 30/09/2026.</t>
  </si>
  <si>
    <t xml:space="preserve">Hypothèse par scénario</t>
  </si>
  <si>
    <t xml:space="preserve">Base : rachats 2 % par date, collecte 5 % par trimestre</t>
  </si>
  <si>
    <t xml:space="preserve">Adverse : rachats de 10 % sur deux dates</t>
  </si>
  <si>
    <t xml:space="preserve">Extrême : rachats de 15 % puis 20 %</t>
  </si>
  <si>
    <t xml:space="preserve">Concentration : sortie des cinq premiers porteurs</t>
  </si>
  <si>
    <t xml:space="preserve">Distributions des fonds cibles divisées par deux et retardées d'un an</t>
  </si>
  <si>
    <t xml:space="preserve">Appels de fonds accélérés, dollar + 15 %</t>
  </si>
  <si>
    <t xml:space="preserve">Valorisation - 20 % (capital), - 10 % (dette), dollar - 15 %</t>
  </si>
  <si>
    <t xml:space="preserve">Crise combinée : chocs de passif et d'actif simultanés</t>
  </si>
  <si>
    <t xml:space="preserve">Fonds evergreen au prorata</t>
  </si>
  <si>
    <t xml:space="preserve">Rachats persistants 5 % par date</t>
  </si>
  <si>
    <t xml:space="preserve">Rachats persistants 7.5 % par date</t>
  </si>
  <si>
    <t xml:space="preserve">Rachats persistants 10 % par date</t>
  </si>
  <si>
    <t xml:space="preserve">Rachats persistants 12.5 % par date</t>
  </si>
  <si>
    <t xml:space="preserve">Rachats persistants 15 % par date</t>
  </si>
  <si>
    <t xml:space="preserve">Sans plafonnement 5 % par date</t>
  </si>
  <si>
    <t xml:space="preserve">Sans plafonnement 7.5 % par date</t>
  </si>
  <si>
    <t xml:space="preserve">Sans plafonnement 10 % par date</t>
  </si>
  <si>
    <t xml:space="preserve">Sans plafonnement 12.5 % par date</t>
  </si>
  <si>
    <t xml:space="preserve">Sans plafonnement 15 % par date</t>
  </si>
  <si>
    <t xml:space="preserve">Appels à douze mois 7.5 % de l'actif net</t>
  </si>
  <si>
    <t xml:space="preserve">Appels à douze mois 12.5 % de l'actif net</t>
  </si>
  <si>
    <t xml:space="preserve">Appels à douze mois 17.5 % de l'actif net</t>
  </si>
  <si>
    <t xml:space="preserve">Appels à douze mois 22.5 % de l'actif net</t>
  </si>
  <si>
    <t xml:space="preserve">Appels à douze mois 45 % de l'actif net</t>
  </si>
  <si>
    <t xml:space="preserve">Porteur unique 10 % à une date</t>
  </si>
  <si>
    <t xml:space="preserve">Porteur unique 15 % à une date</t>
  </si>
  <si>
    <t xml:space="preserve">Porteur unique 20 % à une date</t>
  </si>
  <si>
    <t xml:space="preserve">Porteur unique 25 % à une date</t>
  </si>
  <si>
    <t xml:space="preserve">Rachats demandés, 1re date (% AN)</t>
  </si>
  <si>
    <t xml:space="preserve">Rachats demandés, 2e date (% AN)</t>
  </si>
  <si>
    <t xml:space="preserve">Rachats demandés, dates suivantes (% AN)</t>
  </si>
  <si>
    <t xml:space="preserve">Collecte (% AN par trimestre)</t>
  </si>
  <si>
    <t xml:space="preserve">Distributions des fonds cibles, coefficient</t>
  </si>
  <si>
    <t xml:space="preserve">Distributions : trimestres sans versement</t>
  </si>
  <si>
    <t xml:space="preserve">Non-appelé de départ (% AN)</t>
  </si>
  <si>
    <t xml:space="preserve">Part du non-appelé appelée sur les quatre premiers trimestres</t>
  </si>
  <si>
    <t xml:space="preserve">Variation du dollar</t>
  </si>
  <si>
    <t xml:space="preserve">Choc de valorisation, capital</t>
  </si>
  <si>
    <t xml:space="preserve">Choc de valorisation, dette</t>
  </si>
  <si>
    <t xml:space="preserve">Fonds evergreen : capacité T1 à T4</t>
  </si>
  <si>
    <t xml:space="preserve">PG NGI : capacité à partir de T5</t>
  </si>
  <si>
    <t xml:space="preserve">Ares : capacité à partir de T5</t>
  </si>
  <si>
    <t xml:space="preserve">Ligne de crédit (% AN de départ)</t>
  </si>
  <si>
    <t xml:space="preserve">Plafonnement appliqué (1/0)</t>
  </si>
  <si>
    <t xml:space="preserve">Exécution au-delà du plafond (1/0)</t>
  </si>
  <si>
    <t xml:space="preserve">Famille</t>
  </si>
  <si>
    <t xml:space="preserve">Passif</t>
  </si>
  <si>
    <t xml:space="preserve">Actif</t>
  </si>
  <si>
    <t xml:space="preserve">Combiné</t>
  </si>
  <si>
    <t xml:space="preserve">Inversé</t>
  </si>
  <si>
    <t xml:space="preserve">Porteur</t>
  </si>
  <si>
    <t xml:space="preserve">Régime de croisière.</t>
  </si>
  <si>
    <t xml:space="preserve">Deux dates de demandes doubles du plafond, collecte nulle.</t>
  </si>
  <si>
    <t xml:space="preserve">Sept fois le plafond sur deux dates.</t>
  </si>
  <si>
    <t xml:space="preserve">Les cinq premiers porteurs sortent à la première date ; les autres demandent 2 % par date. Le classeur du 24/09 laissait cette demande à zéro.</t>
  </si>
  <si>
    <t xml:space="preserve">Aucune distribution la première année, puis moitié.</t>
  </si>
  <si>
    <t xml:space="preserve">Moitié du non-appelé tirée la première année, renchérie par le dollar.</t>
  </si>
  <si>
    <t xml:space="preserve">Choc de valeur au premier trimestre.</t>
  </si>
  <si>
    <t xml:space="preserve">Rachats extrêmes, distributions divisées par deux et retardées, appels accélérés, fonds evergreen au prorata puis Ares fermé.</t>
  </si>
  <si>
    <t xml:space="preserve">PG NGI et Ares servent la moitié des demandes la première année ; Ares ne sert plus rien ensuite.</t>
  </si>
  <si>
    <t xml:space="preserve">Trimestre</t>
  </si>
  <si>
    <t xml:space="preserve">Date de rachat (30 juin, 31 décembre)</t>
  </si>
  <si>
    <t xml:space="preserve">N° de date de rachat</t>
  </si>
  <si>
    <t xml:space="preserve">Taux de rachat demandé (% AN)</t>
  </si>
  <si>
    <t xml:space="preserve">Actif net en début de trimestre</t>
  </si>
  <si>
    <t xml:space="preserve">Demandes de rachat nouvelles</t>
  </si>
  <si>
    <t xml:space="preserve">File reportée</t>
  </si>
  <si>
    <t xml:space="preserve">Demande totale</t>
  </si>
  <si>
    <t xml:space="preserve">Plafond (net des souscriptions)</t>
  </si>
  <si>
    <t xml:space="preserve">Exécution dans le plafond</t>
  </si>
  <si>
    <t xml:space="preserve">Marge pour exécuter au-delà du plafond</t>
  </si>
  <si>
    <t xml:space="preserve">Exécution au-delà du plafond</t>
  </si>
  <si>
    <t xml:space="preserve">Suspension des rachats (1 = oui)</t>
  </si>
  <si>
    <t xml:space="preserve">Rachats payés</t>
  </si>
  <si>
    <t xml:space="preserve">File après exécution</t>
  </si>
  <si>
    <t xml:space="preserve">Date plafonnée (1 = oui)</t>
  </si>
  <si>
    <t xml:space="preserve">MAPIF II - valeur</t>
  </si>
  <si>
    <t xml:space="preserve">MSIG 3 - valeur</t>
  </si>
  <si>
    <t xml:space="preserve">PG NGI - valeur</t>
  </si>
  <si>
    <t xml:space="preserve">Ares AGI - valeur</t>
  </si>
  <si>
    <t xml:space="preserve">MAPIF II - distributions</t>
  </si>
  <si>
    <t xml:space="preserve">MSIG 3 - distributions</t>
  </si>
  <si>
    <t xml:space="preserve">PG NGI - distributions</t>
  </si>
  <si>
    <t xml:space="preserve">Ares AGI - distributions</t>
  </si>
  <si>
    <t xml:space="preserve">MAPIF II - non-appelé</t>
  </si>
  <si>
    <t xml:space="preserve">MSIG 3 - non-appelé</t>
  </si>
  <si>
    <t xml:space="preserve">MAPIF II - appels</t>
  </si>
  <si>
    <t xml:space="preserve">MSIG 3 - appels</t>
  </si>
  <si>
    <t xml:space="preserve">PG NGI - capacité de rachat</t>
  </si>
  <si>
    <t xml:space="preserve">Ares AGI - capacité de rachat, nette de la déduction</t>
  </si>
  <si>
    <t xml:space="preserve">Trésorerie en début de trimestre</t>
  </si>
  <si>
    <t xml:space="preserve">Produits de trésorerie</t>
  </si>
  <si>
    <t xml:space="preserve">Distributions reçues</t>
  </si>
  <si>
    <t xml:space="preserve">Acomptes aux parts de distribution</t>
  </si>
  <si>
    <t xml:space="preserve">Appels de fonds</t>
  </si>
  <si>
    <t xml:space="preserve">Frais</t>
  </si>
  <si>
    <t xml:space="preserve">Intérêts d'emprunt</t>
  </si>
  <si>
    <t xml:space="preserve">Trésorerie avant rachats</t>
  </si>
  <si>
    <t xml:space="preserve">Rachats auprès des fonds evergreen</t>
  </si>
  <si>
    <t xml:space="preserve">Trésorerie après rachats</t>
  </si>
  <si>
    <t xml:space="preserve">Emprunt : tirage (+) ou remboursement (-)</t>
  </si>
  <si>
    <t xml:space="preserve">Cession sur le marché secondaire (valeur cédée)</t>
  </si>
  <si>
    <t xml:space="preserve">Décote de cession</t>
  </si>
  <si>
    <t xml:space="preserve">Réinvestissement dans les fonds evergreen</t>
  </si>
  <si>
    <t xml:space="preserve">Trésorerie en fin de trimestre</t>
  </si>
  <si>
    <t xml:space="preserve">Emprunt en fin de trimestre</t>
  </si>
  <si>
    <t xml:space="preserve">Actif net en fin de trimestre</t>
  </si>
  <si>
    <t xml:space="preserve">Poche d'actifs liquides (% actif)</t>
  </si>
  <si>
    <t xml:space="preserve">File d'attente (% AN)</t>
  </si>
  <si>
    <t xml:space="preserve">Couverture de liquidité à 12 mois</t>
  </si>
  <si>
    <t xml:space="preserve">Sur-engagement (% AN)</t>
  </si>
  <si>
    <t xml:space="preserve">Exposition de change non couverte (% AN)</t>
  </si>
  <si>
    <t xml:space="preserve">Triple gel (collecte, distributions, fonds evergreen)</t>
  </si>
  <si>
    <t xml:space="preserve">aide : n° de la première date plafonnée</t>
  </si>
  <si>
    <t xml:space="preserve">aide : n° de la date de résorption</t>
  </si>
  <si>
    <t xml:space="preserve">aide : date de suspension</t>
  </si>
  <si>
    <t xml:space="preserve">aide : date du premier triple gel</t>
  </si>
  <si>
    <t xml:space="preserve">FONDS CIBLES - conditions contractuelles et profil de risque initial</t>
  </si>
  <si>
    <t xml:space="preserve">Lecture des prospectus et PPM (classeur « Openstone underlying funds risk and liquidity terms », 3 septembre 2026) et Initial Risk Profile du 06/10/2026.</t>
  </si>
  <si>
    <t xml:space="preserve">Dénomination et forme</t>
  </si>
  <si>
    <t xml:space="preserve">Macquarie Alliance Partners Infrastructure Fund II SCSp, Luxembourg, non réglementée, FIA fermé</t>
  </si>
  <si>
    <t xml:space="preserve">Macquarie Specialized Infrastructure Global 3 (USD) : LP Delaware et SCSp luxembourgeoises, non réglementées</t>
  </si>
  <si>
    <t xml:space="preserve">Partners Group Evergreen SICAV, compartiment Next Generation Infrastructure, SICAV Partie II</t>
  </si>
  <si>
    <t xml:space="preserve">Ares Global Infrastructure ELTIF, compartiment d'AEFS SICAV, ELTIF agréé CSSF</t>
  </si>
  <si>
    <t xml:space="preserve">Secondaires d'infrastructure : LP-led 55-75 %, GP-led 25-45 %, directs et primaires ≤ 5 %</t>
  </si>
  <si>
    <t xml:space="preserve">Dette d'infrastructure senior et subordonnée, originée ou acquise, OCDE à 80 % au moins</t>
  </si>
  <si>
    <t xml:space="preserve">Infrastructure « next generation » : directs 50-90 %, fonds 10-50 %, liquidités 0-20 %</t>
  </si>
  <si>
    <t xml:space="preserve">Infrastructure core, fonds propres et dette, ≥ 70 % d'actifs éligibles ELTIF, ≤ 30 % liquides</t>
  </si>
  <si>
    <t xml:space="preserve">Statut à la date d'arrêté</t>
  </si>
  <si>
    <t xml:space="preserve">Non opérationnel, blind pool (PPM avril 2026)</t>
  </si>
  <si>
    <t xml:space="preserve">Aucun actif, LPA non signés (PPM février 2026)</t>
  </si>
  <si>
    <t xml:space="preserve">En activité depuis 2024, seul fonds cible avec portefeuille</t>
  </si>
  <si>
    <t xml:space="preserve">Période de souscription initiale, blind pool, fin attendue le 01/11/2026</t>
  </si>
  <si>
    <t xml:space="preserve">Devise de référence</t>
  </si>
  <si>
    <t xml:space="preserve">USD, catégorie unique</t>
  </si>
  <si>
    <t xml:space="preserve">USD ; MSIG 3 (EUR) est un fonds distinct</t>
  </si>
  <si>
    <t xml:space="preserve">USD ; classes « H » couvertes sans obligation</t>
  </si>
  <si>
    <t xml:space="preserve">Allocation cible</t>
  </si>
  <si>
    <t xml:space="preserve">34 %</t>
  </si>
  <si>
    <t xml:space="preserve">17 %</t>
  </si>
  <si>
    <t xml:space="preserve">Closings sur 12 mois (+ 6), appels à 10 j.o. de préavis</t>
  </si>
  <si>
    <t xml:space="preserve">Closings sur 2 ans (+ 6 mois), hausses d'engagement semestrielles</t>
  </si>
  <si>
    <t xml:space="preserve">Mensuelles, préavis 10 j.o.</t>
  </si>
  <si>
    <t xml:space="preserve">Mensuelles, cut-off 15 jours calendaires</t>
  </si>
  <si>
    <t xml:space="preserve">Aucun ; durée 10 ans + 2 + 2 ; cession agréée par le GP</t>
  </si>
  <si>
    <t xml:space="preserve">Annuel au 31/03 après lock-up de 3 ans, préavis 45 jours, payé au run-off (Withdrawing Account), minimum 10 M$</t>
  </si>
  <si>
    <t xml:space="preserve">Mensuels, préavis 45 j.o., règlement 4 j.o. après VL</t>
  </si>
  <si>
    <t xml:space="preserve">Trimestriels, cut-off le 1er j.o. du dernier mois, règlement 2 j.o. après publication</t>
  </si>
  <si>
    <t xml:space="preserve">Sans objet</t>
  </si>
  <si>
    <t xml:space="preserve">Sans objet ; conversion forcée possible sous 300 M$ de VL</t>
  </si>
  <si>
    <t xml:space="preserve">5 % de la VL par trimestre, distributions et conversions comprises ; Special Dealing à 180 jours, prix discrétionnaire</t>
  </si>
  <si>
    <t xml:space="preserve">5 % de la VL par trimestre (net) et limite ELTIF (27,3 % de l'assiette liquide)</t>
  </si>
  <si>
    <t xml:space="preserve">Aucune ; non-appelé survivant au retrait</t>
  </si>
  <si>
    <t xml:space="preserve">Redemption Fee discrétionnaire ≤ 5 % (classe I) et Exit Fee ≤ 5 %, sans butoir de durée</t>
  </si>
  <si>
    <t xml:space="preserve">Early Redemption Deduction de 5 % avant 24 mois</t>
  </si>
  <si>
    <t xml:space="preserve">Au moins annuelle ; états trimestriels non audités</t>
  </si>
  <si>
    <t xml:space="preserve">Trimestrielle, US GAAP, exercice au 31/03, reporting à 30 j.o.</t>
  </si>
  <si>
    <t xml:space="preserve">Mensuelle, publiée 21 j.o. après le Dealing Day</t>
  </si>
  <si>
    <t xml:space="preserve">Mensuelle, publiée 15 j.o. après la Subscription Date</t>
  </si>
  <si>
    <t xml:space="preserve">1,25 % des engagements puis de la VL et du non-appelé</t>
  </si>
  <si>
    <t xml:space="preserve">1,00 % du capital investi, levier compris</t>
  </si>
  <si>
    <t xml:space="preserve">1,25 % de la VL augmentée des engagements non appelés</t>
  </si>
  <si>
    <t xml:space="preserve">Jusqu'à 1,25 % de la VL (classe C)</t>
  </si>
  <si>
    <t xml:space="preserve">Commission de performance</t>
  </si>
  <si>
    <t xml:space="preserve">12,5 %, preferred return 8 %, catch-up 100 %, clawback</t>
  </si>
  <si>
    <t xml:space="preserve">12,5 %, catch-up 80 %, hurdle 8 % (levered) ou 6 % (unlevered), look-back 3 ans</t>
  </si>
  <si>
    <t xml:space="preserve">15 %, hurdle 5 %, high water mark, catch-up 100 %</t>
  </si>
  <si>
    <t xml:space="preserve">12,5 %, hurdle 5 %, high water mark, catch-up 100 %</t>
  </si>
  <si>
    <t xml:space="preserve">Emprunts ≤ 30 % des engagements, facilités ≤ 30 % de la VL, filiales non plafonnées ; plafonds AIFM non communiqués</t>
  </si>
  <si>
    <t xml:space="preserve">Manche levered : financement ≤ 2,5 fois les apports (≈ 350 % de la VL) ; dette non-recourse exclue</t>
  </si>
  <si>
    <t xml:space="preserve">Emprunt ≤ 40 % de la VL ; AIFM 200 % engagement, 410 % brut</t>
  </si>
  <si>
    <t xml:space="preserve">Emprunt ELTIF ≤ 50 % à partir de 2029 ; AIFM 400 % engagement, 500 % brut</t>
  </si>
  <si>
    <t xml:space="preserve">10 M$, dérogation à obtenir par écrit</t>
  </si>
  <si>
    <t xml:space="preserve">10 M$, dérogation à obtenir par écrit ; élection AWI au Subscription Agreement</t>
  </si>
  <si>
    <t xml:space="preserve">1 M USD (classe I)</t>
  </si>
  <si>
    <t xml:space="preserve">1 M€ (classe C)</t>
  </si>
  <si>
    <t xml:space="preserve">TRI net cible</t>
  </si>
  <si>
    <t xml:space="preserve">12 à 15 % (synthèse : 12 à 14 %)</t>
  </si>
  <si>
    <t xml:space="preserve">10 à 12 % (levered) ou 8 à 10 % (unlevered)</t>
  </si>
  <si>
    <t xml:space="preserve">Non chiffré au prospectus (synthèse : 10 à 12 %)</t>
  </si>
  <si>
    <t xml:space="preserve">Non chiffré au prospectus (synthèse : 8 à 10 %)</t>
  </si>
  <si>
    <t xml:space="preserve">Article 6</t>
  </si>
  <si>
    <t xml:space="preserve">Fonds USD non classé article 8 ; MSIG 3 (EUR) attendu article 8</t>
  </si>
  <si>
    <t xml:space="preserve">Article 8</t>
  </si>
  <si>
    <t xml:space="preserve">Prestataires</t>
  </si>
  <si>
    <t xml:space="preserve">AIFM Macquarie Asset Management Europe ; dépositaire J.P. Morgan SE ; PwC</t>
  </si>
  <si>
    <t xml:space="preserve">AIFM Macquarie Asset Management Credit Advisers US ; administrateur SEI ; aucun dépositaire AIFMD identifié</t>
  </si>
  <si>
    <t xml:space="preserve">AIFM Partners Group (Luxembourg) ; dépositaire Northern Trust ; PwC</t>
  </si>
  <si>
    <t xml:space="preserve">AIFM Ares Management Luxembourg ; dépositaire BNY Mellon ; EY</t>
  </si>
  <si>
    <t xml:space="preserve">INITIAL RISK PROFILE - scores par typologie (score / maximum atteignable), pondération 25 / 30 / 10 / 10 / 15 / 10</t>
  </si>
  <si>
    <t xml:space="preserve">Typologie</t>
  </si>
  <si>
    <t xml:space="preserve">Fonds (propre)</t>
  </si>
  <si>
    <t xml:space="preserve">Risque de marché</t>
  </si>
  <si>
    <t xml:space="preserve">10 / 13</t>
  </si>
  <si>
    <t xml:space="preserve">11 / 13</t>
  </si>
  <si>
    <t xml:space="preserve">Risque de liquidité</t>
  </si>
  <si>
    <t xml:space="preserve">4 / 4</t>
  </si>
  <si>
    <t xml:space="preserve">1 / 4</t>
  </si>
  <si>
    <t xml:space="preserve">3 / 4</t>
  </si>
  <si>
    <t xml:space="preserve">Risque de crédit</t>
  </si>
  <si>
    <t xml:space="preserve">2 / 2</t>
  </si>
  <si>
    <t xml:space="preserve">0 / 2</t>
  </si>
  <si>
    <t xml:space="preserve">Risque de contrepartie</t>
  </si>
  <si>
    <t xml:space="preserve">1 / 6</t>
  </si>
  <si>
    <t xml:space="preserve">2 / 6</t>
  </si>
  <si>
    <t xml:space="preserve">4 / 6</t>
  </si>
  <si>
    <t xml:space="preserve">5 / 6</t>
  </si>
  <si>
    <t xml:space="preserve">Risque opérationnel</t>
  </si>
  <si>
    <t xml:space="preserve">7 / 10</t>
  </si>
  <si>
    <t xml:space="preserve">8 / 10</t>
  </si>
  <si>
    <t xml:space="preserve">10 / 10</t>
  </si>
  <si>
    <t xml:space="preserve">Risque de levier</t>
  </si>
  <si>
    <t xml:space="preserve">0 / 3</t>
  </si>
  <si>
    <t xml:space="preserve">3 / 3</t>
  </si>
  <si>
    <t xml:space="preserve">Score pondéré (0 à 100)</t>
  </si>
  <si>
    <t xml:space="preserve">Score en transparence (pondéré par l'allocation, poche liquide à 0)</t>
  </si>
  <si>
    <t xml:space="preserve">Score en transparence rebasé hors poche liquide</t>
  </si>
  <si>
    <t xml:space="preserve">Échelle IRP : Faible 0 à 34, Moyen 34 à 56, Élevé 56 à 100. Les scores sont ceux du classeur Initial Risk Profile du 06/10/2026, recalculés ici à partir des scores par typologie ; les notations détaillées et sources figurent dans ce classeur.</t>
  </si>
  <si>
    <t xml:space="preserve">RECOMMANDATIONS DE LA FONCTION RISQUES ET DÉCISIONS SOUMISES AU COMITÉ</t>
  </si>
  <si>
    <t xml:space="preserve">Classées par urgence ; chaque recommandation indique l'instance compétente et le délai proposé.</t>
  </si>
  <si>
    <t xml:space="preserve">Recommandation</t>
  </si>
  <si>
    <t xml:space="preserve">Motif</t>
  </si>
  <si>
    <t xml:space="preserve">Instance</t>
  </si>
  <si>
    <t xml:space="preserve">Délai</t>
  </si>
  <si>
    <t xml:space="preserve">R1</t>
  </si>
  <si>
    <t xml:space="preserve">Recaler la note de liquidité et le classeur de stress tests sur le projet de prospectus du 30/09/2026</t>
  </si>
  <si>
    <t xml:space="preserve">Préavis de 91 jours (centralisation 31/03 et 30/09) et non 180 ; Demandes Prioritaires maintenues à l'art. 7.2.6 ; issue du différé après 4 dates à écrire.</t>
  </si>
  <si>
    <t xml:space="preserve">Fonction Risques</t>
  </si>
  <si>
    <t xml:space="preserve">Avant le dépôt du prospectus</t>
  </si>
  <si>
    <t xml:space="preserve">R2</t>
  </si>
  <si>
    <t xml:space="preserve">Trancher les onze écarts du registre des limites du prospectus</t>
  </si>
  <si>
    <t xml:space="preserve">Emprunt interdit mais supposé aux art. 3.1.1, 14.2 et 25.2.6 ; plancher de 15 % permanent sans clause de dépassement passif ; double plafond de 130 % ; assiette du plafonnement ; souscription au nominal ; durée de placement 10 ans contre 8 ans en synthèse ; barème de conseil.</t>
  </si>
  <si>
    <t xml:space="preserve">Société de Gestion, Conseiller, Paul Hastings</t>
  </si>
  <si>
    <t xml:space="preserve">R3</t>
  </si>
  <si>
    <t xml:space="preserve">Réintroduire au prospectus le niveau maximal de levier (brut et engagement)</t>
  </si>
  <si>
    <t xml:space="preserve">Art. 23 § 1 a) de la directive 2011/61/UE ; le projet du 30/09 l'a supprimé. Proposition : 100 % en engagement et en brut, trésorerie exclue.</t>
  </si>
  <si>
    <t xml:space="preserve">Société de Gestion</t>
  </si>
  <si>
    <t xml:space="preserve">R4</t>
  </si>
  <si>
    <t xml:space="preserve">Obtenir par écrit les dérogations de ticket minimum de MAPIF II et de MSIG 3 (10 M$ chacun)</t>
  </si>
  <si>
    <t xml:space="preserve">À 50 M€ d'encours cible, 34 % et 17 % représentent 17 et 8,5 M€ : l'allocation cible n'est pas constructible sans dérogation.</t>
  </si>
  <si>
    <t xml:space="preserve">Conseiller, puis Comité d'investissement</t>
  </si>
  <si>
    <t xml:space="preserve">Avant tout engagement</t>
  </si>
  <si>
    <t xml:space="preserve">R5</t>
  </si>
  <si>
    <t xml:space="preserve">Arrêter le véhicule et la manche de MSIG 3, et la classe de PG NGI</t>
  </si>
  <si>
    <t xml:space="preserve">USD ou EUR ; levered (≈ 350 % de levier, hurdle 8 %) ou unlevered ; classe I ou classe H couverte. Confirmer l'admission d'Openstone Infraworld comme Automatic Withdrawing Investor avant signature.</t>
  </si>
  <si>
    <t xml:space="preserve">Comité d'investissement, avis de la Fonction Risques</t>
  </si>
  <si>
    <t xml:space="preserve">R6</t>
  </si>
  <si>
    <t xml:space="preserve">Fixer des limites internes de concentration et de change</t>
  </si>
  <si>
    <t xml:space="preserve">Gérant unique 40 % de l'actif net (alerte 35 %) ; fonds cible 35 % (alerte 30 %) ; dollar non couvert 40 %. L'allocation cible (Macquarie 51 %, MAPIF II 34 %) devra être justifiée ou revue.</t>
  </si>
  <si>
    <t xml:space="preserve">Comité des risques</t>
  </si>
  <si>
    <t xml:space="preserve">Prochain comité</t>
  </si>
  <si>
    <t xml:space="preserve">R7</t>
  </si>
  <si>
    <t xml:space="preserve">Séquencer les engagements fermés pour que les appels à douze mois restent couverts</t>
  </si>
  <si>
    <t xml:space="preserve">Point de rupture du test inversé : appels de 12,5 % de l'actif net sur douze mois (non-appelé de 25 %). Rythme d'engagement et non-appelé plafonné à 15 % de l'actif net à la fin du blocage.</t>
  </si>
  <si>
    <t xml:space="preserve">Comité d'investissement</t>
  </si>
  <si>
    <t xml:space="preserve">À chaque engagement</t>
  </si>
  <si>
    <t xml:space="preserve">R8</t>
  </si>
  <si>
    <t xml:space="preserve">Caler la première fenêtre de rachat sur la fin de la déduction Ares (24 mois)</t>
  </si>
  <si>
    <t xml:space="preserve">Un rachat chez Ares avant 24 mois coûte 5 % de la ligne ; la première Date de Centralisation (31/03/2029 pour une constitution fin 2026) doit suivre les 24 mois de détention des parts Ares.</t>
  </si>
  <si>
    <t xml:space="preserve">Fonction Risques, gestion de trésorerie</t>
  </si>
  <si>
    <t xml:space="preserve">Au lancement</t>
  </si>
  <si>
    <t xml:space="preserve">R9</t>
  </si>
  <si>
    <t xml:space="preserve">Écrire la procédure de revue des valeurs liquidatives reçues</t>
  </si>
  <si>
    <t xml:space="preserve">Seuil de péremption des VL des fonds cibles (trimestrielles et décalées pour MAPIF II et MSIG 3), contrôle de cohérence, escalade en cas d'écart. Calendrier Annexe IV tenant compte de l'exercice MSIG 3 au 31/03.</t>
  </si>
  <si>
    <t xml:space="preserve">T4 2026</t>
  </si>
  <si>
    <t xml:space="preserve">R10</t>
  </si>
  <si>
    <t xml:space="preserve">Documenter la gestion du conflit d'intérêts du Conseiller</t>
  </si>
  <si>
    <t xml:space="preserve">Le Conseiller cumule conseil en investissement, distribution principale et faculté de révoquer la Société de Gestion (art. 3.1.2 à 3.1.5) ; accord préalable requis pour toute modification du prospectus.</t>
  </si>
  <si>
    <t xml:space="preserve">Dirigeants effectifs, Conformité</t>
  </si>
  <si>
    <t xml:space="preserve">R11</t>
  </si>
  <si>
    <t xml:space="preserve">Compléter le DIC et la synthèse commerciale</t>
  </si>
  <si>
    <t xml:space="preserve">SRI 4 à reporter au prospectus et à la synthèse ; durée de détention 10 ans ; commission de rachat « néant » alors que le prospectus mentionne des droits de sortie de 5 % avant 2 ans dans des versions antérieures.</t>
  </si>
  <si>
    <t xml:space="preserve">Société de Gestion, Conseiller</t>
  </si>
  <si>
    <t xml:space="preserve">Avant la commercialisation</t>
  </si>
  <si>
    <t xml:space="preserve">R12</t>
  </si>
  <si>
    <t xml:space="preserve">Rejouer les stress tests sur l'encours réel à chaque arrêté trimestriel et avant chaque décision de plafonnement</t>
  </si>
  <si>
    <t xml:space="preserve">Hypothèses du classeur à arrêter en Comité : collecte, non-appelé de départ, décote de cession, part des parts de distribution.</t>
  </si>
  <si>
    <t xml:space="preserve">Dès la première VL</t>
  </si>
  <si>
    <t xml:space="preserve">SIX DÉCISIONS SOUMISES AU COMITÉ DES RISQUES</t>
  </si>
  <si>
    <t xml:space="preserve">Recommandations</t>
  </si>
  <si>
    <t xml:space="preserve">Figer le texte de liquidité du prospectus avant dépôt</t>
  </si>
  <si>
    <t xml:space="preserve">Préavis 91 jours, Demandes Prioritaires, issue après 4 dates, assiette du plafonnement, clause de dépassement passif du plancher de 15 %.</t>
  </si>
  <si>
    <t xml:space="preserve">R1, R2</t>
  </si>
  <si>
    <t xml:space="preserve">Comité des risques puis Société de Gestion et Conseiller</t>
  </si>
  <si>
    <t xml:space="preserve">Avant le dépôt</t>
  </si>
  <si>
    <t xml:space="preserve">Réintroduire le levier maximal AIFM (100 % engagement et brut)</t>
  </si>
  <si>
    <t xml:space="preserve">Obligation de l'art. 23 § 1 a) de la directive ; sans emprunt ni dérivé, le niveau est sans coût.</t>
  </si>
  <si>
    <t xml:space="preserve">Conditionner tout engagement fermé aux dérogations écrites et aux choix de véhicule</t>
  </si>
  <si>
    <t xml:space="preserve">Dérogations de ticket MAPIF II et MSIG 3, confirmation AWI, manche et devise de MSIG 3, classe PG NGI.</t>
  </si>
  <si>
    <t xml:space="preserve">R4, R5</t>
  </si>
  <si>
    <t xml:space="preserve">Arrêter les limites internes KRI-08 à KRI-11</t>
  </si>
  <si>
    <t xml:space="preserve">Gérant 40 %, fonds cible 35 %, dollar non couvert 40 %, péremption des VL à 120 jours pour les fonds fermés.</t>
  </si>
  <si>
    <t xml:space="preserve">R6, R9</t>
  </si>
  <si>
    <t xml:space="preserve">Adopter la règle de séquencement des engagements et de la première fenêtre</t>
  </si>
  <si>
    <t xml:space="preserve">Appels à douze mois couverts par la poche ; non-appelé ≤ 15 % de l'actif net à la fin du blocage ; première centralisation après 24 mois de détention Ares.</t>
  </si>
  <si>
    <t xml:space="preserve">R7, R8</t>
  </si>
  <si>
    <t xml:space="preserve">Formaliser la gouvernance du Conseiller et la revue des VL reçues</t>
  </si>
  <si>
    <t xml:space="preserve">Cartographie du conflit conseil / distribution / révocation ; procédure de revue des VL et calendrier Annexe IV.</t>
  </si>
  <si>
    <t xml:space="preserve">R9, R10</t>
  </si>
  <si>
    <t xml:space="preserve">Dirigeants effectifs</t>
  </si>
  <si>
    <t xml:space="preserve">Les recommandations R11 et R12 sont suivies par la Fonction Risques sans décision du Comité. Les points entérinés sans débat : échelle de verdict de la charte, convention TTL (positions sans fenêtre garantie au-delà de 365 jours), scénarios de la note de liquidité § 6.</t>
  </si>
  <si>
    <t xml:space="preserve">SOURCES ET FRAÎCHEUR DES DONNÉES</t>
  </si>
  <si>
    <t xml:space="preserve">Chaque source, sa date, son ancienneté à la date d'arrêté et le seuil de péremption retenu.</t>
  </si>
  <si>
    <t xml:space="preserve">Ancienneté (j)</t>
  </si>
  <si>
    <t xml:space="preserve">Seuil (j)</t>
  </si>
  <si>
    <t xml:space="preserve">Usage dans le rapport</t>
  </si>
  <si>
    <t xml:space="preserve">Prospectus et Règlement Openstone Infraworld, projet</t>
  </si>
  <si>
    <t xml:space="preserve">Référentiel des limites, conditions de rachat, frais, gouvernance.</t>
  </si>
  <si>
    <t xml:space="preserve">Synthèse commerciale Openstone Infraworld v5.4</t>
  </si>
  <si>
    <t xml:space="preserve">Allocation cible, fonds sélectionnés, frais des fonds cibles, objectifs non garantis. Document de pré-commercialisation.</t>
  </si>
  <si>
    <t xml:space="preserve">Note de liquidité Openstone Infraworld</t>
  </si>
  <si>
    <t xml:space="preserve">Outils de gestion de la liquidité, seuils d'alerte, programme de simulations. Préavis de 180 jours à recaler.</t>
  </si>
  <si>
    <t xml:space="preserve">Classeur « Openstone Stress Test liquidité »</t>
  </si>
  <si>
    <t xml:space="preserve">Mécanique du moteur (onglet 3b), reprise et recalculée ; aucun résultat importé.</t>
  </si>
  <si>
    <t xml:space="preserve">Registre des limites du prospectus (25/09/2026) et liste des douze écarts</t>
  </si>
  <si>
    <t xml:space="preserve">Onglet 1 et recommandation R2.</t>
  </si>
  <si>
    <t xml:space="preserve">Initial Risk Profile Openstone Infraworld et quatre fonds cibles</t>
  </si>
  <si>
    <t xml:space="preserve">Scores IRP (onglet 4).</t>
  </si>
  <si>
    <t xml:space="preserve">Classeur « Openstone underlying funds risk and liquidity terms »</t>
  </si>
  <si>
    <t xml:space="preserve">Conditions des fonds cibles et vingt écarts documentaires (onglet 4).</t>
  </si>
  <si>
    <t xml:space="preserve">Documents d'informations clés PRIIPs, parts A1 à B3</t>
  </si>
  <si>
    <t xml:space="preserve">SRI 4, période de détention 10 ans, scénarios de performance, coûts.</t>
  </si>
  <si>
    <t xml:space="preserve">Prospectus AEFS SICAV, annexe 7 Ares Global Infrastructure ELTIF</t>
  </si>
  <si>
    <t xml:space="preserve">Termes Ares (visa CSSF du 11/08/2026).</t>
  </si>
  <si>
    <t xml:space="preserve">Prospectus Partners Group Evergreen SICAV, supplément 2</t>
  </si>
  <si>
    <t xml:space="preserve">Termes PG NGI (visa CSSF du 09/06/2026).</t>
  </si>
  <si>
    <t xml:space="preserve">PPM Macquarie Alliance Partners Infrastructure Fund II</t>
  </si>
  <si>
    <t xml:space="preserve">Termes MAPIF II ; LPA du 20/03/2026.</t>
  </si>
  <si>
    <t xml:space="preserve">PPM Macquarie Specialized Infrastructure Global 3 (USD)</t>
  </si>
  <si>
    <t xml:space="preserve">Termes MSIG 3 ; first closing non connu.</t>
  </si>
  <si>
    <t xml:space="preserve">Sources recensées</t>
  </si>
  <si>
    <t xml:space="preserve">Cadre : directive 2011/61/UE art. 15 et 16, modifiée par la directive (UE) 2024/927 (annexe V) ; règlement délégué (UE) 231/2013 art. 38 à 49 ; orientations ESMA 34-39-897 (simulations de crise de liquidité) ; instruction AMF DOC-2017-05 (plafonnement des rachats) ; règlement (UE) 1286/2014 PRIIPs ; art. L. 214-154 et suivants du CMF et 423-27 et suivants du RG AMF.</t>
  </si>
</sst>
</file>

<file path=xl/styles.xml><?xml version="1.0" encoding="utf-8"?>
<styleSheet xmlns="http://schemas.openxmlformats.org/spreadsheetml/2006/main">
  <numFmts count="18">
    <numFmt numFmtId="164" formatCode="General"/>
    <numFmt numFmtId="165" formatCode="General"/>
    <numFmt numFmtId="166" formatCode="0\ %"/>
    <numFmt numFmtId="167" formatCode="0"/>
    <numFmt numFmtId="168" formatCode="#\ ##0"/>
    <numFmt numFmtId="169" formatCode="0.0\x"/>
    <numFmt numFmtId="170" formatCode="0.0\ %"/>
    <numFmt numFmtId="171" formatCode="0.00"/>
    <numFmt numFmtId="172" formatCode="0.0"/>
    <numFmt numFmtId="173" formatCode="dd/mm/yyyy"/>
    <numFmt numFmtId="174" formatCode="#\ ##0.00"/>
    <numFmt numFmtId="175" formatCode="00\ %"/>
    <numFmt numFmtId="176" formatCode="000\ %"/>
    <numFmt numFmtId="177" formatCode="0\ %"/>
    <numFmt numFmtId="178" formatCode="0.0\ %"/>
    <numFmt numFmtId="179" formatCode="0.00\ %"/>
    <numFmt numFmtId="180" formatCode="0.00\x"/>
    <numFmt numFmtId="181" formatCode="0.000"/>
  </numFmts>
  <fonts count="15">
    <font>
      <sz val="11"/>
      <color theme="1"/>
      <name val="Calibri"/>
      <family val="2"/>
      <charset val="1"/>
    </font>
    <font>
      <sz val="10"/>
      <name val="Arial"/>
      <family val="0"/>
    </font>
    <font>
      <sz val="10"/>
      <name val="Arial"/>
      <family val="0"/>
    </font>
    <font>
      <sz val="10"/>
      <name val="Arial"/>
      <family val="0"/>
    </font>
    <font>
      <b val="true"/>
      <sz val="9"/>
      <color rgb="FFFFFFFF"/>
      <name val="Calibri"/>
      <family val="0"/>
      <charset val="1"/>
    </font>
    <font>
      <sz val="9"/>
      <color rgb="FFB8C2C6"/>
      <name val="Calibri"/>
      <family val="0"/>
      <charset val="1"/>
    </font>
    <font>
      <sz val="9"/>
      <color rgb="FFFFFFFF"/>
      <name val="Calibri"/>
      <family val="0"/>
      <charset val="1"/>
    </font>
    <font>
      <b val="true"/>
      <sz val="9"/>
      <color rgb="FFB8C2C6"/>
      <name val="Calibri"/>
      <family val="0"/>
      <charset val="1"/>
    </font>
    <font>
      <sz val="9"/>
      <color rgb="FF6A7A85"/>
      <name val="Calibri"/>
      <family val="0"/>
      <charset val="1"/>
    </font>
    <font>
      <b val="true"/>
      <sz val="9"/>
      <color rgb="FF01313E"/>
      <name val="Calibri"/>
      <family val="0"/>
      <charset val="1"/>
    </font>
    <font>
      <b val="true"/>
      <sz val="9"/>
      <color rgb="FF0287AA"/>
      <name val="Calibri"/>
      <family val="0"/>
      <charset val="1"/>
    </font>
    <font>
      <sz val="9"/>
      <color rgb="FF1A2027"/>
      <name val="Calibri"/>
      <family val="0"/>
      <charset val="1"/>
    </font>
    <font>
      <sz val="9"/>
      <color rgb="FF01313E"/>
      <name val="Calibri"/>
      <family val="0"/>
      <charset val="1"/>
    </font>
    <font>
      <b val="true"/>
      <sz val="10"/>
      <color rgb="FF01313E"/>
      <name val="Calibri"/>
      <family val="0"/>
      <charset val="1"/>
    </font>
    <font>
      <b val="true"/>
      <sz val="9"/>
      <color rgb="FF1A2027"/>
      <name val="Calibri"/>
      <family val="0"/>
      <charset val="1"/>
    </font>
  </fonts>
  <fills count="6">
    <fill>
      <patternFill patternType="none"/>
    </fill>
    <fill>
      <patternFill patternType="gray125"/>
    </fill>
    <fill>
      <patternFill patternType="solid">
        <fgColor rgb="FF01313E"/>
        <bgColor rgb="FF1A2027"/>
      </patternFill>
    </fill>
    <fill>
      <patternFill patternType="solid">
        <fgColor rgb="FF0287AA"/>
        <bgColor rgb="FF008080"/>
      </patternFill>
    </fill>
    <fill>
      <patternFill patternType="solid">
        <fgColor rgb="FFFFF8F2"/>
        <bgColor rgb="FFFFFFFF"/>
      </patternFill>
    </fill>
    <fill>
      <patternFill patternType="solid">
        <fgColor rgb="FFD9F785"/>
        <bgColor rgb="FFCCFFCC"/>
      </patternFill>
    </fill>
  </fills>
  <borders count="3">
    <border diagonalUp="false" diagonalDown="false">
      <left/>
      <right/>
      <top/>
      <bottom/>
      <diagonal/>
    </border>
    <border diagonalUp="false" diagonalDown="false">
      <left/>
      <right/>
      <top/>
      <bottom style="medium">
        <color rgb="FF01313E"/>
      </bottom>
      <diagonal/>
    </border>
    <border diagonalUp="false" diagonalDown="false">
      <left/>
      <right/>
      <top/>
      <bottom style="thin">
        <color rgb="FFDCE5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left" vertical="center"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righ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left" vertical="center" textRotation="0" wrapText="true" indent="0" shrinkToFit="false"/>
      <protection locked="true" hidden="false"/>
    </xf>
    <xf numFmtId="164" fontId="7" fillId="2" borderId="0" xfId="0" applyFont="true" applyBorder="true" applyAlignment="true" applyProtection="false">
      <alignment horizontal="left" vertical="center" textRotation="0" wrapText="true" indent="0" shrinkToFit="false"/>
      <protection locked="true" hidden="false"/>
    </xf>
    <xf numFmtId="164" fontId="4" fillId="2" borderId="0" xfId="0" applyFont="true" applyBorder="true" applyAlignment="true" applyProtection="false">
      <alignment horizontal="left" vertical="center" textRotation="0" wrapText="tru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10" fillId="0" borderId="2" xfId="0" applyFont="true" applyBorder="true" applyAlignment="true" applyProtection="false">
      <alignment horizontal="left"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64" fontId="11" fillId="0" borderId="2" xfId="0" applyFont="true" applyBorder="true" applyAlignment="true" applyProtection="false">
      <alignment horizontal="center" vertical="center" textRotation="0" wrapText="true" indent="0" shrinkToFit="false"/>
      <protection locked="true" hidden="false"/>
    </xf>
    <xf numFmtId="165" fontId="11" fillId="0" borderId="2"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6" fontId="11" fillId="0" borderId="2" xfId="0" applyFont="true" applyBorder="true" applyAlignment="true" applyProtection="false">
      <alignment horizontal="center" vertical="center" textRotation="0" wrapText="true" indent="0" shrinkToFit="false"/>
      <protection locked="true" hidden="false"/>
    </xf>
    <xf numFmtId="167" fontId="11" fillId="0" borderId="2" xfId="0" applyFont="true" applyBorder="true" applyAlignment="true" applyProtection="false">
      <alignment horizontal="center" vertical="center" textRotation="0" wrapText="true" indent="0" shrinkToFit="false"/>
      <protection locked="true" hidden="false"/>
    </xf>
    <xf numFmtId="168" fontId="11" fillId="0" borderId="2" xfId="0" applyFont="true" applyBorder="true" applyAlignment="true" applyProtection="false">
      <alignment horizontal="center" vertical="center"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9" fontId="11" fillId="0" borderId="2" xfId="0" applyFont="true" applyBorder="true" applyAlignment="true" applyProtection="false">
      <alignment horizontal="center" vertical="center" textRotation="0" wrapText="true" indent="0" shrinkToFit="false"/>
      <protection locked="true" hidden="false"/>
    </xf>
    <xf numFmtId="170" fontId="11" fillId="0" borderId="2" xfId="0" applyFont="true" applyBorder="true" applyAlignment="true" applyProtection="false">
      <alignment horizontal="center" vertical="center" textRotation="0" wrapText="true" indent="0" shrinkToFit="false"/>
      <protection locked="true" hidden="false"/>
    </xf>
    <xf numFmtId="171" fontId="11" fillId="0" borderId="2" xfId="0" applyFont="true" applyBorder="true" applyAlignment="true" applyProtection="false">
      <alignment horizontal="center" vertical="center" textRotation="0" wrapText="true" indent="0" shrinkToFit="false"/>
      <protection locked="true" hidden="false"/>
    </xf>
    <xf numFmtId="172" fontId="11" fillId="0" borderId="2" xfId="0" applyFont="true" applyBorder="true" applyAlignment="true" applyProtection="false">
      <alignment horizontal="center" vertical="center" textRotation="0" wrapText="true" indent="0" shrinkToFit="false"/>
      <protection locked="true" hidden="false"/>
    </xf>
    <xf numFmtId="173" fontId="11" fillId="0" borderId="2"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4" fillId="3" borderId="0" xfId="0" applyFont="true" applyBorder="false" applyAlignment="true" applyProtection="false">
      <alignment horizontal="left" vertical="center" textRotation="0" wrapText="true" indent="0" shrinkToFit="false"/>
      <protection locked="true" hidden="false"/>
    </xf>
    <xf numFmtId="164" fontId="11" fillId="0" borderId="2" xfId="0" applyFont="true" applyBorder="true" applyAlignment="true" applyProtection="false">
      <alignment horizontal="left" vertical="top" textRotation="0" wrapText="true" indent="0" shrinkToFit="false"/>
      <protection locked="true" hidden="false"/>
    </xf>
    <xf numFmtId="173" fontId="11" fillId="4" borderId="2" xfId="0" applyFont="true" applyBorder="true" applyAlignment="true" applyProtection="false">
      <alignment horizontal="left" vertical="top" textRotation="0" wrapText="true" indent="0" shrinkToFit="false"/>
      <protection locked="true" hidden="false"/>
    </xf>
    <xf numFmtId="168" fontId="11" fillId="4" borderId="2" xfId="0" applyFont="true" applyBorder="true" applyAlignment="true" applyProtection="false">
      <alignment horizontal="left" vertical="top" textRotation="0" wrapText="true" indent="0" shrinkToFit="false"/>
      <protection locked="true" hidden="false"/>
    </xf>
    <xf numFmtId="174" fontId="11" fillId="4" borderId="2" xfId="0" applyFont="true" applyBorder="true" applyAlignment="true" applyProtection="false">
      <alignment horizontal="left" vertical="top" textRotation="0" wrapText="true" indent="0" shrinkToFit="false"/>
      <protection locked="true" hidden="false"/>
    </xf>
    <xf numFmtId="166" fontId="11" fillId="4" borderId="2" xfId="0" applyFont="true" applyBorder="true" applyAlignment="true" applyProtection="false">
      <alignment horizontal="left" vertical="top" textRotation="0" wrapText="true" indent="0" shrinkToFit="false"/>
      <protection locked="true" hidden="false"/>
    </xf>
    <xf numFmtId="166" fontId="11" fillId="0" borderId="2" xfId="0" applyFont="true" applyBorder="true" applyAlignment="true" applyProtection="false">
      <alignment horizontal="left" vertical="top" textRotation="0" wrapText="true" indent="0" shrinkToFit="false"/>
      <protection locked="true" hidden="false"/>
    </xf>
    <xf numFmtId="164" fontId="11" fillId="4" borderId="2" xfId="0" applyFont="true" applyBorder="true" applyAlignment="true" applyProtection="false">
      <alignment horizontal="left" vertical="top" textRotation="0" wrapText="true" indent="0" shrinkToFit="false"/>
      <protection locked="true" hidden="false"/>
    </xf>
    <xf numFmtId="175" fontId="11" fillId="4" borderId="2" xfId="0" applyFont="true" applyBorder="true" applyAlignment="true" applyProtection="false">
      <alignment horizontal="left" vertical="top" textRotation="0" wrapText="true" indent="0" shrinkToFit="false"/>
      <protection locked="true" hidden="false"/>
    </xf>
    <xf numFmtId="176" fontId="11" fillId="4" borderId="2" xfId="0" applyFont="true" applyBorder="true" applyAlignment="true" applyProtection="false">
      <alignment horizontal="left" vertical="top" textRotation="0" wrapText="true" indent="0" shrinkToFit="false"/>
      <protection locked="true" hidden="false"/>
    </xf>
    <xf numFmtId="176" fontId="11" fillId="0" borderId="2" xfId="0" applyFont="true" applyBorder="true" applyAlignment="true" applyProtection="false">
      <alignment horizontal="left" vertical="top" textRotation="0" wrapText="true" indent="0" shrinkToFit="false"/>
      <protection locked="true" hidden="false"/>
    </xf>
    <xf numFmtId="172" fontId="11" fillId="4" borderId="2"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77" fontId="11" fillId="4" borderId="2" xfId="0" applyFont="true" applyBorder="true" applyAlignment="true" applyProtection="false">
      <alignment horizontal="left" vertical="top" textRotation="0" wrapText="true" indent="0" shrinkToFit="false"/>
      <protection locked="true" hidden="false"/>
    </xf>
    <xf numFmtId="178" fontId="11" fillId="0" borderId="2" xfId="0" applyFont="true" applyBorder="true" applyAlignment="true" applyProtection="false">
      <alignment horizontal="left" vertical="top" textRotation="0" wrapText="true" indent="0" shrinkToFit="false"/>
      <protection locked="true" hidden="false"/>
    </xf>
    <xf numFmtId="178" fontId="11" fillId="4" borderId="2" xfId="0" applyFont="true" applyBorder="true" applyAlignment="true" applyProtection="false">
      <alignment horizontal="left" vertical="top" textRotation="0" wrapText="true" indent="0" shrinkToFit="false"/>
      <protection locked="true" hidden="false"/>
    </xf>
    <xf numFmtId="179" fontId="11" fillId="4" borderId="2" xfId="0" applyFont="true" applyBorder="true" applyAlignment="true" applyProtection="false">
      <alignment horizontal="left" vertical="top" textRotation="0" wrapText="true" indent="0" shrinkToFit="false"/>
      <protection locked="true" hidden="false"/>
    </xf>
    <xf numFmtId="177" fontId="11" fillId="0" borderId="2" xfId="0" applyFont="true" applyBorder="true" applyAlignment="true" applyProtection="false">
      <alignment horizontal="left" vertical="top" textRotation="0" wrapText="true" indent="0" shrinkToFit="false"/>
      <protection locked="true" hidden="false"/>
    </xf>
    <xf numFmtId="167" fontId="11" fillId="0" borderId="2" xfId="0" applyFont="true" applyBorder="true" applyAlignment="true" applyProtection="false">
      <alignment horizontal="left" vertical="top" textRotation="0" wrapText="true" indent="0" shrinkToFit="false"/>
      <protection locked="true" hidden="false"/>
    </xf>
    <xf numFmtId="172" fontId="11" fillId="0" borderId="2" xfId="0" applyFont="true" applyBorder="true" applyAlignment="true" applyProtection="false">
      <alignment horizontal="left" vertical="top" textRotation="0" wrapText="true" indent="0" shrinkToFit="false"/>
      <protection locked="true" hidden="false"/>
    </xf>
    <xf numFmtId="167" fontId="11" fillId="4" borderId="2" xfId="0" applyFont="true" applyBorder="true" applyAlignment="true" applyProtection="false">
      <alignment horizontal="left" vertical="top" textRotation="0" wrapText="true" indent="0" shrinkToFit="false"/>
      <protection locked="true" hidden="false"/>
    </xf>
    <xf numFmtId="167" fontId="14" fillId="5" borderId="2" xfId="0" applyFont="true" applyBorder="true" applyAlignment="true" applyProtection="false">
      <alignment horizontal="left" vertical="top" textRotation="0" wrapText="true" indent="0" shrinkToFit="false"/>
      <protection locked="true" hidden="false"/>
    </xf>
    <xf numFmtId="166" fontId="14" fillId="5" borderId="2" xfId="0" applyFont="true" applyBorder="true" applyAlignment="true" applyProtection="false">
      <alignment horizontal="left" vertical="top" textRotation="0" wrapText="true" indent="0" shrinkToFit="false"/>
      <protection locked="true" hidden="false"/>
    </xf>
    <xf numFmtId="169" fontId="14" fillId="5" borderId="2" xfId="0" applyFont="true" applyBorder="true" applyAlignment="true" applyProtection="false">
      <alignment horizontal="left" vertical="top" textRotation="0" wrapText="true" indent="0" shrinkToFit="false"/>
      <protection locked="true" hidden="false"/>
    </xf>
    <xf numFmtId="169" fontId="11" fillId="0" borderId="2" xfId="0" applyFont="true" applyBorder="true" applyAlignment="true" applyProtection="false">
      <alignment horizontal="left" vertical="top" textRotation="0" wrapText="true" indent="0" shrinkToFit="false"/>
      <protection locked="true" hidden="false"/>
    </xf>
    <xf numFmtId="170" fontId="11" fillId="0" borderId="2" xfId="0" applyFont="true" applyBorder="true" applyAlignment="true" applyProtection="false">
      <alignment horizontal="left" vertical="top" textRotation="0" wrapText="true" indent="0" shrinkToFit="false"/>
      <protection locked="true" hidden="false"/>
    </xf>
    <xf numFmtId="180" fontId="11" fillId="0" borderId="2" xfId="0" applyFont="true" applyBorder="true" applyAlignment="true" applyProtection="false">
      <alignment horizontal="left" vertical="top" textRotation="0" wrapText="true" indent="0" shrinkToFit="false"/>
      <protection locked="true" hidden="false"/>
    </xf>
    <xf numFmtId="171" fontId="11" fillId="0" borderId="2" xfId="0" applyFont="true" applyBorder="true" applyAlignment="true" applyProtection="false">
      <alignment horizontal="left" vertical="top" textRotation="0" wrapText="true" indent="0" shrinkToFit="false"/>
      <protection locked="true" hidden="false"/>
    </xf>
    <xf numFmtId="181" fontId="11" fillId="0" borderId="2" xfId="0" applyFont="true" applyBorder="true" applyAlignment="true" applyProtection="false">
      <alignment horizontal="left" vertical="top" textRotation="0" wrapText="true" indent="0" shrinkToFit="false"/>
      <protection locked="true" hidden="false"/>
    </xf>
    <xf numFmtId="178" fontId="14" fillId="5" borderId="2" xfId="0" applyFont="true" applyBorder="true" applyAlignment="true" applyProtection="false">
      <alignment horizontal="left" vertical="top" textRotation="0" wrapText="true" indent="0" shrinkToFit="false"/>
      <protection locked="true" hidden="false"/>
    </xf>
    <xf numFmtId="177" fontId="14" fillId="5" borderId="2" xfId="0" applyFont="true" applyBorder="true" applyAlignment="true" applyProtection="false">
      <alignment horizontal="left" vertical="top" textRotation="0" wrapText="tru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78" fontId="11" fillId="4" borderId="2" xfId="0" applyFont="true" applyBorder="true" applyAlignment="false" applyProtection="false">
      <alignment horizontal="general" vertical="bottom" textRotation="0" wrapText="false" indent="0" shrinkToFit="false"/>
      <protection locked="true" hidden="false"/>
    </xf>
    <xf numFmtId="172" fontId="11" fillId="4" borderId="2" xfId="0" applyFont="true" applyBorder="true" applyAlignment="false" applyProtection="false">
      <alignment horizontal="general" vertical="bottom" textRotation="0" wrapText="false" indent="0" shrinkToFit="false"/>
      <protection locked="true" hidden="false"/>
    </xf>
    <xf numFmtId="171" fontId="11" fillId="4" borderId="2"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3" fontId="11" fillId="0" borderId="2" xfId="0" applyFont="true" applyBorder="true" applyAlignment="false" applyProtection="false">
      <alignment horizontal="general" vertical="bottom" textRotation="0" wrapText="false" indent="0" shrinkToFit="false"/>
      <protection locked="true" hidden="false"/>
    </xf>
    <xf numFmtId="178" fontId="11" fillId="0" borderId="2" xfId="0" applyFont="true" applyBorder="true" applyAlignment="false" applyProtection="false">
      <alignment horizontal="general" vertical="bottom" textRotation="0" wrapText="false" indent="0" shrinkToFit="false"/>
      <protection locked="true" hidden="false"/>
    </xf>
    <xf numFmtId="171" fontId="11" fillId="0" borderId="2" xfId="0" applyFont="true" applyBorder="true" applyAlignment="false" applyProtection="false">
      <alignment horizontal="general" vertical="bottom" textRotation="0" wrapText="false" indent="0" shrinkToFit="false"/>
      <protection locked="true" hidden="false"/>
    </xf>
    <xf numFmtId="164" fontId="9" fillId="0" borderId="2" xfId="0" applyFont="true" applyBorder="true" applyAlignment="false" applyProtection="false">
      <alignment horizontal="general" vertical="bottom" textRotation="0" wrapText="false" indent="0" shrinkToFit="false"/>
      <protection locked="true" hidden="false"/>
    </xf>
    <xf numFmtId="171" fontId="0" fillId="0" borderId="2" xfId="0" applyFont="fals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73" fontId="8" fillId="0" borderId="2" xfId="0" applyFont="true" applyBorder="true" applyAlignment="false" applyProtection="false">
      <alignment horizontal="general" vertical="bottom" textRotation="0" wrapText="false" indent="0" shrinkToFit="false"/>
      <protection locked="true" hidden="false"/>
    </xf>
    <xf numFmtId="172" fontId="14" fillId="5" borderId="2"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287AA"/>
      <rgbColor rgb="FFB8C2C6"/>
      <rgbColor rgb="FF6A7A85"/>
      <rgbColor rgb="FF9999FF"/>
      <rgbColor rgb="FF993366"/>
      <rgbColor rgb="FFFFF8F2"/>
      <rgbColor rgb="FFCCFFFF"/>
      <rgbColor rgb="FF660066"/>
      <rgbColor rgb="FFFF8080"/>
      <rgbColor rgb="FF0066CC"/>
      <rgbColor rgb="FFDCE5EA"/>
      <rgbColor rgb="FF000080"/>
      <rgbColor rgb="FFFF00FF"/>
      <rgbColor rgb="FFFFFF00"/>
      <rgbColor rgb="FF00FFFF"/>
      <rgbColor rgb="FF800080"/>
      <rgbColor rgb="FF800000"/>
      <rgbColor rgb="FF008080"/>
      <rgbColor rgb="FF0000FF"/>
      <rgbColor rgb="FF00CCFF"/>
      <rgbColor rgb="FFCCFFFF"/>
      <rgbColor rgb="FFCCFFCC"/>
      <rgbColor rgb="FFD9F785"/>
      <rgbColor rgb="FF99CCFF"/>
      <rgbColor rgb="FFFF99CC"/>
      <rgbColor rgb="FFCC99FF"/>
      <rgbColor rgb="FFFFCC99"/>
      <rgbColor rgb="FF3366FF"/>
      <rgbColor rgb="FF33CCCC"/>
      <rgbColor rgb="FF99CC00"/>
      <rgbColor rgb="FFFFCC00"/>
      <rgbColor rgb="FFFF9900"/>
      <rgbColor rgb="FFFF6600"/>
      <rgbColor rgb="FF666699"/>
      <rgbColor rgb="FF969696"/>
      <rgbColor rgb="FF01313E"/>
      <rgbColor rgb="FF339966"/>
      <rgbColor rgb="FF003300"/>
      <rgbColor rgb="FF333300"/>
      <rgbColor rgb="FF993300"/>
      <rgbColor rgb="FF993366"/>
      <rgbColor rgb="FF333399"/>
      <rgbColor rgb="FF1A202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H3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6" min="3" style="0" width="15"/>
    <col collapsed="false" customWidth="true" hidden="false" outlineLevel="0" max="7" min="7" style="0" width="46"/>
    <col collapsed="false" customWidth="true" hidden="false" outlineLevel="0" max="8" min="8" style="0" width="2"/>
  </cols>
  <sheetData>
    <row r="1" customFormat="false" ht="19.5" hidden="false" customHeight="true" outlineLevel="0" collapsed="false">
      <c r="B1" s="1" t="s">
        <v>0</v>
      </c>
      <c r="C1" s="2"/>
      <c r="D1" s="2"/>
      <c r="E1" s="2"/>
      <c r="F1" s="2"/>
      <c r="G1" s="3" t="s">
        <v>1</v>
      </c>
      <c r="H1" s="4" t="s">
        <v>2</v>
      </c>
    </row>
    <row r="2" customFormat="false" ht="9.75" hidden="false" customHeight="true" outlineLevel="0" collapsed="false">
      <c r="B2" s="5"/>
      <c r="C2" s="5"/>
      <c r="D2" s="5"/>
      <c r="E2" s="5"/>
      <c r="F2" s="5"/>
      <c r="G2" s="5"/>
      <c r="H2" s="4" t="s">
        <v>3</v>
      </c>
    </row>
    <row r="3" customFormat="false" ht="21.75" hidden="false" customHeight="true" outlineLevel="0" collapsed="false">
      <c r="B3" s="6" t="s">
        <v>4</v>
      </c>
      <c r="C3" s="6"/>
      <c r="D3" s="6"/>
      <c r="E3" s="6"/>
      <c r="F3" s="6"/>
      <c r="G3" s="6"/>
      <c r="H3" s="4" t="s">
        <v>3</v>
      </c>
    </row>
    <row r="4" customFormat="false" ht="30" hidden="false" customHeight="true" outlineLevel="0" collapsed="false">
      <c r="B4" s="7" t="s">
        <v>5</v>
      </c>
      <c r="C4" s="7"/>
      <c r="D4" s="7"/>
      <c r="E4" s="7"/>
      <c r="F4" s="7"/>
      <c r="G4" s="7"/>
      <c r="H4" s="4" t="s">
        <v>3</v>
      </c>
    </row>
    <row r="5" customFormat="false" ht="30" hidden="false" customHeight="true" outlineLevel="0" collapsed="false">
      <c r="B5" s="5" t="s">
        <v>6</v>
      </c>
      <c r="C5" s="5"/>
      <c r="D5" s="5"/>
      <c r="E5" s="5"/>
      <c r="F5" s="5"/>
      <c r="G5" s="5"/>
      <c r="H5" s="4" t="s">
        <v>3</v>
      </c>
    </row>
    <row r="6" customFormat="false" ht="18" hidden="false" customHeight="true" outlineLevel="0" collapsed="false">
      <c r="B6" s="8" t="s">
        <v>7</v>
      </c>
      <c r="C6" s="8"/>
      <c r="D6" s="8"/>
      <c r="E6" s="8"/>
      <c r="F6" s="8"/>
      <c r="G6" s="8"/>
      <c r="H6" s="4" t="s">
        <v>3</v>
      </c>
    </row>
    <row r="7" customFormat="false" ht="7.5" hidden="false" customHeight="true" outlineLevel="0" collapsed="false">
      <c r="B7" s="5"/>
      <c r="C7" s="5"/>
      <c r="D7" s="5"/>
      <c r="E7" s="5"/>
      <c r="F7" s="5"/>
      <c r="G7" s="5"/>
      <c r="H7" s="4" t="s">
        <v>3</v>
      </c>
    </row>
    <row r="8" customFormat="false" ht="30" hidden="false" customHeight="true" outlineLevel="0" collapsed="false">
      <c r="B8" s="7" t="s">
        <v>8</v>
      </c>
      <c r="C8" s="7"/>
      <c r="D8" s="7"/>
      <c r="E8" s="7"/>
      <c r="F8" s="7"/>
      <c r="G8" s="7"/>
      <c r="H8" s="4" t="s">
        <v>3</v>
      </c>
    </row>
    <row r="9" customFormat="false" ht="18" hidden="false" customHeight="true" outlineLevel="0" collapsed="false">
      <c r="B9" s="8" t="s">
        <v>9</v>
      </c>
      <c r="C9" s="8"/>
      <c r="D9" s="8"/>
      <c r="E9" s="8"/>
      <c r="F9" s="8"/>
      <c r="G9" s="8"/>
      <c r="H9" s="4" t="s">
        <v>3</v>
      </c>
    </row>
    <row r="10" customFormat="false" ht="7.5" hidden="false" customHeight="true" outlineLevel="0" collapsed="false">
      <c r="B10" s="5"/>
      <c r="C10" s="5"/>
      <c r="D10" s="5"/>
      <c r="E10" s="5"/>
      <c r="F10" s="5"/>
      <c r="G10" s="5"/>
      <c r="H10" s="4" t="s">
        <v>3</v>
      </c>
    </row>
    <row r="11" customFormat="false" ht="15.75" hidden="false" customHeight="true" outlineLevel="0" collapsed="false">
      <c r="B11" s="6" t="s">
        <v>10</v>
      </c>
      <c r="C11" s="6"/>
      <c r="D11" s="6"/>
      <c r="E11" s="6"/>
      <c r="F11" s="6"/>
      <c r="G11" s="6"/>
      <c r="H11" s="4" t="s">
        <v>3</v>
      </c>
    </row>
    <row r="12" customFormat="false" ht="15.75" hidden="false" customHeight="true" outlineLevel="0" collapsed="false">
      <c r="B12" s="5" t="s">
        <v>11</v>
      </c>
      <c r="C12" s="5"/>
      <c r="D12" s="5"/>
      <c r="E12" s="5"/>
      <c r="F12" s="5"/>
      <c r="G12" s="5"/>
      <c r="H12" s="4" t="s">
        <v>3</v>
      </c>
    </row>
    <row r="13" customFormat="false" ht="15.75" hidden="false" customHeight="true" outlineLevel="0" collapsed="false">
      <c r="B13" s="6" t="s">
        <v>12</v>
      </c>
      <c r="C13" s="6"/>
      <c r="D13" s="6"/>
      <c r="E13" s="6"/>
      <c r="F13" s="6"/>
      <c r="G13" s="6"/>
      <c r="H13" s="4" t="s">
        <v>3</v>
      </c>
    </row>
    <row r="14" customFormat="false" ht="15.75" hidden="false" customHeight="true" outlineLevel="0" collapsed="false">
      <c r="B14" s="5" t="s">
        <v>13</v>
      </c>
      <c r="C14" s="5"/>
      <c r="D14" s="5"/>
      <c r="E14" s="5"/>
      <c r="F14" s="5"/>
      <c r="G14" s="5"/>
      <c r="H14" s="4" t="s">
        <v>3</v>
      </c>
    </row>
    <row r="15" customFormat="false" ht="15.75" hidden="false" customHeight="true" outlineLevel="0" collapsed="false">
      <c r="B15" s="6" t="s">
        <v>14</v>
      </c>
      <c r="C15" s="6"/>
      <c r="D15" s="6"/>
      <c r="E15" s="6"/>
      <c r="F15" s="6"/>
      <c r="G15" s="6"/>
      <c r="H15" s="4" t="s">
        <v>3</v>
      </c>
    </row>
    <row r="16" customFormat="false" ht="30" hidden="false" customHeight="true" outlineLevel="0" collapsed="false">
      <c r="B16" s="5" t="s">
        <v>15</v>
      </c>
      <c r="C16" s="5"/>
      <c r="D16" s="5"/>
      <c r="E16" s="5"/>
      <c r="F16" s="5"/>
      <c r="G16" s="5"/>
      <c r="H16" s="4" t="s">
        <v>3</v>
      </c>
    </row>
    <row r="17" customFormat="false" ht="15.75" hidden="false" customHeight="true" outlineLevel="0" collapsed="false">
      <c r="B17" s="6" t="s">
        <v>16</v>
      </c>
      <c r="C17" s="6"/>
      <c r="D17" s="6"/>
      <c r="E17" s="6"/>
      <c r="F17" s="6"/>
      <c r="G17" s="6"/>
      <c r="H17" s="4" t="s">
        <v>3</v>
      </c>
    </row>
    <row r="18" customFormat="false" ht="15.75" hidden="false" customHeight="true" outlineLevel="0" collapsed="false">
      <c r="B18" s="5" t="s">
        <v>17</v>
      </c>
      <c r="C18" s="5"/>
      <c r="D18" s="5"/>
      <c r="E18" s="5"/>
      <c r="F18" s="5"/>
      <c r="G18" s="5"/>
      <c r="H18" s="4" t="s">
        <v>3</v>
      </c>
    </row>
    <row r="19" customFormat="false" ht="7.5" hidden="false" customHeight="true" outlineLevel="0" collapsed="false">
      <c r="B19" s="5"/>
      <c r="C19" s="5"/>
      <c r="D19" s="5"/>
      <c r="E19" s="5"/>
      <c r="F19" s="5"/>
      <c r="G19" s="5"/>
      <c r="H19" s="4" t="s">
        <v>3</v>
      </c>
    </row>
    <row r="20" customFormat="false" ht="30" hidden="false" customHeight="true" outlineLevel="0" collapsed="false">
      <c r="B20" s="8" t="s">
        <v>18</v>
      </c>
      <c r="C20" s="8"/>
      <c r="D20" s="8"/>
      <c r="E20" s="8"/>
      <c r="F20" s="8"/>
      <c r="G20" s="8"/>
      <c r="H20" s="4" t="s">
        <v>3</v>
      </c>
    </row>
    <row r="21" customFormat="false" ht="9.75" hidden="false" customHeight="true" outlineLevel="0" collapsed="false">
      <c r="B21" s="5"/>
      <c r="C21" s="5"/>
      <c r="D21" s="5"/>
      <c r="E21" s="5"/>
      <c r="F21" s="5"/>
      <c r="G21" s="5"/>
      <c r="H21" s="4" t="s">
        <v>3</v>
      </c>
    </row>
    <row r="23" customFormat="false" ht="19.5" hidden="false" customHeight="true" outlineLevel="0" collapsed="false">
      <c r="B23" s="1" t="s">
        <v>0</v>
      </c>
      <c r="C23" s="2"/>
      <c r="D23" s="2"/>
      <c r="E23" s="2"/>
      <c r="F23" s="2"/>
      <c r="G23" s="3" t="s">
        <v>1</v>
      </c>
      <c r="H23" s="4" t="s">
        <v>2</v>
      </c>
    </row>
    <row r="24" customFormat="false" ht="21.75" hidden="false" customHeight="true" outlineLevel="0" collapsed="false">
      <c r="B24" s="9" t="s">
        <v>19</v>
      </c>
      <c r="C24" s="10"/>
      <c r="D24" s="10"/>
      <c r="E24" s="10"/>
      <c r="F24" s="10"/>
      <c r="G24" s="10"/>
      <c r="H24" s="4" t="s">
        <v>20</v>
      </c>
    </row>
    <row r="25" customFormat="false" ht="15.75" hidden="false" customHeight="true" outlineLevel="0" collapsed="false">
      <c r="B25" s="11" t="s">
        <v>21</v>
      </c>
      <c r="C25" s="10"/>
      <c r="D25" s="10"/>
      <c r="E25" s="10"/>
      <c r="F25" s="10"/>
      <c r="G25" s="10"/>
      <c r="H25" s="4" t="s">
        <v>22</v>
      </c>
    </row>
    <row r="27" customFormat="false" ht="25.5" hidden="false" customHeight="true" outlineLevel="0" collapsed="false">
      <c r="B27" s="12" t="s">
        <v>23</v>
      </c>
      <c r="C27" s="12"/>
      <c r="D27" s="12"/>
      <c r="E27" s="12"/>
      <c r="F27" s="12"/>
      <c r="G27" s="12"/>
      <c r="H27" s="4" t="s">
        <v>24</v>
      </c>
    </row>
    <row r="28" customFormat="false" ht="18" hidden="false" customHeight="true" outlineLevel="0" collapsed="false">
      <c r="B28" s="1" t="s">
        <v>25</v>
      </c>
      <c r="C28" s="13" t="s">
        <v>26</v>
      </c>
      <c r="D28" s="13" t="s">
        <v>27</v>
      </c>
      <c r="E28" s="13"/>
      <c r="F28" s="13"/>
      <c r="G28" s="1" t="s">
        <v>28</v>
      </c>
      <c r="H28" s="4" t="s">
        <v>29</v>
      </c>
    </row>
    <row r="29" customFormat="false" ht="30" hidden="false" customHeight="true" outlineLevel="0" collapsed="false">
      <c r="B29" s="14" t="s">
        <v>30</v>
      </c>
      <c r="C29" s="15" t="s">
        <v>31</v>
      </c>
      <c r="D29" s="16" t="str">
        <f aca="false">(ROUND((W_FERMES)*100,0)&amp;" %")&amp;" de l'actif sans fenêtre avant échéance ; écart actif-passif de "&amp;(ROUND(Ecart_TTL,0)&amp;"")&amp;" jours"</f>
        <v>51 % de l'actif sans fenêtre avant échéance ; écart actif-passif de 733 jours</v>
      </c>
      <c r="E29" s="16"/>
      <c r="F29" s="16"/>
      <c r="G29" s="17" t="s">
        <v>32</v>
      </c>
      <c r="H29" s="4" t="s">
        <v>33</v>
      </c>
    </row>
    <row r="30" customFormat="false" ht="30" hidden="false" customHeight="true" outlineLevel="0" collapsed="false">
      <c r="B30" s="14" t="s">
        <v>34</v>
      </c>
      <c r="C30" s="15" t="s">
        <v>31</v>
      </c>
      <c r="D30" s="16" t="str">
        <f aca="false">N_rouge&amp;" scénarios rouges sur "&amp;(N_vert+N_orange+N_rouge)&amp;" : rachats de 15 % puis 20 %, crise combinée ; point de rupture à "&amp;(SUBSTITUTE(ROUND((Rupture_rachats)*100,1)&amp;"",".",",")&amp;" %")&amp;" par date"</f>
        <v>4 scénarios rouges sur 9 : rachats de 15 % puis 20 %, crise combinée ; point de rupture à 7,5 % par date</v>
      </c>
      <c r="E30" s="16"/>
      <c r="F30" s="16"/>
      <c r="G30" s="17" t="s">
        <v>35</v>
      </c>
      <c r="H30" s="4" t="s">
        <v>33</v>
      </c>
    </row>
    <row r="31" customFormat="false" ht="30" hidden="false" customHeight="true" outlineLevel="0" collapsed="false">
      <c r="B31" s="14" t="s">
        <v>36</v>
      </c>
      <c r="C31" s="15" t="s">
        <v>31</v>
      </c>
      <c r="D31" s="16" t="str">
        <f aca="false">(ROUND((W_MACQ)*100,0)&amp;" %")&amp;" de l'allocation chez Macquarie, "&amp;(ROUND((W_MAPIF)*100,0)&amp;" %")&amp;" sur MAPIF II ; aucune limite au prospectus"</f>
        <v>51 % de l'allocation chez Macquarie, 34 % sur MAPIF II ; aucune limite au prospectus</v>
      </c>
      <c r="E31" s="16"/>
      <c r="F31" s="16"/>
      <c r="G31" s="17" t="s">
        <v>37</v>
      </c>
      <c r="H31" s="4" t="s">
        <v>33</v>
      </c>
    </row>
    <row r="32" customFormat="false" ht="30" hidden="false" customHeight="true" outlineLevel="0" collapsed="false">
      <c r="B32" s="14" t="s">
        <v>38</v>
      </c>
      <c r="C32" s="15" t="s">
        <v>39</v>
      </c>
      <c r="D32" s="16" t="str">
        <f aca="false">"Dollar non couvert de "&amp;(ROUND((W_USD_BAS)*100,0)&amp;" %")&amp;" à "&amp;(ROUND((W_USD_HAUT)*100,0)&amp;" %")&amp;" de l'actif ; VL trimestrielles décalées sur "&amp;(ROUND((W_FERMES)*100,0)&amp;" %")</f>
        <v>Dollar non couvert de 34 % à 68 % de l'actif ; VL trimestrielles décalées sur 51 %</v>
      </c>
      <c r="E32" s="16"/>
      <c r="F32" s="16"/>
      <c r="G32" s="17" t="s">
        <v>40</v>
      </c>
      <c r="H32" s="4" t="s">
        <v>33</v>
      </c>
    </row>
    <row r="33" customFormat="false" ht="30" hidden="false" customHeight="true" outlineLevel="0" collapsed="false">
      <c r="B33" s="14" t="s">
        <v>41</v>
      </c>
      <c r="C33" s="15" t="s">
        <v>31</v>
      </c>
      <c r="D33" s="16" t="str">
        <f aca="false">"Préavis 91 jours au prospectus contre 180 dans la note de liquidité ; "&amp;Lim_a_arreter&amp;" seuils à arrêter, "&amp;Lim_a_valider&amp;" à valider ; douze écarts au registre"</f>
        <v>Préavis 91 jours au prospectus contre 180 dans la note de liquidité ; 4 seuils à arrêter, 7 à valider ; douze écarts au registre</v>
      </c>
      <c r="E33" s="16"/>
      <c r="F33" s="16"/>
      <c r="G33" s="17" t="s">
        <v>42</v>
      </c>
      <c r="H33" s="4" t="s">
        <v>33</v>
      </c>
    </row>
    <row r="34" customFormat="false" ht="30" hidden="false" customHeight="true" outlineLevel="0" collapsed="false">
      <c r="B34" s="14" t="s">
        <v>43</v>
      </c>
      <c r="C34" s="15" t="s">
        <v>44</v>
      </c>
      <c r="D34" s="16" t="s">
        <v>45</v>
      </c>
      <c r="E34" s="16"/>
      <c r="F34" s="16"/>
      <c r="G34" s="17" t="s">
        <v>46</v>
      </c>
      <c r="H34" s="4" t="s">
        <v>33</v>
      </c>
    </row>
    <row r="36" customFormat="false" ht="18" hidden="false" customHeight="true" outlineLevel="0" collapsed="false">
      <c r="B36" s="12" t="s">
        <v>47</v>
      </c>
      <c r="C36" s="12"/>
      <c r="D36" s="12"/>
      <c r="E36" s="12"/>
      <c r="F36" s="12"/>
      <c r="G36" s="12"/>
      <c r="H36" s="4" t="s">
        <v>24</v>
      </c>
    </row>
    <row r="37" customFormat="false" ht="24" hidden="false" customHeight="true" outlineLevel="0" collapsed="false">
      <c r="B37" s="18" t="s">
        <v>48</v>
      </c>
      <c r="C37" s="18" t="s">
        <v>49</v>
      </c>
      <c r="D37" s="18" t="s">
        <v>50</v>
      </c>
      <c r="H37" s="4" t="s">
        <v>51</v>
      </c>
    </row>
    <row r="38" customFormat="false" ht="18" hidden="false" customHeight="true" outlineLevel="0" collapsed="false">
      <c r="B38" s="19" t="str">
        <f aca="false">(ROUND((W_FERMES)*100,0)&amp;" %")&amp;" de l'actif net"</f>
        <v>51 % de l'actif net</v>
      </c>
      <c r="C38" s="19" t="str">
        <f aca="false">(SUBSTITUTE(ROUND((Rupture_rachats)*100,1)&amp;"",".",",")&amp;" %")&amp;" par date"</f>
        <v>7,5 % par date</v>
      </c>
      <c r="D38" s="19" t="str">
        <f aca="false">(ROUND((W_MACQ)*100,0)&amp;" %")&amp;" de l'actif net"</f>
        <v>51 % de l'actif net</v>
      </c>
      <c r="H38" s="4" t="s">
        <v>52</v>
      </c>
    </row>
    <row r="39" customFormat="false" ht="33.75" hidden="false" customHeight="true" outlineLevel="0" collapsed="false">
      <c r="B39" s="18" t="str">
        <f aca="false">"MAPIF II et MSIG 3 ; délai moyen de liquidation de l'actif "&amp;(ROUND(TTL_actif,0)&amp;"")&amp;" jours contre "&amp;(ROUND(TTL_passif,0)&amp;"")&amp;" jours pour la sortie d'un porteur"</f>
        <v>MAPIF II et MSIG 3 ; délai moyen de liquidation de l'actif 964 jours contre 231 jours pour la sortie d'un porteur</v>
      </c>
      <c r="C39" s="18" t="str">
        <f aca="false">"Quatre dates plafonnées puis suspension fin 2030 ; sans plafonnement, "&amp;SUBSTITUTE(ROUND(Rupture_cession,1)&amp;"",".",",")&amp;" M€ de cessions secondaires - décisions 1 et 5"</f>
        <v>Quatre dates plafonnées puis suspension fin 2030 ; sans plafonnement, 5,8 M€ de cessions secondaires - décisions 1 et 5</v>
      </c>
      <c r="D39" s="18" t="str">
        <f aca="false">"Macquarie, deux fonds fermés dont un non lancé ; score IRP en transparence "&amp;SUBSTITUTE(ROUND(IRPc_Transp,1)&amp;"",".",",")&amp;" sur 100 - décision 4"</f>
        <v>Macquarie, deux fonds fermés dont un non lancé ; score IRP en transparence 62,1 sur 100 - décision 4</v>
      </c>
      <c r="H39" s="4" t="s">
        <v>53</v>
      </c>
    </row>
    <row r="41" customFormat="false" ht="18" hidden="false" customHeight="true" outlineLevel="0" collapsed="false">
      <c r="B41" s="12" t="s">
        <v>54</v>
      </c>
      <c r="C41" s="12"/>
      <c r="D41" s="12"/>
      <c r="E41" s="12"/>
      <c r="F41" s="12"/>
      <c r="G41" s="12"/>
      <c r="H41" s="4" t="s">
        <v>24</v>
      </c>
    </row>
    <row r="42" customFormat="false" ht="18" hidden="false" customHeight="true" outlineLevel="0" collapsed="false">
      <c r="B42" s="1" t="s">
        <v>55</v>
      </c>
      <c r="C42" s="13" t="s">
        <v>56</v>
      </c>
      <c r="D42" s="13"/>
      <c r="E42" s="13" t="s">
        <v>57</v>
      </c>
      <c r="F42" s="13"/>
      <c r="G42" s="1" t="s">
        <v>58</v>
      </c>
      <c r="H42" s="4" t="s">
        <v>29</v>
      </c>
    </row>
    <row r="43" customFormat="false" ht="43.5" hidden="false" customHeight="true" outlineLevel="0" collapsed="false">
      <c r="B43" s="20" t="s">
        <v>59</v>
      </c>
      <c r="C43" s="16" t="str">
        <f aca="false">Dec1</f>
        <v>Figer le texte de liquidité du prospectus avant dépôt</v>
      </c>
      <c r="D43" s="16"/>
      <c r="E43" s="16" t="str">
        <f aca="false">DecP1</f>
        <v>Préavis 91 jours, Demandes Prioritaires, issue après 4 dates, assiette du plafonnement, clause de dépassement passif du plancher de 15 %.</v>
      </c>
      <c r="F43" s="16"/>
      <c r="G43" s="17" t="str">
        <f aca="false">DecE1</f>
        <v>Avant le dépôt</v>
      </c>
      <c r="H43" s="4" t="s">
        <v>33</v>
      </c>
    </row>
    <row r="44" customFormat="false" ht="43.5" hidden="false" customHeight="true" outlineLevel="0" collapsed="false">
      <c r="B44" s="20" t="s">
        <v>60</v>
      </c>
      <c r="C44" s="16" t="str">
        <f aca="false">Dec2</f>
        <v>Réintroduire le levier maximal AIFM (100 % engagement et brut)</v>
      </c>
      <c r="D44" s="16"/>
      <c r="E44" s="16" t="str">
        <f aca="false">DecP2</f>
        <v>Obligation de l'art. 23 § 1 a) de la directive ; sans emprunt ni dérivé, le niveau est sans coût.</v>
      </c>
      <c r="F44" s="16"/>
      <c r="G44" s="17" t="str">
        <f aca="false">DecE2</f>
        <v>Avant le dépôt</v>
      </c>
      <c r="H44" s="4" t="s">
        <v>33</v>
      </c>
    </row>
    <row r="45" customFormat="false" ht="43.5" hidden="false" customHeight="true" outlineLevel="0" collapsed="false">
      <c r="B45" s="20" t="s">
        <v>61</v>
      </c>
      <c r="C45" s="16" t="str">
        <f aca="false">Dec3</f>
        <v>Conditionner tout engagement fermé aux dérogations écrites et aux choix de véhicule</v>
      </c>
      <c r="D45" s="16"/>
      <c r="E45" s="16" t="str">
        <f aca="false">DecP3</f>
        <v>Dérogations de ticket MAPIF II et MSIG 3, confirmation AWI, manche et devise de MSIG 3, classe PG NGI.</v>
      </c>
      <c r="F45" s="16"/>
      <c r="G45" s="17" t="str">
        <f aca="false">DecE3</f>
        <v>Avant tout engagement</v>
      </c>
      <c r="H45" s="4" t="s">
        <v>33</v>
      </c>
    </row>
    <row r="46" customFormat="false" ht="43.5" hidden="false" customHeight="true" outlineLevel="0" collapsed="false">
      <c r="B46" s="20" t="s">
        <v>62</v>
      </c>
      <c r="C46" s="16" t="str">
        <f aca="false">Dec4</f>
        <v>Arrêter les limites internes KRI-08 à KRI-11</v>
      </c>
      <c r="D46" s="16"/>
      <c r="E46" s="16" t="str">
        <f aca="false">DecP4</f>
        <v>Gérant 40 %, fonds cible 35 %, dollar non couvert 40 %, péremption des VL à 120 jours pour les fonds fermés.</v>
      </c>
      <c r="F46" s="16"/>
      <c r="G46" s="17" t="str">
        <f aca="false">DecE4</f>
        <v>Prochain comité</v>
      </c>
      <c r="H46" s="4" t="s">
        <v>33</v>
      </c>
    </row>
    <row r="47" customFormat="false" ht="43.5" hidden="false" customHeight="true" outlineLevel="0" collapsed="false">
      <c r="B47" s="20" t="s">
        <v>63</v>
      </c>
      <c r="C47" s="16" t="str">
        <f aca="false">Dec5</f>
        <v>Adopter la règle de séquencement des engagements et de la première fenêtre</v>
      </c>
      <c r="D47" s="16"/>
      <c r="E47" s="16" t="str">
        <f aca="false">DecP5</f>
        <v>Appels à douze mois couverts par la poche ; non-appelé ≤ 15 % de l'actif net à la fin du blocage ; première centralisation après 24 mois de détention Ares.</v>
      </c>
      <c r="F47" s="16"/>
      <c r="G47" s="17" t="str">
        <f aca="false">DecE5</f>
        <v>Au lancement</v>
      </c>
      <c r="H47" s="4" t="s">
        <v>33</v>
      </c>
    </row>
    <row r="48" customFormat="false" ht="43.5" hidden="false" customHeight="true" outlineLevel="0" collapsed="false">
      <c r="B48" s="20" t="s">
        <v>64</v>
      </c>
      <c r="C48" s="16" t="str">
        <f aca="false">Dec6</f>
        <v>Formaliser la gouvernance du Conseiller et la revue des VL reçues</v>
      </c>
      <c r="D48" s="16"/>
      <c r="E48" s="16" t="str">
        <f aca="false">DecP6</f>
        <v>Cartographie du conflit conseil / distribution / révocation ; procédure de revue des VL et calendrier Annexe IV.</v>
      </c>
      <c r="F48" s="16"/>
      <c r="G48" s="17" t="str">
        <f aca="false">DecE6</f>
        <v>T4 2026</v>
      </c>
      <c r="H48" s="4" t="s">
        <v>33</v>
      </c>
    </row>
    <row r="49" customFormat="false" ht="25.5" hidden="false" customHeight="true" outlineLevel="0" collapsed="false">
      <c r="B49" s="21" t="s">
        <v>65</v>
      </c>
      <c r="C49" s="21"/>
      <c r="D49" s="21"/>
      <c r="E49" s="21"/>
      <c r="F49" s="21"/>
      <c r="G49" s="21"/>
      <c r="H49" s="4" t="s">
        <v>66</v>
      </c>
    </row>
    <row r="51" customFormat="false" ht="19.5" hidden="false" customHeight="true" outlineLevel="0" collapsed="false">
      <c r="B51" s="1" t="s">
        <v>0</v>
      </c>
      <c r="C51" s="2"/>
      <c r="D51" s="2"/>
      <c r="E51" s="2"/>
      <c r="F51" s="2"/>
      <c r="G51" s="3" t="s">
        <v>1</v>
      </c>
      <c r="H51" s="4" t="s">
        <v>2</v>
      </c>
    </row>
    <row r="52" customFormat="false" ht="21.75" hidden="false" customHeight="true" outlineLevel="0" collapsed="false">
      <c r="B52" s="9" t="s">
        <v>67</v>
      </c>
      <c r="C52" s="10"/>
      <c r="D52" s="10"/>
      <c r="E52" s="10"/>
      <c r="F52" s="10"/>
      <c r="G52" s="10"/>
      <c r="H52" s="4" t="s">
        <v>20</v>
      </c>
    </row>
    <row r="53" customFormat="false" ht="15.75" hidden="false" customHeight="true" outlineLevel="0" collapsed="false">
      <c r="B53" s="11" t="s">
        <v>68</v>
      </c>
      <c r="C53" s="10"/>
      <c r="D53" s="10"/>
      <c r="E53" s="10"/>
      <c r="F53" s="10"/>
      <c r="G53" s="10"/>
      <c r="H53" s="4" t="s">
        <v>22</v>
      </c>
    </row>
    <row r="55" customFormat="false" ht="18" hidden="false" customHeight="true" outlineLevel="0" collapsed="false">
      <c r="B55" s="12" t="s">
        <v>69</v>
      </c>
      <c r="C55" s="12"/>
      <c r="D55" s="12"/>
      <c r="E55" s="12"/>
      <c r="F55" s="12"/>
      <c r="G55" s="12"/>
      <c r="H55" s="4" t="s">
        <v>24</v>
      </c>
    </row>
    <row r="56" customFormat="false" ht="103.5" hidden="false" customHeight="true" outlineLevel="0" collapsed="false">
      <c r="B56" s="21" t="str">
        <f aca="false">"À la date d'arrêté, le Fonds n'est pas constitué : aucune limite du prospectus n'est franchie ni testable. Le dispositif est cohérent sur le papier - ni emprunt ni dérivé, poche liquide de "&amp;(ROUND((Liq_min)*100,0)&amp;" %")&amp;" au moins, plafonnement de "&amp;(ROUND((Gate)*100,0)&amp;" %")&amp;" par date, prolongation du préavis et suspension - mais il repose sur un actif dont "&amp;(ROUND((W_FERMES)*100,0)&amp;" %")&amp;" ne se liquide qu'à l'échéance des fonds cibles. Les stress tests du 24/09/2026 donnent "&amp;N_vert&amp;" scénarios verts, "&amp;N_orange&amp;" orange et "&amp;N_rouge&amp;" rouges : le Fonds absorbe des rachats de 10 % par date au prix de quatre dates plafonnées, il ne résiste pas à 15 % puis 20 % ni à une crise combinée sans cessions et suspension. Trois chantiers conditionnent le lancement : figer le texte de liquidité (préavis, Demandes Prioritaires, issue du plafonnement), obtenir les dérogations de ticket des deux fonds Macquarie, et arrêter des limites internes de concentration et de change que le prospectus ne contient pas."</f>
        <v>À la date d'arrêté, le Fonds n'est pas constitué : aucune limite du prospectus n'est franchie ni testable. Le dispositif est cohérent sur le papier - ni emprunt ni dérivé, poche liquide de 15 % au moins, plafonnement de 5 % par date, prolongation du préavis et suspension - mais il repose sur un actif dont 51 % ne se liquide qu'à l'échéance des fonds cibles. Les stress tests du 24/09/2026 donnent 1 scénarios verts, 4 orange et 4 rouges : le Fonds absorbe des rachats de 10 % par date au prix de quatre dates plafonnées, il ne résiste pas à 15 % puis 20 % ni à une crise combinée sans cessions et suspension. Trois chantiers conditionnent le lancement : figer le texte de liquidité (préavis, Demandes Prioritaires, issue du plafonnement), obtenir les dérogations de ticket des deux fonds Macquarie, et arrêter des limites internes de concentration et de change que le prospectus ne contient pas.</v>
      </c>
      <c r="C56" s="21"/>
      <c r="D56" s="21"/>
      <c r="E56" s="21"/>
      <c r="F56" s="21"/>
      <c r="G56" s="21"/>
      <c r="H56" s="4" t="s">
        <v>66</v>
      </c>
    </row>
    <row r="58" customFormat="false" ht="24" hidden="false" customHeight="true" outlineLevel="0" collapsed="false">
      <c r="B58" s="18" t="s">
        <v>70</v>
      </c>
      <c r="C58" s="18" t="s">
        <v>71</v>
      </c>
      <c r="D58" s="18" t="s">
        <v>72</v>
      </c>
      <c r="E58" s="18" t="s">
        <v>73</v>
      </c>
      <c r="F58" s="18" t="s">
        <v>74</v>
      </c>
      <c r="H58" s="4" t="s">
        <v>51</v>
      </c>
    </row>
    <row r="59" customFormat="false" ht="18" hidden="false" customHeight="true" outlineLevel="0" collapsed="false">
      <c r="B59" s="19" t="str">
        <f aca="false">(ROUND(AN_cible/1000000,0)&amp;"")&amp;" M€"</f>
        <v>50 M€</v>
      </c>
      <c r="C59" s="19" t="str">
        <f aca="false">SUBSTITUTE(ROUND(Gate*AN_cible/1000000,1)&amp;"",".",",")&amp;" M€"</f>
        <v>2,5 M€</v>
      </c>
      <c r="D59" s="19" t="str">
        <f aca="false">SUBSTITUTE(ROUND(Couv_poche_gate,1)&amp;"",".",",")&amp;" x"</f>
        <v>3 x</v>
      </c>
      <c r="E59" s="19" t="str">
        <f aca="false">SUBSTITUTE(ROUND(IRPc_Fonds,1)&amp;"",".",",")&amp;" / 100"</f>
        <v>71,4 / 100</v>
      </c>
      <c r="F59" s="19" t="str">
        <f aca="false">SUBSTITUTE(ROUND(IRPc_Transp,1)&amp;"",".",",")&amp;" / 100"</f>
        <v>62,1 / 100</v>
      </c>
      <c r="H59" s="4" t="s">
        <v>52</v>
      </c>
    </row>
    <row r="60" customFormat="false" ht="33.75" hidden="false" customHeight="true" outlineLevel="0" collapsed="false">
      <c r="B60" s="18" t="s">
        <v>75</v>
      </c>
      <c r="C60" s="18" t="str">
        <f aca="false">"5 % de l'actif net, net des souscriptions - art. 7.2.6 ; "&amp;(ROUND((Gate_annuel)*100,0)&amp;" %")&amp;" par an au plus"</f>
        <v>5 % de l'actif net, net des souscriptions - art. 7.2.6 ; 10 % par an au plus</v>
      </c>
      <c r="D60" s="18" t="str">
        <f aca="false">"poche de "&amp;(ROUND((W_LIQ)*100,0)&amp;" %")&amp;" ; les fonds evergreen ajoutent "&amp;(SUBSTITUTE(ROUND((Cap_evergreen)*100,1)&amp;"",".",",")&amp;" %")&amp;" par semestre"</f>
        <v>poche de 15 % ; les fonds evergreen ajoutent 3,4 % par semestre</v>
      </c>
      <c r="E60" s="18" t="s">
        <v>76</v>
      </c>
      <c r="F60" s="18" t="str">
        <f aca="false">"Élevé - "&amp;SUBSTITUTE(ROUND(IRPc_Transp_hp,1)&amp;"",".",",")&amp;" hors poche liquide ; MAPIF II seul fonds cible noté Moyen"</f>
        <v>Élevé - 73,1 hors poche liquide ; MAPIF II seul fonds cible noté Moyen</v>
      </c>
      <c r="H60" s="4" t="s">
        <v>53</v>
      </c>
    </row>
    <row r="62" customFormat="false" ht="18" hidden="false" customHeight="true" outlineLevel="0" collapsed="false">
      <c r="B62" s="12" t="s">
        <v>77</v>
      </c>
      <c r="C62" s="12"/>
      <c r="D62" s="12"/>
      <c r="E62" s="12"/>
      <c r="F62" s="12"/>
      <c r="G62" s="12"/>
      <c r="H62" s="4" t="s">
        <v>24</v>
      </c>
    </row>
    <row r="63" customFormat="false" ht="18" hidden="false" customHeight="true" outlineLevel="0" collapsed="false">
      <c r="B63" s="1" t="s">
        <v>78</v>
      </c>
      <c r="C63" s="13" t="s">
        <v>79</v>
      </c>
      <c r="D63" s="13" t="s">
        <v>80</v>
      </c>
      <c r="E63" s="13" t="s">
        <v>81</v>
      </c>
      <c r="F63" s="13" t="s">
        <v>82</v>
      </c>
      <c r="G63" s="1" t="s">
        <v>83</v>
      </c>
      <c r="H63" s="4" t="s">
        <v>29</v>
      </c>
    </row>
    <row r="64" customFormat="false" ht="24" hidden="false" customHeight="true" outlineLevel="0" collapsed="false">
      <c r="B64" s="14" t="s">
        <v>84</v>
      </c>
      <c r="C64" s="22" t="n">
        <f aca="false">W_FERMES</f>
        <v>0.51</v>
      </c>
      <c r="D64" s="15" t="s">
        <v>85</v>
      </c>
      <c r="E64" s="15" t="s">
        <v>86</v>
      </c>
      <c r="F64" s="15" t="s">
        <v>87</v>
      </c>
      <c r="G64" s="17" t="s">
        <v>88</v>
      </c>
      <c r="H64" s="4" t="s">
        <v>33</v>
      </c>
    </row>
    <row r="65" customFormat="false" ht="24" hidden="false" customHeight="true" outlineLevel="0" collapsed="false">
      <c r="B65" s="14" t="s">
        <v>89</v>
      </c>
      <c r="C65" s="22" t="n">
        <f aca="false">W_EVER</f>
        <v>0.34</v>
      </c>
      <c r="D65" s="15" t="s">
        <v>90</v>
      </c>
      <c r="E65" s="15" t="s">
        <v>91</v>
      </c>
      <c r="F65" s="15" t="s">
        <v>90</v>
      </c>
      <c r="G65" s="17" t="s">
        <v>92</v>
      </c>
      <c r="H65" s="4" t="s">
        <v>33</v>
      </c>
    </row>
    <row r="66" customFormat="false" ht="24" hidden="false" customHeight="true" outlineLevel="0" collapsed="false">
      <c r="B66" s="14" t="s">
        <v>93</v>
      </c>
      <c r="C66" s="22" t="n">
        <f aca="false">W_MACQ</f>
        <v>0.51</v>
      </c>
      <c r="D66" s="15" t="s">
        <v>85</v>
      </c>
      <c r="E66" s="15" t="s">
        <v>86</v>
      </c>
      <c r="F66" s="15" t="s">
        <v>94</v>
      </c>
      <c r="G66" s="17" t="s">
        <v>95</v>
      </c>
      <c r="H66" s="4" t="s">
        <v>33</v>
      </c>
    </row>
    <row r="67" customFormat="false" ht="24" hidden="false" customHeight="true" outlineLevel="0" collapsed="false">
      <c r="B67" s="14" t="s">
        <v>96</v>
      </c>
      <c r="C67" s="22" t="n">
        <f aca="false">W_LIQ</f>
        <v>0.15</v>
      </c>
      <c r="D67" s="22" t="n">
        <f aca="false">Liq_min</f>
        <v>0.15</v>
      </c>
      <c r="E67" s="15" t="s">
        <v>97</v>
      </c>
      <c r="F67" s="15" t="s">
        <v>98</v>
      </c>
      <c r="G67" s="17" t="s">
        <v>99</v>
      </c>
      <c r="H67" s="4" t="s">
        <v>33</v>
      </c>
    </row>
    <row r="68" customFormat="false" ht="24" hidden="false" customHeight="true" outlineLevel="0" collapsed="false">
      <c r="B68" s="14" t="s">
        <v>100</v>
      </c>
      <c r="C68" s="15" t="str">
        <f aca="false">(ROUND((W_USD_BAS)*100,0)&amp;" %")&amp;" / "&amp;(ROUND((W_USD_HAUT)*100,0)&amp;" %")</f>
        <v>34 % / 68 %</v>
      </c>
      <c r="D68" s="15" t="s">
        <v>85</v>
      </c>
      <c r="E68" s="15" t="s">
        <v>86</v>
      </c>
      <c r="F68" s="15" t="s">
        <v>101</v>
      </c>
      <c r="G68" s="17" t="s">
        <v>102</v>
      </c>
      <c r="H68" s="4" t="s">
        <v>33</v>
      </c>
    </row>
    <row r="69" customFormat="false" ht="24" hidden="false" customHeight="true" outlineLevel="0" collapsed="false">
      <c r="B69" s="14" t="s">
        <v>103</v>
      </c>
      <c r="C69" s="22" t="n">
        <f aca="false">Surengagement_max</f>
        <v>1.3</v>
      </c>
      <c r="D69" s="22" t="n">
        <f aca="false">Surengagement_max</f>
        <v>1.3</v>
      </c>
      <c r="E69" s="15" t="s">
        <v>104</v>
      </c>
      <c r="F69" s="15" t="s">
        <v>105</v>
      </c>
      <c r="G69" s="17" t="s">
        <v>106</v>
      </c>
      <c r="H69" s="4" t="s">
        <v>33</v>
      </c>
    </row>
    <row r="70" customFormat="false" ht="24" hidden="false" customHeight="true" outlineLevel="0" collapsed="false">
      <c r="B70" s="14" t="s">
        <v>107</v>
      </c>
      <c r="C70" s="22" t="n">
        <f aca="false">Levier_max</f>
        <v>1</v>
      </c>
      <c r="D70" s="22" t="n">
        <f aca="false">Levier_max</f>
        <v>1</v>
      </c>
      <c r="E70" s="15" t="s">
        <v>108</v>
      </c>
      <c r="F70" s="15" t="s">
        <v>109</v>
      </c>
      <c r="G70" s="17" t="s">
        <v>110</v>
      </c>
      <c r="H70" s="4" t="s">
        <v>33</v>
      </c>
    </row>
    <row r="71" customFormat="false" ht="24" hidden="false" customHeight="true" outlineLevel="0" collapsed="false">
      <c r="B71" s="14" t="s">
        <v>111</v>
      </c>
      <c r="C71" s="23" t="n">
        <f aca="false">TTL_actif</f>
        <v>963.5</v>
      </c>
      <c r="D71" s="15" t="s">
        <v>90</v>
      </c>
      <c r="E71" s="15" t="s">
        <v>91</v>
      </c>
      <c r="F71" s="15" t="s">
        <v>112</v>
      </c>
      <c r="G71" s="17" t="str">
        <f aca="false">"jours ; "&amp;(ROUND(TTL_actif_stress,0)&amp;"")&amp;" jours en stress"</f>
        <v>jours ; 1024 jours en stress</v>
      </c>
      <c r="H71" s="4" t="s">
        <v>33</v>
      </c>
    </row>
    <row r="72" customFormat="false" ht="24" hidden="false" customHeight="true" outlineLevel="0" collapsed="false">
      <c r="B72" s="14" t="s">
        <v>113</v>
      </c>
      <c r="C72" s="23" t="n">
        <f aca="false">TTL_passif</f>
        <v>231</v>
      </c>
      <c r="D72" s="15" t="s">
        <v>90</v>
      </c>
      <c r="E72" s="15" t="s">
        <v>91</v>
      </c>
      <c r="F72" s="15" t="s">
        <v>112</v>
      </c>
      <c r="G72" s="17" t="str">
        <f aca="false">"jours ; "&amp;(ROUND(TTL_passif_prolonge,0)&amp;"")&amp;" jours avec préavis prolongé"</f>
        <v>jours ; 320 jours avec préavis prolongé</v>
      </c>
      <c r="H72" s="4" t="s">
        <v>33</v>
      </c>
    </row>
    <row r="73" customFormat="false" ht="24" hidden="false" customHeight="true" outlineLevel="0" collapsed="false">
      <c r="B73" s="14" t="s">
        <v>114</v>
      </c>
      <c r="C73" s="23" t="n">
        <f aca="false">Lim_depassees</f>
        <v>0</v>
      </c>
      <c r="D73" s="23" t="n">
        <v>0</v>
      </c>
      <c r="E73" s="15" t="str">
        <f aca="false">IF(Lim_depassees&lt;=0,"Conforme","Escalade")</f>
        <v>Conforme</v>
      </c>
      <c r="F73" s="15" t="s">
        <v>115</v>
      </c>
      <c r="G73" s="17" t="s">
        <v>116</v>
      </c>
      <c r="H73" s="4" t="s">
        <v>33</v>
      </c>
    </row>
    <row r="74" customFormat="false" ht="24" hidden="false" customHeight="true" outlineLevel="0" collapsed="false">
      <c r="B74" s="14" t="s">
        <v>117</v>
      </c>
      <c r="C74" s="23" t="n">
        <f aca="false">Lim_a_arreter+Lim_a_valider</f>
        <v>11</v>
      </c>
      <c r="D74" s="23" t="n">
        <v>0</v>
      </c>
      <c r="E74" s="15" t="s">
        <v>118</v>
      </c>
      <c r="F74" s="15" t="s">
        <v>115</v>
      </c>
      <c r="G74" s="17" t="str">
        <f aca="false">"dont "&amp;Lim_a_arreter&amp;" sans valeur proposée dans les documents"</f>
        <v>dont 4 sans valeur proposée dans les documents</v>
      </c>
      <c r="H74" s="4" t="s">
        <v>33</v>
      </c>
    </row>
    <row r="76" customFormat="false" ht="18" hidden="false" customHeight="true" outlineLevel="0" collapsed="false">
      <c r="B76" s="12" t="s">
        <v>119</v>
      </c>
      <c r="C76" s="12"/>
      <c r="D76" s="12"/>
      <c r="E76" s="12"/>
      <c r="F76" s="12"/>
      <c r="G76" s="12"/>
      <c r="H76" s="4" t="s">
        <v>24</v>
      </c>
    </row>
    <row r="77" customFormat="false" ht="18" hidden="false" customHeight="true" outlineLevel="0" collapsed="false">
      <c r="B77" s="1" t="s">
        <v>120</v>
      </c>
      <c r="C77" s="13" t="s">
        <v>121</v>
      </c>
      <c r="D77" s="13" t="s">
        <v>122</v>
      </c>
      <c r="E77" s="13"/>
      <c r="F77" s="13" t="s">
        <v>123</v>
      </c>
      <c r="G77" s="1"/>
      <c r="H77" s="4" t="s">
        <v>29</v>
      </c>
    </row>
    <row r="78" customFormat="false" ht="39.75" hidden="false" customHeight="true" outlineLevel="0" collapsed="false">
      <c r="B78" s="14" t="s">
        <v>124</v>
      </c>
      <c r="C78" s="15" t="s">
        <v>125</v>
      </c>
      <c r="D78" s="16" t="s">
        <v>126</v>
      </c>
      <c r="E78" s="16"/>
      <c r="F78" s="16" t="s">
        <v>127</v>
      </c>
      <c r="G78" s="16"/>
      <c r="H78" s="4" t="s">
        <v>33</v>
      </c>
    </row>
    <row r="79" customFormat="false" ht="39.75" hidden="false" customHeight="true" outlineLevel="0" collapsed="false">
      <c r="B79" s="14" t="s">
        <v>124</v>
      </c>
      <c r="C79" s="15" t="s">
        <v>128</v>
      </c>
      <c r="D79" s="16" t="s">
        <v>129</v>
      </c>
      <c r="E79" s="16"/>
      <c r="F79" s="16" t="s">
        <v>130</v>
      </c>
      <c r="G79" s="16"/>
      <c r="H79" s="4" t="s">
        <v>33</v>
      </c>
    </row>
    <row r="80" customFormat="false" ht="39.75" hidden="false" customHeight="true" outlineLevel="0" collapsed="false">
      <c r="B80" s="14" t="s">
        <v>124</v>
      </c>
      <c r="C80" s="15" t="s">
        <v>131</v>
      </c>
      <c r="D80" s="16" t="s">
        <v>132</v>
      </c>
      <c r="E80" s="16"/>
      <c r="F80" s="16" t="s">
        <v>133</v>
      </c>
      <c r="G80" s="16"/>
      <c r="H80" s="4" t="s">
        <v>33</v>
      </c>
    </row>
    <row r="81" customFormat="false" ht="27.75" hidden="false" customHeight="true" outlineLevel="0" collapsed="false">
      <c r="B81" s="14" t="s">
        <v>134</v>
      </c>
      <c r="C81" s="15" t="s">
        <v>135</v>
      </c>
      <c r="D81" s="16" t="s">
        <v>136</v>
      </c>
      <c r="E81" s="16"/>
      <c r="F81" s="16" t="s">
        <v>137</v>
      </c>
      <c r="G81" s="16"/>
      <c r="H81" s="4" t="s">
        <v>33</v>
      </c>
    </row>
    <row r="82" customFormat="false" ht="39.75" hidden="false" customHeight="true" outlineLevel="0" collapsed="false">
      <c r="B82" s="14" t="s">
        <v>134</v>
      </c>
      <c r="C82" s="15" t="s">
        <v>138</v>
      </c>
      <c r="D82" s="16" t="s">
        <v>139</v>
      </c>
      <c r="E82" s="16"/>
      <c r="F82" s="16" t="s">
        <v>140</v>
      </c>
      <c r="G82" s="16"/>
      <c r="H82" s="4" t="s">
        <v>33</v>
      </c>
    </row>
    <row r="83" customFormat="false" ht="12.75" hidden="false" customHeight="true" outlineLevel="0" collapsed="false">
      <c r="B83" s="21" t="s">
        <v>141</v>
      </c>
      <c r="C83" s="21"/>
      <c r="D83" s="21"/>
      <c r="E83" s="21"/>
      <c r="F83" s="21"/>
      <c r="G83" s="21"/>
      <c r="H83" s="4" t="s">
        <v>66</v>
      </c>
    </row>
    <row r="85" customFormat="false" ht="19.5" hidden="false" customHeight="true" outlineLevel="0" collapsed="false">
      <c r="B85" s="1" t="s">
        <v>0</v>
      </c>
      <c r="C85" s="2"/>
      <c r="D85" s="2"/>
      <c r="E85" s="2"/>
      <c r="F85" s="2"/>
      <c r="G85" s="3" t="s">
        <v>1</v>
      </c>
      <c r="H85" s="4" t="s">
        <v>2</v>
      </c>
    </row>
    <row r="86" customFormat="false" ht="21.75" hidden="false" customHeight="true" outlineLevel="0" collapsed="false">
      <c r="B86" s="9" t="s">
        <v>142</v>
      </c>
      <c r="C86" s="10"/>
      <c r="D86" s="10"/>
      <c r="E86" s="10"/>
      <c r="F86" s="10"/>
      <c r="G86" s="10"/>
      <c r="H86" s="4" t="s">
        <v>20</v>
      </c>
    </row>
    <row r="87" customFormat="false" ht="15.75" hidden="false" customHeight="true" outlineLevel="0" collapsed="false">
      <c r="B87" s="11" t="s">
        <v>143</v>
      </c>
      <c r="C87" s="10"/>
      <c r="D87" s="10"/>
      <c r="E87" s="10"/>
      <c r="F87" s="10"/>
      <c r="G87" s="10"/>
      <c r="H87" s="4" t="s">
        <v>22</v>
      </c>
    </row>
    <row r="89" customFormat="false" ht="25.5" hidden="false" customHeight="true" outlineLevel="0" collapsed="false">
      <c r="B89" s="12" t="s">
        <v>144</v>
      </c>
      <c r="C89" s="12"/>
      <c r="D89" s="12"/>
      <c r="E89" s="12"/>
      <c r="F89" s="12"/>
      <c r="G89" s="12"/>
      <c r="H89" s="4" t="s">
        <v>24</v>
      </c>
    </row>
    <row r="90" customFormat="false" ht="18" hidden="false" customHeight="true" outlineLevel="0" collapsed="false">
      <c r="B90" s="1" t="s">
        <v>145</v>
      </c>
      <c r="C90" s="13" t="s">
        <v>146</v>
      </c>
      <c r="D90" s="13" t="s">
        <v>147</v>
      </c>
      <c r="E90" s="13" t="s">
        <v>148</v>
      </c>
      <c r="F90" s="13" t="s">
        <v>149</v>
      </c>
      <c r="G90" s="1" t="s">
        <v>150</v>
      </c>
      <c r="H90" s="4" t="s">
        <v>29</v>
      </c>
    </row>
    <row r="91" customFormat="false" ht="24" hidden="false" customHeight="true" outlineLevel="0" collapsed="false">
      <c r="B91" s="14" t="s">
        <v>151</v>
      </c>
      <c r="C91" s="22" t="n">
        <f aca="false">W_MAPIF</f>
        <v>0.34</v>
      </c>
      <c r="D91" s="24" t="n">
        <f aca="false">W_MAPIF*AN_cible</f>
        <v>17000000</v>
      </c>
      <c r="E91" s="15" t="s">
        <v>152</v>
      </c>
      <c r="F91" s="15" t="s">
        <v>153</v>
      </c>
      <c r="G91" s="17" t="s">
        <v>154</v>
      </c>
      <c r="H91" s="4" t="s">
        <v>33</v>
      </c>
    </row>
    <row r="92" customFormat="false" ht="24" hidden="false" customHeight="true" outlineLevel="0" collapsed="false">
      <c r="B92" s="14" t="s">
        <v>155</v>
      </c>
      <c r="C92" s="22" t="n">
        <f aca="false">W_MSIG</f>
        <v>0.17</v>
      </c>
      <c r="D92" s="24" t="n">
        <f aca="false">W_MSIG*AN_cible</f>
        <v>8500000</v>
      </c>
      <c r="E92" s="15" t="s">
        <v>156</v>
      </c>
      <c r="F92" s="15" t="s">
        <v>157</v>
      </c>
      <c r="G92" s="17" t="s">
        <v>158</v>
      </c>
      <c r="H92" s="4" t="s">
        <v>33</v>
      </c>
    </row>
    <row r="93" customFormat="false" ht="24" hidden="false" customHeight="true" outlineLevel="0" collapsed="false">
      <c r="B93" s="14" t="s">
        <v>159</v>
      </c>
      <c r="C93" s="22" t="n">
        <f aca="false">W_PG</f>
        <v>0.17</v>
      </c>
      <c r="D93" s="24" t="n">
        <f aca="false">W_PG*AN_cible</f>
        <v>8500000</v>
      </c>
      <c r="E93" s="15" t="s">
        <v>160</v>
      </c>
      <c r="F93" s="15" t="s">
        <v>161</v>
      </c>
      <c r="G93" s="17" t="s">
        <v>162</v>
      </c>
      <c r="H93" s="4" t="s">
        <v>33</v>
      </c>
    </row>
    <row r="94" customFormat="false" ht="24" hidden="false" customHeight="true" outlineLevel="0" collapsed="false">
      <c r="B94" s="14" t="s">
        <v>163</v>
      </c>
      <c r="C94" s="22" t="n">
        <f aca="false">W_ARES</f>
        <v>0.17</v>
      </c>
      <c r="D94" s="24" t="n">
        <f aca="false">W_ARES*AN_cible</f>
        <v>8500000</v>
      </c>
      <c r="E94" s="15" t="s">
        <v>164</v>
      </c>
      <c r="F94" s="15" t="s">
        <v>165</v>
      </c>
      <c r="G94" s="17" t="s">
        <v>166</v>
      </c>
      <c r="H94" s="4" t="s">
        <v>33</v>
      </c>
    </row>
    <row r="95" customFormat="false" ht="24" hidden="false" customHeight="true" outlineLevel="0" collapsed="false">
      <c r="B95" s="14" t="s">
        <v>96</v>
      </c>
      <c r="C95" s="22" t="n">
        <f aca="false">W_LIQ</f>
        <v>0.15</v>
      </c>
      <c r="D95" s="24" t="n">
        <f aca="false">W_LIQ*AN_cible</f>
        <v>7500000</v>
      </c>
      <c r="E95" s="15" t="s">
        <v>167</v>
      </c>
      <c r="F95" s="15" t="s">
        <v>165</v>
      </c>
      <c r="G95" s="17" t="s">
        <v>168</v>
      </c>
      <c r="H95" s="4" t="s">
        <v>33</v>
      </c>
    </row>
    <row r="96" customFormat="false" ht="24" hidden="false" customHeight="true" outlineLevel="0" collapsed="false">
      <c r="B96" s="14" t="s">
        <v>169</v>
      </c>
      <c r="C96" s="22" t="n">
        <f aca="false">W_TOT</f>
        <v>1</v>
      </c>
      <c r="D96" s="24" t="n">
        <f aca="false">W_TOT*AN_cible</f>
        <v>50000000</v>
      </c>
      <c r="E96" s="15"/>
      <c r="F96" s="15"/>
      <c r="G96" s="17" t="s">
        <v>170</v>
      </c>
      <c r="H96" s="4" t="s">
        <v>33</v>
      </c>
    </row>
    <row r="98" customFormat="false" ht="18" hidden="false" customHeight="true" outlineLevel="0" collapsed="false">
      <c r="B98" s="12" t="s">
        <v>171</v>
      </c>
      <c r="C98" s="12"/>
      <c r="D98" s="12"/>
      <c r="E98" s="12"/>
      <c r="F98" s="12"/>
      <c r="G98" s="12"/>
      <c r="H98" s="4" t="s">
        <v>24</v>
      </c>
    </row>
    <row r="99" customFormat="false" ht="18" hidden="false" customHeight="true" outlineLevel="0" collapsed="false">
      <c r="B99" s="1" t="s">
        <v>172</v>
      </c>
      <c r="C99" s="13" t="s">
        <v>79</v>
      </c>
      <c r="D99" s="13"/>
      <c r="E99" s="13" t="s">
        <v>173</v>
      </c>
      <c r="F99" s="13" t="s">
        <v>83</v>
      </c>
      <c r="G99" s="1"/>
      <c r="H99" s="4" t="s">
        <v>29</v>
      </c>
    </row>
    <row r="100" customFormat="false" ht="30" hidden="false" customHeight="true" outlineLevel="0" collapsed="false">
      <c r="B100" s="14" t="s">
        <v>174</v>
      </c>
      <c r="C100" s="16" t="s">
        <v>175</v>
      </c>
      <c r="D100" s="16"/>
      <c r="E100" s="15" t="s">
        <v>176</v>
      </c>
      <c r="F100" s="16" t="str">
        <f aca="false">"Publication sous "&amp;Publication_JO&amp;" Jours Ouvrés ; VL du 31/12 certifiée, du 30/06 attestée"</f>
        <v>Publication sous 30 Jours Ouvrés ; VL du 31/12 certifiée, du 30/06 attestée</v>
      </c>
      <c r="G100" s="16"/>
      <c r="H100" s="4" t="s">
        <v>33</v>
      </c>
    </row>
    <row r="101" customFormat="false" ht="30" hidden="false" customHeight="true" outlineLevel="0" collapsed="false">
      <c r="B101" s="14" t="s">
        <v>177</v>
      </c>
      <c r="C101" s="16" t="s">
        <v>178</v>
      </c>
      <c r="D101" s="16"/>
      <c r="E101" s="15" t="s">
        <v>179</v>
      </c>
      <c r="F101" s="16" t="str">
        <f aca="false">"Centralisation "&amp;Centralisation_sous_JO&amp;" Jours Ouvrés avant la VL, paiement intégral ; au nominal tant que la VL est inférieure à 100 €"</f>
        <v>Centralisation 25 Jours Ouvrés avant la VL, paiement intégral ; au nominal tant que la VL est inférieure à 100 €</v>
      </c>
      <c r="G101" s="16"/>
      <c r="H101" s="4" t="s">
        <v>33</v>
      </c>
    </row>
    <row r="102" customFormat="false" ht="30" hidden="false" customHeight="true" outlineLevel="0" collapsed="false">
      <c r="B102" s="14" t="s">
        <v>180</v>
      </c>
      <c r="C102" s="16" t="s">
        <v>181</v>
      </c>
      <c r="D102" s="16"/>
      <c r="E102" s="15" t="s">
        <v>182</v>
      </c>
      <c r="F102" s="16" t="s">
        <v>183</v>
      </c>
      <c r="G102" s="16"/>
      <c r="H102" s="4" t="s">
        <v>33</v>
      </c>
    </row>
    <row r="103" customFormat="false" ht="30" hidden="false" customHeight="true" outlineLevel="0" collapsed="false">
      <c r="B103" s="14" t="s">
        <v>184</v>
      </c>
      <c r="C103" s="16" t="str">
        <f aca="false">"24 mois par souscription"</f>
        <v>24 mois par souscription</v>
      </c>
      <c r="D103" s="16"/>
      <c r="E103" s="15" t="s">
        <v>185</v>
      </c>
      <c r="F103" s="16" t="s">
        <v>186</v>
      </c>
      <c r="G103" s="16"/>
      <c r="H103" s="4" t="s">
        <v>33</v>
      </c>
    </row>
    <row r="104" customFormat="false" ht="30" hidden="false" customHeight="true" outlineLevel="0" collapsed="false">
      <c r="B104" s="14" t="s">
        <v>187</v>
      </c>
      <c r="C104" s="16" t="str">
        <f aca="false">"Environ "&amp;Preavis_j&amp;" jours ; prolongeable à "&amp;Preavis_max_j</f>
        <v>Environ 91 jours ; prolongeable à 180</v>
      </c>
      <c r="D104" s="16"/>
      <c r="E104" s="15" t="s">
        <v>188</v>
      </c>
      <c r="F104" s="16" t="s">
        <v>189</v>
      </c>
      <c r="G104" s="16"/>
      <c r="H104" s="4" t="s">
        <v>33</v>
      </c>
    </row>
    <row r="105" customFormat="false" ht="30" hidden="false" customHeight="true" outlineLevel="0" collapsed="false">
      <c r="B105" s="14" t="s">
        <v>190</v>
      </c>
      <c r="C105" s="16" t="str">
        <f aca="false">(ROUND((Gate)*100,0)&amp;" %")&amp;" de l'actif net par date, net des souscriptions"</f>
        <v>5 % de l'actif net par date, net des souscriptions</v>
      </c>
      <c r="D105" s="16"/>
      <c r="E105" s="15" t="s">
        <v>191</v>
      </c>
      <c r="F105" s="16" t="str">
        <f aca="false">"Report automatique, "&amp;Gate_dates&amp;" dates au plus ; Demandes Prioritaires après deux reports ; au-delà, texte muet"</f>
        <v>Report automatique, 4 dates au plus ; Demandes Prioritaires après deux reports ; au-delà, texte muet</v>
      </c>
      <c r="G105" s="16"/>
      <c r="H105" s="4" t="s">
        <v>33</v>
      </c>
    </row>
    <row r="106" customFormat="false" ht="30" hidden="false" customHeight="true" outlineLevel="0" collapsed="false">
      <c r="B106" s="14" t="s">
        <v>192</v>
      </c>
      <c r="C106" s="16" t="s">
        <v>193</v>
      </c>
      <c r="D106" s="16"/>
      <c r="E106" s="15" t="s">
        <v>194</v>
      </c>
      <c r="F106" s="16" t="s">
        <v>195</v>
      </c>
      <c r="G106" s="16"/>
      <c r="H106" s="4" t="s">
        <v>33</v>
      </c>
    </row>
    <row r="107" customFormat="false" ht="30" hidden="false" customHeight="true" outlineLevel="0" collapsed="false">
      <c r="B107" s="14" t="s">
        <v>196</v>
      </c>
      <c r="C107" s="16" t="str">
        <f aca="false">"Au plus "&amp;Reglement_JO&amp;" Jours Ouvrés après la VL"</f>
        <v>Au plus 35 Jours Ouvrés après la VL</v>
      </c>
      <c r="D107" s="16"/>
      <c r="E107" s="15" t="s">
        <v>197</v>
      </c>
      <c r="F107" s="16" t="s">
        <v>198</v>
      </c>
      <c r="G107" s="16"/>
      <c r="H107" s="4" t="s">
        <v>33</v>
      </c>
    </row>
    <row r="108" customFormat="false" ht="30" hidden="false" customHeight="true" outlineLevel="0" collapsed="false">
      <c r="B108" s="14" t="s">
        <v>199</v>
      </c>
      <c r="C108" s="16" t="s">
        <v>200</v>
      </c>
      <c r="D108" s="16"/>
      <c r="E108" s="15" t="s">
        <v>201</v>
      </c>
      <c r="F108" s="16" t="s">
        <v>202</v>
      </c>
      <c r="G108" s="16"/>
      <c r="H108" s="4" t="s">
        <v>33</v>
      </c>
    </row>
    <row r="109" customFormat="false" ht="30" hidden="false" customHeight="true" outlineLevel="0" collapsed="false">
      <c r="B109" s="14" t="s">
        <v>203</v>
      </c>
      <c r="C109" s="16" t="s">
        <v>204</v>
      </c>
      <c r="D109" s="16"/>
      <c r="E109" s="15" t="s">
        <v>205</v>
      </c>
      <c r="F109" s="16" t="s">
        <v>206</v>
      </c>
      <c r="G109" s="16"/>
      <c r="H109" s="4" t="s">
        <v>33</v>
      </c>
    </row>
    <row r="111" customFormat="false" ht="18" hidden="false" customHeight="true" outlineLevel="0" collapsed="false">
      <c r="B111" s="12" t="s">
        <v>207</v>
      </c>
      <c r="C111" s="12"/>
      <c r="D111" s="12"/>
      <c r="E111" s="12"/>
      <c r="F111" s="12"/>
      <c r="G111" s="12"/>
      <c r="H111" s="4" t="s">
        <v>24</v>
      </c>
    </row>
    <row r="112" customFormat="false" ht="18" hidden="false" customHeight="true" outlineLevel="0" collapsed="false">
      <c r="B112" s="1" t="s">
        <v>208</v>
      </c>
      <c r="C112" s="13" t="s">
        <v>209</v>
      </c>
      <c r="D112" s="13"/>
      <c r="E112" s="13" t="s">
        <v>210</v>
      </c>
      <c r="F112" s="13" t="s">
        <v>83</v>
      </c>
      <c r="G112" s="1"/>
      <c r="H112" s="4" t="s">
        <v>29</v>
      </c>
    </row>
    <row r="113" customFormat="false" ht="24" hidden="false" customHeight="true" outlineLevel="0" collapsed="false">
      <c r="B113" s="14" t="s">
        <v>211</v>
      </c>
      <c r="C113" s="16" t="s">
        <v>212</v>
      </c>
      <c r="D113" s="16"/>
      <c r="E113" s="15" t="s">
        <v>90</v>
      </c>
      <c r="F113" s="16" t="s">
        <v>213</v>
      </c>
      <c r="G113" s="16"/>
      <c r="H113" s="4" t="s">
        <v>33</v>
      </c>
    </row>
    <row r="114" customFormat="false" ht="24" hidden="false" customHeight="true" outlineLevel="0" collapsed="false">
      <c r="B114" s="14" t="s">
        <v>214</v>
      </c>
      <c r="C114" s="16" t="s">
        <v>215</v>
      </c>
      <c r="D114" s="16"/>
      <c r="E114" s="15" t="s">
        <v>216</v>
      </c>
      <c r="F114" s="16" t="s">
        <v>217</v>
      </c>
      <c r="G114" s="16"/>
      <c r="H114" s="4" t="s">
        <v>33</v>
      </c>
    </row>
    <row r="115" customFormat="false" ht="24" hidden="false" customHeight="true" outlineLevel="0" collapsed="false">
      <c r="B115" s="14" t="s">
        <v>218</v>
      </c>
      <c r="C115" s="16" t="s">
        <v>219</v>
      </c>
      <c r="D115" s="16"/>
      <c r="E115" s="15" t="s">
        <v>90</v>
      </c>
      <c r="F115" s="16" t="s">
        <v>220</v>
      </c>
      <c r="G115" s="16"/>
      <c r="H115" s="4" t="s">
        <v>33</v>
      </c>
    </row>
    <row r="116" customFormat="false" ht="24" hidden="false" customHeight="true" outlineLevel="0" collapsed="false">
      <c r="B116" s="14" t="s">
        <v>221</v>
      </c>
      <c r="C116" s="16" t="s">
        <v>222</v>
      </c>
      <c r="D116" s="16"/>
      <c r="E116" s="15" t="s">
        <v>223</v>
      </c>
      <c r="F116" s="16" t="s">
        <v>224</v>
      </c>
      <c r="G116" s="16"/>
      <c r="H116" s="4" t="s">
        <v>33</v>
      </c>
    </row>
    <row r="117" customFormat="false" ht="24" hidden="false" customHeight="true" outlineLevel="0" collapsed="false">
      <c r="B117" s="14" t="s">
        <v>225</v>
      </c>
      <c r="C117" s="16" t="s">
        <v>226</v>
      </c>
      <c r="D117" s="16"/>
      <c r="E117" s="15" t="s">
        <v>216</v>
      </c>
      <c r="F117" s="16" t="s">
        <v>227</v>
      </c>
      <c r="G117" s="16"/>
      <c r="H117" s="4" t="s">
        <v>33</v>
      </c>
    </row>
    <row r="118" customFormat="false" ht="12.75" hidden="false" customHeight="true" outlineLevel="0" collapsed="false">
      <c r="B118" s="21" t="s">
        <v>228</v>
      </c>
      <c r="C118" s="21"/>
      <c r="D118" s="21"/>
      <c r="E118" s="21"/>
      <c r="F118" s="21"/>
      <c r="G118" s="21"/>
      <c r="H118" s="4" t="s">
        <v>66</v>
      </c>
    </row>
    <row r="120" customFormat="false" ht="19.5" hidden="false" customHeight="true" outlineLevel="0" collapsed="false">
      <c r="B120" s="1" t="s">
        <v>0</v>
      </c>
      <c r="C120" s="2"/>
      <c r="D120" s="2"/>
      <c r="E120" s="2"/>
      <c r="F120" s="2"/>
      <c r="G120" s="3" t="s">
        <v>1</v>
      </c>
      <c r="H120" s="4" t="s">
        <v>2</v>
      </c>
    </row>
    <row r="121" customFormat="false" ht="21.75" hidden="false" customHeight="true" outlineLevel="0" collapsed="false">
      <c r="B121" s="9" t="s">
        <v>229</v>
      </c>
      <c r="C121" s="10"/>
      <c r="D121" s="10"/>
      <c r="E121" s="10"/>
      <c r="F121" s="10"/>
      <c r="G121" s="10"/>
      <c r="H121" s="4" t="s">
        <v>20</v>
      </c>
    </row>
    <row r="122" customFormat="false" ht="15.75" hidden="false" customHeight="true" outlineLevel="0" collapsed="false">
      <c r="B122" s="11" t="s">
        <v>230</v>
      </c>
      <c r="C122" s="10"/>
      <c r="D122" s="10"/>
      <c r="E122" s="10"/>
      <c r="F122" s="10"/>
      <c r="G122" s="10"/>
      <c r="H122" s="4" t="s">
        <v>22</v>
      </c>
    </row>
    <row r="124" customFormat="false" ht="25.5" hidden="false" customHeight="true" outlineLevel="0" collapsed="false">
      <c r="B124" s="12" t="s">
        <v>231</v>
      </c>
      <c r="C124" s="12"/>
      <c r="D124" s="12"/>
      <c r="E124" s="12"/>
      <c r="F124" s="12"/>
      <c r="G124" s="12"/>
      <c r="H124" s="4" t="s">
        <v>24</v>
      </c>
    </row>
    <row r="125" customFormat="false" ht="18" hidden="false" customHeight="true" outlineLevel="0" collapsed="false">
      <c r="B125" s="1" t="s">
        <v>232</v>
      </c>
      <c r="C125" s="13" t="s">
        <v>233</v>
      </c>
      <c r="D125" s="13" t="s">
        <v>147</v>
      </c>
      <c r="E125" s="13"/>
      <c r="F125" s="13" t="s">
        <v>234</v>
      </c>
      <c r="G125" s="1"/>
      <c r="H125" s="4" t="s">
        <v>29</v>
      </c>
    </row>
    <row r="126" customFormat="false" ht="19.5" hidden="false" customHeight="true" outlineLevel="0" collapsed="false">
      <c r="B126" s="14" t="s">
        <v>235</v>
      </c>
      <c r="C126" s="22" t="n">
        <v>0</v>
      </c>
      <c r="D126" s="24" t="n">
        <v>0</v>
      </c>
      <c r="E126" s="25"/>
      <c r="F126" s="25"/>
      <c r="G126" s="25"/>
      <c r="H126" s="4" t="s">
        <v>33</v>
      </c>
    </row>
    <row r="127" customFormat="false" ht="19.5" hidden="false" customHeight="true" outlineLevel="0" collapsed="false">
      <c r="B127" s="14" t="s">
        <v>236</v>
      </c>
      <c r="C127" s="22" t="n">
        <f aca="false">B_2_7</f>
        <v>0.15</v>
      </c>
      <c r="D127" s="24" t="n">
        <f aca="false">B_2_7*AN_cible</f>
        <v>7500000</v>
      </c>
      <c r="E127" s="25"/>
      <c r="F127" s="25"/>
      <c r="G127" s="25"/>
      <c r="H127" s="4" t="s">
        <v>33</v>
      </c>
    </row>
    <row r="128" customFormat="false" ht="19.5" hidden="false" customHeight="true" outlineLevel="0" collapsed="false">
      <c r="B128" s="14" t="s">
        <v>237</v>
      </c>
      <c r="C128" s="22" t="n">
        <v>0</v>
      </c>
      <c r="D128" s="24" t="n">
        <v>0</v>
      </c>
      <c r="E128" s="25"/>
      <c r="F128" s="25"/>
      <c r="G128" s="25"/>
      <c r="H128" s="4" t="s">
        <v>33</v>
      </c>
    </row>
    <row r="129" customFormat="false" ht="19.5" hidden="false" customHeight="true" outlineLevel="0" collapsed="false">
      <c r="B129" s="14" t="s">
        <v>238</v>
      </c>
      <c r="C129" s="22" t="n">
        <f aca="false">B_31_90</f>
        <v>0.17</v>
      </c>
      <c r="D129" s="24" t="n">
        <f aca="false">B_31_90*AN_cible</f>
        <v>8500000</v>
      </c>
      <c r="E129" s="25"/>
      <c r="F129" s="25"/>
      <c r="G129" s="25"/>
      <c r="H129" s="4" t="s">
        <v>33</v>
      </c>
    </row>
    <row r="130" customFormat="false" ht="19.5" hidden="false" customHeight="true" outlineLevel="0" collapsed="false">
      <c r="B130" s="14" t="s">
        <v>239</v>
      </c>
      <c r="C130" s="22" t="n">
        <f aca="false">B_91_180</f>
        <v>0.17</v>
      </c>
      <c r="D130" s="24" t="n">
        <f aca="false">B_91_180*AN_cible</f>
        <v>8500000</v>
      </c>
      <c r="E130" s="25"/>
      <c r="F130" s="25"/>
      <c r="G130" s="25"/>
      <c r="H130" s="4" t="s">
        <v>33</v>
      </c>
    </row>
    <row r="131" customFormat="false" ht="19.5" hidden="false" customHeight="true" outlineLevel="0" collapsed="false">
      <c r="B131" s="14" t="s">
        <v>240</v>
      </c>
      <c r="C131" s="22" t="n">
        <v>0</v>
      </c>
      <c r="D131" s="24" t="n">
        <v>0</v>
      </c>
      <c r="E131" s="25"/>
      <c r="F131" s="25"/>
      <c r="G131" s="25"/>
      <c r="H131" s="4" t="s">
        <v>33</v>
      </c>
    </row>
    <row r="132" customFormat="false" ht="19.5" hidden="false" customHeight="true" outlineLevel="0" collapsed="false">
      <c r="B132" s="14" t="s">
        <v>241</v>
      </c>
      <c r="C132" s="22" t="n">
        <f aca="false">B_365</f>
        <v>0.51</v>
      </c>
      <c r="D132" s="24" t="n">
        <f aca="false">B_365*AN_cible</f>
        <v>25500000</v>
      </c>
      <c r="E132" s="25"/>
      <c r="F132" s="25"/>
      <c r="G132" s="25"/>
      <c r="H132" s="4" t="s">
        <v>33</v>
      </c>
    </row>
    <row r="133" customFormat="false" ht="19.5" hidden="false" customHeight="true" outlineLevel="0" collapsed="false">
      <c r="B133" s="14" t="s">
        <v>169</v>
      </c>
      <c r="C133" s="22" t="n">
        <f aca="false">Buckets_total</f>
        <v>1</v>
      </c>
      <c r="D133" s="24" t="n">
        <f aca="false">Buckets_total*AN_cible</f>
        <v>50000000</v>
      </c>
      <c r="E133" s="25"/>
      <c r="F133" s="25"/>
      <c r="G133" s="25"/>
      <c r="H133" s="4" t="s">
        <v>33</v>
      </c>
    </row>
    <row r="135" customFormat="false" ht="18" hidden="false" customHeight="true" outlineLevel="0" collapsed="false">
      <c r="B135" s="12" t="s">
        <v>242</v>
      </c>
      <c r="C135" s="12"/>
      <c r="D135" s="12"/>
      <c r="E135" s="12"/>
      <c r="F135" s="12"/>
      <c r="G135" s="12"/>
      <c r="H135" s="4" t="s">
        <v>24</v>
      </c>
    </row>
    <row r="136" customFormat="false" ht="18" hidden="false" customHeight="true" outlineLevel="0" collapsed="false">
      <c r="B136" s="1" t="s">
        <v>243</v>
      </c>
      <c r="C136" s="13" t="s">
        <v>244</v>
      </c>
      <c r="D136" s="13" t="s">
        <v>245</v>
      </c>
      <c r="E136" s="13" t="s">
        <v>210</v>
      </c>
      <c r="F136" s="13" t="s">
        <v>246</v>
      </c>
      <c r="G136" s="1"/>
      <c r="H136" s="4" t="s">
        <v>29</v>
      </c>
    </row>
    <row r="137" customFormat="false" ht="30" hidden="false" customHeight="true" outlineLevel="0" collapsed="false">
      <c r="B137" s="14" t="s">
        <v>247</v>
      </c>
      <c r="C137" s="23" t="n">
        <f aca="false">TTL_actif</f>
        <v>963.5</v>
      </c>
      <c r="D137" s="23" t="n">
        <f aca="false">TTL_passif</f>
        <v>231</v>
      </c>
      <c r="E137" s="23" t="n">
        <f aca="false">Ecart_TTL</f>
        <v>732.5</v>
      </c>
      <c r="F137" s="16" t="s">
        <v>248</v>
      </c>
      <c r="G137" s="16"/>
      <c r="H137" s="4" t="s">
        <v>33</v>
      </c>
    </row>
    <row r="138" customFormat="false" ht="30" hidden="false" customHeight="true" outlineLevel="0" collapsed="false">
      <c r="B138" s="14" t="s">
        <v>249</v>
      </c>
      <c r="C138" s="23" t="n">
        <f aca="false">TTL_actif</f>
        <v>963.5</v>
      </c>
      <c r="D138" s="23" t="n">
        <f aca="false">TTL_passif_prolonge</f>
        <v>320</v>
      </c>
      <c r="E138" s="23" t="n">
        <f aca="false">TTL_actif-TTL_passif_prolonge</f>
        <v>643.5</v>
      </c>
      <c r="F138" s="16" t="s">
        <v>250</v>
      </c>
      <c r="G138" s="16"/>
      <c r="H138" s="4" t="s">
        <v>33</v>
      </c>
    </row>
    <row r="139" customFormat="false" ht="30" hidden="false" customHeight="true" outlineLevel="0" collapsed="false">
      <c r="B139" s="14" t="s">
        <v>251</v>
      </c>
      <c r="C139" s="23" t="n">
        <f aca="false">TTL_actif_stress</f>
        <v>1023.6</v>
      </c>
      <c r="D139" s="23" t="n">
        <f aca="false">TTL_passif_min</f>
        <v>140</v>
      </c>
      <c r="E139" s="23" t="n">
        <f aca="false">TTL_actif_stress-TTL_passif_min</f>
        <v>883.6</v>
      </c>
      <c r="F139" s="16" t="s">
        <v>252</v>
      </c>
      <c r="G139" s="16"/>
      <c r="H139" s="4" t="s">
        <v>33</v>
      </c>
    </row>
    <row r="141" customFormat="false" ht="18" hidden="false" customHeight="true" outlineLevel="0" collapsed="false">
      <c r="B141" s="12" t="s">
        <v>253</v>
      </c>
      <c r="C141" s="12"/>
      <c r="D141" s="12"/>
      <c r="E141" s="12"/>
      <c r="F141" s="12"/>
      <c r="G141" s="12"/>
      <c r="H141" s="4" t="s">
        <v>24</v>
      </c>
    </row>
    <row r="142" customFormat="false" ht="18" hidden="false" customHeight="true" outlineLevel="0" collapsed="false">
      <c r="B142" s="1" t="s">
        <v>78</v>
      </c>
      <c r="C142" s="13" t="s">
        <v>79</v>
      </c>
      <c r="D142" s="13" t="s">
        <v>254</v>
      </c>
      <c r="E142" s="13" t="s">
        <v>81</v>
      </c>
      <c r="F142" s="13" t="s">
        <v>255</v>
      </c>
      <c r="G142" s="1"/>
      <c r="H142" s="4" t="s">
        <v>29</v>
      </c>
    </row>
    <row r="143" customFormat="false" ht="24" hidden="false" customHeight="true" outlineLevel="0" collapsed="false">
      <c r="B143" s="14" t="s">
        <v>256</v>
      </c>
      <c r="C143" s="26" t="n">
        <f aca="false">Couv_poche_gate</f>
        <v>3</v>
      </c>
      <c r="D143" s="26" t="n">
        <f aca="false">Couv_poche_gate_c</f>
        <v>1.5</v>
      </c>
      <c r="E143" s="15" t="str">
        <f aca="false">Couv_poche_gate_s</f>
        <v>Respectée</v>
      </c>
      <c r="F143" s="16" t="s">
        <v>257</v>
      </c>
      <c r="G143" s="16"/>
      <c r="H143" s="4" t="s">
        <v>33</v>
      </c>
    </row>
    <row r="144" customFormat="false" ht="24" hidden="false" customHeight="true" outlineLevel="0" collapsed="false">
      <c r="B144" s="14" t="s">
        <v>258</v>
      </c>
      <c r="C144" s="26" t="n">
        <f aca="false">Couv_poche_annuel</f>
        <v>1.5</v>
      </c>
      <c r="D144" s="26" t="n">
        <f aca="false">Couv_poche_annuel_c</f>
        <v>1</v>
      </c>
      <c r="E144" s="15" t="str">
        <f aca="false">Couv_poche_annuel_s</f>
        <v>Respectée</v>
      </c>
      <c r="F144" s="16" t="s">
        <v>259</v>
      </c>
      <c r="G144" s="16"/>
      <c r="H144" s="4" t="s">
        <v>33</v>
      </c>
    </row>
    <row r="145" customFormat="false" ht="24" hidden="false" customHeight="true" outlineLevel="0" collapsed="false">
      <c r="B145" s="14" t="s">
        <v>260</v>
      </c>
      <c r="C145" s="26" t="n">
        <f aca="false">Couv_evergreen_gate</f>
        <v>0.68</v>
      </c>
      <c r="D145" s="26" t="n">
        <f aca="false">Couv_evergreen_gate_c</f>
        <v>1</v>
      </c>
      <c r="E145" s="15" t="str">
        <f aca="false">Couv_evergreen_gate_s</f>
        <v>Surveillance</v>
      </c>
      <c r="F145" s="16" t="str">
        <f aca="false">"Deux trimestres à 5 % de PG NGI et Ares : "&amp;(SUBSTITUTE(ROUND((Cap_evergreen)*100,1)&amp;"",".",",")&amp;" %")&amp;" de l'actif net par semestre"</f>
        <v>Deux trimestres à 5 % de PG NGI et Ares : 3,4 % de l'actif net par semestre</v>
      </c>
      <c r="G145" s="16"/>
      <c r="H145" s="4" t="s">
        <v>33</v>
      </c>
    </row>
    <row r="146" customFormat="false" ht="24" hidden="false" customHeight="true" outlineLevel="0" collapsed="false">
      <c r="B146" s="14" t="s">
        <v>261</v>
      </c>
      <c r="C146" s="26" t="n">
        <f aca="false">Ressources_12m</f>
        <v>2.90448868337019</v>
      </c>
      <c r="D146" s="26" t="n">
        <f aca="false">Ressources_12m_c</f>
        <v>1.5</v>
      </c>
      <c r="E146" s="15" t="str">
        <f aca="false">Ressources_12m_s</f>
        <v>Respectée</v>
      </c>
      <c r="F146" s="16" t="s">
        <v>262</v>
      </c>
      <c r="G146" s="16"/>
      <c r="H146" s="4" t="s">
        <v>33</v>
      </c>
    </row>
    <row r="147" customFormat="false" ht="24" hidden="false" customHeight="true" outlineLevel="0" collapsed="false">
      <c r="B147" s="14" t="s">
        <v>263</v>
      </c>
      <c r="C147" s="26" t="n">
        <f aca="false">Couv_12m</f>
        <v>2.33408721514473</v>
      </c>
      <c r="D147" s="26" t="n">
        <f aca="false">Couv_12m_c</f>
        <v>1.5</v>
      </c>
      <c r="E147" s="15" t="str">
        <f aca="false">Couv_12m_s</f>
        <v>Respectée</v>
      </c>
      <c r="F147" s="16" t="s">
        <v>264</v>
      </c>
      <c r="G147" s="16"/>
      <c r="H147" s="4" t="s">
        <v>33</v>
      </c>
    </row>
    <row r="149" customFormat="false" ht="18" hidden="false" customHeight="true" outlineLevel="0" collapsed="false">
      <c r="B149" s="12" t="s">
        <v>265</v>
      </c>
      <c r="C149" s="12"/>
      <c r="D149" s="12"/>
      <c r="E149" s="12"/>
      <c r="F149" s="12"/>
      <c r="G149" s="12"/>
      <c r="H149" s="4" t="s">
        <v>24</v>
      </c>
    </row>
    <row r="150" customFormat="false" ht="18" hidden="false" customHeight="true" outlineLevel="0" collapsed="false">
      <c r="B150" s="1" t="s">
        <v>266</v>
      </c>
      <c r="C150" s="13" t="s">
        <v>267</v>
      </c>
      <c r="D150" s="13"/>
      <c r="E150" s="13" t="s">
        <v>268</v>
      </c>
      <c r="F150" s="13"/>
      <c r="G150" s="1" t="s">
        <v>269</v>
      </c>
      <c r="H150" s="4" t="s">
        <v>29</v>
      </c>
    </row>
    <row r="151" customFormat="false" ht="30" hidden="false" customHeight="true" outlineLevel="0" collapsed="false">
      <c r="B151" s="14" t="s">
        <v>270</v>
      </c>
      <c r="C151" s="16" t="s">
        <v>271</v>
      </c>
      <c r="D151" s="16"/>
      <c r="E151" s="16" t="s">
        <v>272</v>
      </c>
      <c r="F151" s="16"/>
      <c r="G151" s="17" t="s">
        <v>273</v>
      </c>
      <c r="H151" s="4" t="s">
        <v>33</v>
      </c>
    </row>
    <row r="152" customFormat="false" ht="39.75" hidden="false" customHeight="true" outlineLevel="0" collapsed="false">
      <c r="B152" s="14" t="s">
        <v>274</v>
      </c>
      <c r="C152" s="16" t="s">
        <v>275</v>
      </c>
      <c r="D152" s="16"/>
      <c r="E152" s="16" t="s">
        <v>276</v>
      </c>
      <c r="F152" s="16"/>
      <c r="G152" s="17" t="s">
        <v>277</v>
      </c>
      <c r="H152" s="4" t="s">
        <v>33</v>
      </c>
    </row>
    <row r="153" customFormat="false" ht="30" hidden="false" customHeight="true" outlineLevel="0" collapsed="false">
      <c r="B153" s="14" t="s">
        <v>278</v>
      </c>
      <c r="C153" s="16" t="s">
        <v>279</v>
      </c>
      <c r="D153" s="16"/>
      <c r="E153" s="16" t="s">
        <v>280</v>
      </c>
      <c r="F153" s="16"/>
      <c r="G153" s="17" t="s">
        <v>281</v>
      </c>
      <c r="H153" s="4" t="s">
        <v>33</v>
      </c>
    </row>
    <row r="154" customFormat="false" ht="30" hidden="false" customHeight="true" outlineLevel="0" collapsed="false">
      <c r="B154" s="14" t="s">
        <v>282</v>
      </c>
      <c r="C154" s="16" t="s">
        <v>283</v>
      </c>
      <c r="D154" s="16"/>
      <c r="E154" s="16" t="s">
        <v>284</v>
      </c>
      <c r="F154" s="16"/>
      <c r="G154" s="17" t="s">
        <v>285</v>
      </c>
      <c r="H154" s="4" t="s">
        <v>33</v>
      </c>
    </row>
    <row r="156" customFormat="false" ht="19.5" hidden="false" customHeight="true" outlineLevel="0" collapsed="false">
      <c r="B156" s="1" t="s">
        <v>0</v>
      </c>
      <c r="C156" s="2"/>
      <c r="D156" s="2"/>
      <c r="E156" s="2"/>
      <c r="F156" s="2"/>
      <c r="G156" s="3" t="s">
        <v>1</v>
      </c>
      <c r="H156" s="4" t="s">
        <v>2</v>
      </c>
    </row>
    <row r="157" customFormat="false" ht="21.75" hidden="false" customHeight="true" outlineLevel="0" collapsed="false">
      <c r="B157" s="9" t="s">
        <v>286</v>
      </c>
      <c r="C157" s="10"/>
      <c r="D157" s="10"/>
      <c r="E157" s="10"/>
      <c r="F157" s="10"/>
      <c r="G157" s="10"/>
      <c r="H157" s="4" t="s">
        <v>20</v>
      </c>
    </row>
    <row r="158" customFormat="false" ht="15.75" hidden="false" customHeight="true" outlineLevel="0" collapsed="false">
      <c r="B158" s="11" t="s">
        <v>287</v>
      </c>
      <c r="C158" s="10"/>
      <c r="D158" s="10"/>
      <c r="E158" s="10"/>
      <c r="F158" s="10"/>
      <c r="G158" s="10"/>
      <c r="H158" s="4" t="s">
        <v>22</v>
      </c>
    </row>
    <row r="160" customFormat="false" ht="37.5" hidden="false" customHeight="true" outlineLevel="0" collapsed="false">
      <c r="B160" s="12" t="s">
        <v>288</v>
      </c>
      <c r="C160" s="12"/>
      <c r="D160" s="12"/>
      <c r="E160" s="12"/>
      <c r="F160" s="12"/>
      <c r="G160" s="12"/>
      <c r="H160" s="4" t="s">
        <v>24</v>
      </c>
    </row>
    <row r="161" customFormat="false" ht="18" hidden="false" customHeight="true" outlineLevel="0" collapsed="false">
      <c r="B161" s="1" t="s">
        <v>289</v>
      </c>
      <c r="C161" s="13" t="s">
        <v>290</v>
      </c>
      <c r="D161" s="13" t="s">
        <v>291</v>
      </c>
      <c r="E161" s="13" t="s">
        <v>292</v>
      </c>
      <c r="F161" s="13" t="s">
        <v>293</v>
      </c>
      <c r="G161" s="1" t="s">
        <v>294</v>
      </c>
      <c r="H161" s="4" t="s">
        <v>29</v>
      </c>
    </row>
    <row r="162" customFormat="false" ht="36" hidden="false" customHeight="true" outlineLevel="0" collapsed="false">
      <c r="B162" s="14" t="str">
        <f aca="false">'3 Scénarios'!B6</f>
        <v>Base : rachats 2 % par date, collecte 5 % par trimestre</v>
      </c>
      <c r="C162" s="23" t="n">
        <f aca="false">'3 Scénarios'!C6</f>
        <v>0</v>
      </c>
      <c r="D162" s="27" t="n">
        <f aca="false">'3 Scénarios'!D6</f>
        <v>0</v>
      </c>
      <c r="E162" s="27" t="n">
        <f aca="false">'3 Scénarios'!F6</f>
        <v>0.16391314090164</v>
      </c>
      <c r="F162" s="28" t="n">
        <f aca="false">'3 Scénarios'!G6</f>
        <v>2.33408721514473</v>
      </c>
      <c r="G162" s="17" t="str">
        <f aca="false">'3 Scénarios'!L6&amp;" - "&amp;'3 Scénarios'!M6</f>
        <v>Vert - Régime de croisière.</v>
      </c>
      <c r="H162" s="4" t="s">
        <v>33</v>
      </c>
    </row>
    <row r="163" customFormat="false" ht="36" hidden="false" customHeight="true" outlineLevel="0" collapsed="false">
      <c r="B163" s="14" t="str">
        <f aca="false">'3 Scénarios'!B7</f>
        <v>Adverse : rachats de 10 % sur deux dates</v>
      </c>
      <c r="C163" s="23" t="n">
        <f aca="false">'3 Scénarios'!C7</f>
        <v>4</v>
      </c>
      <c r="D163" s="27" t="n">
        <f aca="false">'3 Scénarios'!D7</f>
        <v>0.104896281386449</v>
      </c>
      <c r="E163" s="27" t="n">
        <f aca="false">'3 Scénarios'!F7</f>
        <v>0.0673459198463885</v>
      </c>
      <c r="F163" s="28" t="n">
        <f aca="false">'3 Scénarios'!G7</f>
        <v>1.04187333842376</v>
      </c>
      <c r="G163" s="17" t="str">
        <f aca="false">'3 Scénarios'!L7&amp;" - "&amp;'3 Scénarios'!M7</f>
        <v>Orange - Deux dates de demandes doubles du plafond, collecte nulle.</v>
      </c>
      <c r="H163" s="4" t="s">
        <v>33</v>
      </c>
    </row>
    <row r="164" customFormat="false" ht="36" hidden="false" customHeight="true" outlineLevel="0" collapsed="false">
      <c r="B164" s="14" t="str">
        <f aca="false">'3 Scénarios'!B8</f>
        <v>Extrême : rachats de 15 % puis 20 %</v>
      </c>
      <c r="C164" s="23" t="n">
        <f aca="false">'3 Scénarios'!C8</f>
        <v>4</v>
      </c>
      <c r="D164" s="27" t="n">
        <f aca="false">'3 Scénarios'!D8</f>
        <v>0.261616117997572</v>
      </c>
      <c r="E164" s="27" t="n">
        <f aca="false">'3 Scénarios'!F8</f>
        <v>0.0673459198463885</v>
      </c>
      <c r="F164" s="28" t="n">
        <f aca="false">'3 Scénarios'!G8</f>
        <v>0.667320743188618</v>
      </c>
      <c r="G164" s="17" t="str">
        <f aca="false">'3 Scénarios'!L8&amp;" - "&amp;'3 Scénarios'!M8</f>
        <v>Rouge - Sept fois le plafond sur deux dates.</v>
      </c>
      <c r="H164" s="4" t="s">
        <v>33</v>
      </c>
    </row>
    <row r="165" customFormat="false" ht="36" hidden="false" customHeight="true" outlineLevel="0" collapsed="false">
      <c r="B165" s="14" t="str">
        <f aca="false">'3 Scénarios'!B9</f>
        <v>Concentration : sortie des cinq premiers porteurs</v>
      </c>
      <c r="C165" s="23" t="n">
        <f aca="false">'3 Scénarios'!C9</f>
        <v>4</v>
      </c>
      <c r="D165" s="27" t="n">
        <f aca="false">'3 Scénarios'!D9</f>
        <v>0.332635880782781</v>
      </c>
      <c r="E165" s="27" t="n">
        <f aca="false">'3 Scénarios'!F9</f>
        <v>0.0673459198463885</v>
      </c>
      <c r="F165" s="28" t="n">
        <f aca="false">'3 Scénarios'!G9</f>
        <v>0.508626995490176</v>
      </c>
      <c r="G165" s="17" t="str">
        <f aca="false">'3 Scénarios'!L9&amp;" - "&amp;'3 Scénarios'!M9</f>
        <v>Rouge - Les cinq premiers porteurs sortent à la première date ; les autres demandent 2 % par date. Le classeur du 24/09 laissait cette demande à zéro.</v>
      </c>
      <c r="H165" s="4" t="s">
        <v>33</v>
      </c>
    </row>
    <row r="166" customFormat="false" ht="36" hidden="false" customHeight="true" outlineLevel="0" collapsed="false">
      <c r="B166" s="14" t="str">
        <f aca="false">'3 Scénarios'!B10</f>
        <v>Distributions des fonds cibles divisées par deux et retardées d'un an</v>
      </c>
      <c r="C166" s="23" t="n">
        <f aca="false">'3 Scénarios'!C10</f>
        <v>0</v>
      </c>
      <c r="D166" s="27" t="n">
        <f aca="false">'3 Scénarios'!D10</f>
        <v>0</v>
      </c>
      <c r="E166" s="27" t="n">
        <f aca="false">'3 Scénarios'!F10</f>
        <v>0.108629219726154</v>
      </c>
      <c r="F166" s="28" t="n">
        <f aca="false">'3 Scénarios'!G10</f>
        <v>1.98256647356655</v>
      </c>
      <c r="G166" s="17" t="str">
        <f aca="false">'3 Scénarios'!L10&amp;" - "&amp;'3 Scénarios'!M10</f>
        <v>Orange - Aucune distribution la première année, puis moitié.</v>
      </c>
      <c r="H166" s="4" t="s">
        <v>33</v>
      </c>
    </row>
    <row r="167" customFormat="false" ht="36" hidden="false" customHeight="true" outlineLevel="0" collapsed="false">
      <c r="B167" s="14" t="str">
        <f aca="false">'3 Scénarios'!B11</f>
        <v>Appels de fonds accélérés, dollar + 15 %</v>
      </c>
      <c r="C167" s="23" t="n">
        <f aca="false">'3 Scénarios'!C11</f>
        <v>0</v>
      </c>
      <c r="D167" s="27" t="n">
        <f aca="false">'3 Scénarios'!D11</f>
        <v>0</v>
      </c>
      <c r="E167" s="27" t="n">
        <f aca="false">'3 Scénarios'!F11</f>
        <v>0.128013922775111</v>
      </c>
      <c r="F167" s="28" t="n">
        <f aca="false">'3 Scénarios'!G11</f>
        <v>1.9440243834385</v>
      </c>
      <c r="G167" s="17" t="str">
        <f aca="false">'3 Scénarios'!L11&amp;" - "&amp;'3 Scénarios'!M11</f>
        <v>Orange - Moitié du non-appelé tirée la première année, renchérie par le dollar.</v>
      </c>
      <c r="H167" s="4" t="s">
        <v>33</v>
      </c>
    </row>
    <row r="168" customFormat="false" ht="36" hidden="false" customHeight="true" outlineLevel="0" collapsed="false">
      <c r="B168" s="14" t="str">
        <f aca="false">'3 Scénarios'!B12</f>
        <v>Valorisation - 20 % (capital), - 10 % (dette), dollar - 15 %</v>
      </c>
      <c r="C168" s="23" t="n">
        <f aca="false">'3 Scénarios'!C12</f>
        <v>0</v>
      </c>
      <c r="D168" s="27" t="n">
        <f aca="false">'3 Scénarios'!D12</f>
        <v>0</v>
      </c>
      <c r="E168" s="27" t="n">
        <f aca="false">'3 Scénarios'!F12</f>
        <v>0.147325171308518</v>
      </c>
      <c r="F168" s="28" t="n">
        <f aca="false">'3 Scénarios'!G12</f>
        <v>2.18119370204892</v>
      </c>
      <c r="G168" s="17" t="str">
        <f aca="false">'3 Scénarios'!L12&amp;" - "&amp;'3 Scénarios'!M12</f>
        <v>Orange - Choc de valeur au premier trimestre.</v>
      </c>
      <c r="H168" s="4" t="s">
        <v>33</v>
      </c>
    </row>
    <row r="169" customFormat="false" ht="36" hidden="false" customHeight="true" outlineLevel="0" collapsed="false">
      <c r="B169" s="14" t="str">
        <f aca="false">'3 Scénarios'!B13</f>
        <v>Crise combinée : chocs de passif et d'actif simultanés</v>
      </c>
      <c r="C169" s="23" t="n">
        <f aca="false">'3 Scénarios'!C13</f>
        <v>4</v>
      </c>
      <c r="D169" s="27" t="n">
        <f aca="false">'3 Scénarios'!D13</f>
        <v>0.260921027100345</v>
      </c>
      <c r="E169" s="27" t="n">
        <f aca="false">'3 Scénarios'!F13</f>
        <v>0</v>
      </c>
      <c r="F169" s="28" t="n">
        <f aca="false">'3 Scénarios'!G13</f>
        <v>0.11367795629284</v>
      </c>
      <c r="G169" s="17" t="str">
        <f aca="false">'3 Scénarios'!L13&amp;" - "&amp;'3 Scénarios'!M13</f>
        <v>Rouge - Rachats extrêmes, distributions divisées par deux et retardées, appels accélérés, fonds evergreen au prorata puis Ares fermé.</v>
      </c>
      <c r="H169" s="4" t="s">
        <v>33</v>
      </c>
    </row>
    <row r="170" customFormat="false" ht="36" hidden="false" customHeight="true" outlineLevel="0" collapsed="false">
      <c r="B170" s="14" t="str">
        <f aca="false">'3 Scénarios'!B14</f>
        <v>Fonds evergreen au prorata</v>
      </c>
      <c r="C170" s="23" t="n">
        <f aca="false">'3 Scénarios'!C14</f>
        <v>0</v>
      </c>
      <c r="D170" s="27" t="n">
        <f aca="false">'3 Scénarios'!D14</f>
        <v>0</v>
      </c>
      <c r="E170" s="27" t="n">
        <f aca="false">'3 Scénarios'!F14</f>
        <v>0.0458680640861652</v>
      </c>
      <c r="F170" s="28" t="n">
        <f aca="false">'3 Scénarios'!G14</f>
        <v>1.41029874631138</v>
      </c>
      <c r="G170" s="17" t="str">
        <f aca="false">'3 Scénarios'!L14&amp;" - "&amp;'3 Scénarios'!M14</f>
        <v>Rouge - PG NGI et Ares servent la moitié des demandes la première année ; Ares ne sert plus rien ensuite.</v>
      </c>
      <c r="H170" s="4" t="s">
        <v>33</v>
      </c>
    </row>
    <row r="171" customFormat="false" ht="30" hidden="false" customHeight="true" outlineLevel="0" collapsed="false">
      <c r="B171" s="14" t="s">
        <v>295</v>
      </c>
      <c r="C171" s="15" t="str">
        <f aca="false">N_vert&amp;" verts"</f>
        <v>1 verts</v>
      </c>
      <c r="D171" s="15" t="str">
        <f aca="false">N_orange&amp;" orange"</f>
        <v>4 orange</v>
      </c>
      <c r="E171" s="15" t="str">
        <f aca="false">N_rouge&amp;" rouges"</f>
        <v>4 rouges</v>
      </c>
      <c r="F171" s="15"/>
      <c r="G171" s="17" t="str">
        <f aca="false">"Les scénarios rouges partagent une cause : des rachats très supérieurs au plafond sur une ou deux dates, ou des fonds evergreen qui ne servent plus ; premier triple gel en crise combinée : "&amp;Gel_combine</f>
        <v>Les scénarios rouges partagent une cause : des rachats très supérieurs au plafond sur une ou deux dates, ou des fonds evergreen qui ne servent plus ; premier triple gel en crise combinée : 12/2028</v>
      </c>
      <c r="H171" s="4" t="s">
        <v>33</v>
      </c>
    </row>
    <row r="173" customFormat="false" ht="18" hidden="false" customHeight="true" outlineLevel="0" collapsed="false">
      <c r="B173" s="12" t="s">
        <v>296</v>
      </c>
      <c r="C173" s="12"/>
      <c r="D173" s="12"/>
      <c r="E173" s="12"/>
      <c r="F173" s="12"/>
      <c r="G173" s="12"/>
      <c r="H173" s="4" t="s">
        <v>24</v>
      </c>
    </row>
    <row r="174" customFormat="false" ht="18" hidden="false" customHeight="true" outlineLevel="0" collapsed="false">
      <c r="B174" s="1" t="s">
        <v>297</v>
      </c>
      <c r="C174" s="13" t="s">
        <v>298</v>
      </c>
      <c r="D174" s="13"/>
      <c r="E174" s="13" t="s">
        <v>246</v>
      </c>
      <c r="F174" s="13"/>
      <c r="G174" s="1"/>
      <c r="H174" s="4" t="s">
        <v>29</v>
      </c>
    </row>
    <row r="175" customFormat="false" ht="30" hidden="false" customHeight="true" outlineLevel="0" collapsed="false">
      <c r="B175" s="14" t="s">
        <v>299</v>
      </c>
      <c r="C175" s="27" t="n">
        <f aca="false">Rupture_rachats</f>
        <v>0.075</v>
      </c>
      <c r="D175" s="27"/>
      <c r="E175" s="16" t="str">
        <f aca="false">"Quatre dates plafonnées puis suspension fin 2030 ; sans plafonnement, "&amp;SUBSTITUTE(ROUND(Rupture_cession,1)&amp;"",".",",")&amp;" M€ de cessions à 10 % de décote"</f>
        <v>Quatre dates plafonnées puis suspension fin 2030 ; sans plafonnement, 5,8 M€ de cessions à 10 % de décote</v>
      </c>
      <c r="F175" s="16"/>
      <c r="G175" s="16"/>
      <c r="H175" s="4" t="s">
        <v>33</v>
      </c>
    </row>
    <row r="176" customFormat="false" ht="30" hidden="false" customHeight="true" outlineLevel="0" collapsed="false">
      <c r="B176" s="14" t="s">
        <v>300</v>
      </c>
      <c r="C176" s="27" t="n">
        <f aca="false">Rupture_appels</f>
        <v>0.125</v>
      </c>
      <c r="D176" s="27"/>
      <c r="E176" s="16" t="s">
        <v>301</v>
      </c>
      <c r="F176" s="16"/>
      <c r="G176" s="16"/>
      <c r="H176" s="4" t="s">
        <v>33</v>
      </c>
    </row>
    <row r="177" customFormat="false" ht="30" hidden="false" customHeight="true" outlineLevel="0" collapsed="false">
      <c r="B177" s="14" t="s">
        <v>302</v>
      </c>
      <c r="C177" s="22" t="n">
        <f aca="false">Porteur_max</f>
        <v>0.15</v>
      </c>
      <c r="D177" s="22"/>
      <c r="E177" s="16" t="s">
        <v>303</v>
      </c>
      <c r="F177" s="16"/>
      <c r="G177" s="16"/>
      <c r="H177" s="4" t="s">
        <v>33</v>
      </c>
    </row>
    <row r="178" customFormat="false" ht="30" hidden="false" customHeight="true" outlineLevel="0" collapsed="false">
      <c r="B178" s="14" t="s">
        <v>304</v>
      </c>
      <c r="C178" s="27" t="n">
        <f aca="false">Persist5_poche</f>
        <v>0.0206989656092005</v>
      </c>
      <c r="D178" s="27"/>
      <c r="E178" s="16" t="s">
        <v>305</v>
      </c>
      <c r="F178" s="16"/>
      <c r="G178" s="16"/>
      <c r="H178" s="4" t="s">
        <v>33</v>
      </c>
    </row>
    <row r="180" customFormat="false" ht="18" hidden="false" customHeight="true" outlineLevel="0" collapsed="false">
      <c r="B180" s="12" t="s">
        <v>306</v>
      </c>
      <c r="C180" s="12"/>
      <c r="D180" s="12"/>
      <c r="E180" s="12"/>
      <c r="F180" s="12"/>
      <c r="G180" s="12"/>
      <c r="H180" s="4" t="s">
        <v>24</v>
      </c>
    </row>
    <row r="181" customFormat="false" ht="90.75" hidden="false" customHeight="true" outlineLevel="0" collapsed="false">
      <c r="B181" s="21" t="s">
        <v>307</v>
      </c>
      <c r="C181" s="21"/>
      <c r="D181" s="21"/>
      <c r="E181" s="21"/>
      <c r="F181" s="21"/>
      <c r="G181" s="21"/>
      <c r="H181" s="4" t="s">
        <v>66</v>
      </c>
    </row>
    <row r="182" customFormat="false" ht="51.75" hidden="false" customHeight="true" outlineLevel="0" collapsed="false">
      <c r="B182" s="21" t="s">
        <v>308</v>
      </c>
      <c r="C182" s="21"/>
      <c r="D182" s="21"/>
      <c r="E182" s="21"/>
      <c r="F182" s="21"/>
      <c r="G182" s="21"/>
      <c r="H182" s="4" t="s">
        <v>66</v>
      </c>
    </row>
    <row r="184" customFormat="false" ht="19.5" hidden="false" customHeight="true" outlineLevel="0" collapsed="false">
      <c r="B184" s="1" t="s">
        <v>0</v>
      </c>
      <c r="C184" s="2"/>
      <c r="D184" s="2"/>
      <c r="E184" s="2"/>
      <c r="F184" s="2"/>
      <c r="G184" s="3" t="s">
        <v>1</v>
      </c>
      <c r="H184" s="4" t="s">
        <v>2</v>
      </c>
    </row>
    <row r="185" customFormat="false" ht="21.75" hidden="false" customHeight="true" outlineLevel="0" collapsed="false">
      <c r="B185" s="9" t="s">
        <v>309</v>
      </c>
      <c r="C185" s="10"/>
      <c r="D185" s="10"/>
      <c r="E185" s="10"/>
      <c r="F185" s="10"/>
      <c r="G185" s="10"/>
      <c r="H185" s="4" t="s">
        <v>20</v>
      </c>
    </row>
    <row r="186" customFormat="false" ht="15.75" hidden="false" customHeight="true" outlineLevel="0" collapsed="false">
      <c r="B186" s="11" t="s">
        <v>310</v>
      </c>
      <c r="C186" s="10"/>
      <c r="D186" s="10"/>
      <c r="E186" s="10"/>
      <c r="F186" s="10"/>
      <c r="G186" s="10"/>
      <c r="H186" s="4" t="s">
        <v>22</v>
      </c>
    </row>
    <row r="188" customFormat="false" ht="18" hidden="false" customHeight="true" outlineLevel="0" collapsed="false">
      <c r="B188" s="12" t="s">
        <v>311</v>
      </c>
      <c r="C188" s="12"/>
      <c r="D188" s="12"/>
      <c r="E188" s="12"/>
      <c r="F188" s="12"/>
      <c r="G188" s="12"/>
      <c r="H188" s="4" t="s">
        <v>24</v>
      </c>
    </row>
    <row r="189" customFormat="false" ht="18" hidden="false" customHeight="true" outlineLevel="0" collapsed="false">
      <c r="B189" s="1" t="s">
        <v>312</v>
      </c>
      <c r="C189" s="13" t="s">
        <v>313</v>
      </c>
      <c r="D189" s="13" t="s">
        <v>314</v>
      </c>
      <c r="E189" s="13" t="s">
        <v>315</v>
      </c>
      <c r="F189" s="13" t="s">
        <v>316</v>
      </c>
      <c r="G189" s="1"/>
      <c r="H189" s="4" t="s">
        <v>29</v>
      </c>
    </row>
    <row r="190" customFormat="false" ht="51.75" hidden="false" customHeight="true" outlineLevel="0" collapsed="false">
      <c r="B190" s="14" t="s">
        <v>81</v>
      </c>
      <c r="C190" s="15" t="str">
        <f aca="false">'4 Fonds cibles'!C8</f>
        <v>Non opérationnel, blind pool (PPM avril 2026)</v>
      </c>
      <c r="D190" s="15" t="str">
        <f aca="false">'4 Fonds cibles'!D8</f>
        <v>Aucun actif, LPA non signés (PPM février 2026)</v>
      </c>
      <c r="E190" s="15" t="str">
        <f aca="false">'4 Fonds cibles'!E8</f>
        <v>En activité depuis 2024, seul fonds cible avec portefeuille</v>
      </c>
      <c r="F190" s="16" t="str">
        <f aca="false">'4 Fonds cibles'!F8</f>
        <v>Période de souscription initiale, blind pool, fin attendue le 01/11/2026</v>
      </c>
      <c r="G190" s="16"/>
      <c r="H190" s="4" t="s">
        <v>33</v>
      </c>
    </row>
    <row r="191" customFormat="false" ht="39.75" hidden="false" customHeight="true" outlineLevel="0" collapsed="false">
      <c r="B191" s="14" t="s">
        <v>149</v>
      </c>
      <c r="C191" s="15" t="str">
        <f aca="false">'4 Fonds cibles'!C9</f>
        <v>USD, catégorie unique</v>
      </c>
      <c r="D191" s="15" t="str">
        <f aca="false">'4 Fonds cibles'!D9</f>
        <v>USD ; MSIG 3 (EUR) est un fonds distinct</v>
      </c>
      <c r="E191" s="15" t="str">
        <f aca="false">'4 Fonds cibles'!E9</f>
        <v>USD ; classes « H » couvertes sans obligation</v>
      </c>
      <c r="F191" s="16" t="str">
        <f aca="false">'4 Fonds cibles'!F9</f>
        <v>EUR</v>
      </c>
      <c r="G191" s="16"/>
      <c r="H191" s="4" t="s">
        <v>33</v>
      </c>
    </row>
    <row r="192" customFormat="false" ht="79.5" hidden="false" customHeight="true" outlineLevel="0" collapsed="false">
      <c r="B192" s="14" t="s">
        <v>180</v>
      </c>
      <c r="C192" s="15" t="str">
        <f aca="false">'4 Fonds cibles'!C12</f>
        <v>Aucun ; durée 10 ans + 2 + 2 ; cession agréée par le GP</v>
      </c>
      <c r="D192" s="15" t="str">
        <f aca="false">'4 Fonds cibles'!D12</f>
        <v>Annuel au 31/03 après lock-up de 3 ans, préavis 45 jours, payé au run-off (Withdrawing Account), minimum 10 M$</v>
      </c>
      <c r="E192" s="15" t="str">
        <f aca="false">'4 Fonds cibles'!E12</f>
        <v>Mensuels, préavis 45 j.o., règlement 4 j.o. après VL</v>
      </c>
      <c r="F192" s="16" t="str">
        <f aca="false">'4 Fonds cibles'!F12</f>
        <v>Trimestriels, cut-off le 1er j.o. du dernier mois, règlement 2 j.o. après publication</v>
      </c>
      <c r="G192" s="16"/>
      <c r="H192" s="4" t="s">
        <v>33</v>
      </c>
    </row>
    <row r="193" customFormat="false" ht="79.5" hidden="false" customHeight="true" outlineLevel="0" collapsed="false">
      <c r="B193" s="14" t="s">
        <v>317</v>
      </c>
      <c r="C193" s="15" t="str">
        <f aca="false">'4 Fonds cibles'!C13</f>
        <v>Sans objet</v>
      </c>
      <c r="D193" s="15" t="str">
        <f aca="false">'4 Fonds cibles'!D13</f>
        <v>Sans objet ; conversion forcée possible sous 300 M$ de VL</v>
      </c>
      <c r="E193" s="15" t="str">
        <f aca="false">'4 Fonds cibles'!E13</f>
        <v>5 % de la VL par trimestre, distributions et conversions comprises ; Special Dealing à 180 jours, prix discrétionnaire</v>
      </c>
      <c r="F193" s="16" t="str">
        <f aca="false">'4 Fonds cibles'!F13</f>
        <v>5 % de la VL par trimestre (net) et limite ELTIF (27,3 % de l'assiette liquide)</v>
      </c>
      <c r="G193" s="16"/>
      <c r="H193" s="4" t="s">
        <v>33</v>
      </c>
    </row>
    <row r="194" customFormat="false" ht="66" hidden="false" customHeight="true" outlineLevel="0" collapsed="false">
      <c r="B194" s="14" t="s">
        <v>318</v>
      </c>
      <c r="C194" s="15" t="str">
        <f aca="false">'4 Fonds cibles'!C14</f>
        <v>Sans objet</v>
      </c>
      <c r="D194" s="15" t="str">
        <f aca="false">'4 Fonds cibles'!D14</f>
        <v>Aucune ; non-appelé survivant au retrait</v>
      </c>
      <c r="E194" s="15" t="str">
        <f aca="false">'4 Fonds cibles'!E14</f>
        <v>Redemption Fee discrétionnaire ≤ 5 % (classe I) et Exit Fee ≤ 5 %, sans butoir de durée</v>
      </c>
      <c r="F194" s="16" t="str">
        <f aca="false">'4 Fonds cibles'!F14</f>
        <v>Early Redemption Deduction de 5 % avant 24 mois</v>
      </c>
      <c r="G194" s="16"/>
      <c r="H194" s="4" t="s">
        <v>33</v>
      </c>
    </row>
    <row r="195" customFormat="false" ht="51.75" hidden="false" customHeight="true" outlineLevel="0" collapsed="false">
      <c r="B195" s="14" t="s">
        <v>174</v>
      </c>
      <c r="C195" s="15" t="str">
        <f aca="false">'4 Fonds cibles'!C15</f>
        <v>Au moins annuelle ; états trimestriels non audités</v>
      </c>
      <c r="D195" s="15" t="str">
        <f aca="false">'4 Fonds cibles'!D15</f>
        <v>Trimestrielle, US GAAP, exercice au 31/03, reporting à 30 j.o.</v>
      </c>
      <c r="E195" s="15" t="str">
        <f aca="false">'4 Fonds cibles'!E15</f>
        <v>Mensuelle, publiée 21 j.o. après le Dealing Day</v>
      </c>
      <c r="F195" s="16" t="str">
        <f aca="false">'4 Fonds cibles'!F15</f>
        <v>Mensuelle, publiée 15 j.o. après la Subscription Date</v>
      </c>
      <c r="G195" s="16"/>
      <c r="H195" s="4" t="s">
        <v>33</v>
      </c>
    </row>
    <row r="196" customFormat="false" ht="51.75" hidden="false" customHeight="true" outlineLevel="0" collapsed="false">
      <c r="B196" s="14" t="s">
        <v>319</v>
      </c>
      <c r="C196" s="15" t="str">
        <f aca="false">'4 Fonds cibles'!C16</f>
        <v>1,25 % des engagements puis de la VL et du non-appelé</v>
      </c>
      <c r="D196" s="15" t="str">
        <f aca="false">'4 Fonds cibles'!D16</f>
        <v>1,00 % du capital investi, levier compris</v>
      </c>
      <c r="E196" s="15" t="str">
        <f aca="false">'4 Fonds cibles'!E16</f>
        <v>1,25 % de la VL augmentée des engagements non appelés</v>
      </c>
      <c r="F196" s="16" t="str">
        <f aca="false">'4 Fonds cibles'!F16</f>
        <v>Jusqu'à 1,25 % de la VL (classe C)</v>
      </c>
      <c r="G196" s="16"/>
      <c r="H196" s="4" t="s">
        <v>33</v>
      </c>
    </row>
    <row r="197" customFormat="false" ht="66" hidden="false" customHeight="true" outlineLevel="0" collapsed="false">
      <c r="B197" s="14" t="s">
        <v>320</v>
      </c>
      <c r="C197" s="15" t="str">
        <f aca="false">'4 Fonds cibles'!C17</f>
        <v>12,5 %, preferred return 8 %, catch-up 100 %, clawback</v>
      </c>
      <c r="D197" s="15" t="str">
        <f aca="false">'4 Fonds cibles'!D17</f>
        <v>12,5 %, catch-up 80 %, hurdle 8 % (levered) ou 6 % (unlevered), look-back 3 ans</v>
      </c>
      <c r="E197" s="15" t="str">
        <f aca="false">'4 Fonds cibles'!E17</f>
        <v>15 %, hurdle 5 %, high water mark, catch-up 100 %</v>
      </c>
      <c r="F197" s="16" t="str">
        <f aca="false">'4 Fonds cibles'!F17</f>
        <v>12,5 %, hurdle 5 %, high water mark, catch-up 100 %</v>
      </c>
      <c r="G197" s="16"/>
      <c r="H197" s="4" t="s">
        <v>33</v>
      </c>
    </row>
    <row r="198" customFormat="false" ht="79.5" hidden="false" customHeight="true" outlineLevel="0" collapsed="false">
      <c r="B198" s="14" t="s">
        <v>321</v>
      </c>
      <c r="C198" s="15" t="str">
        <f aca="false">'4 Fonds cibles'!C18</f>
        <v>Emprunts ≤ 30 % des engagements, facilités ≤ 30 % de la VL, filiales non plafonnées ; plafonds AIFM non communiqués</v>
      </c>
      <c r="D198" s="15" t="str">
        <f aca="false">'4 Fonds cibles'!D18</f>
        <v>Manche levered : financement ≤ 2,5 fois les apports (≈ 350 % de la VL) ; dette non-recourse exclue</v>
      </c>
      <c r="E198" s="15" t="str">
        <f aca="false">'4 Fonds cibles'!E18</f>
        <v>Emprunt ≤ 40 % de la VL ; AIFM 200 % engagement, 410 % brut</v>
      </c>
      <c r="F198" s="16" t="str">
        <f aca="false">'4 Fonds cibles'!F18</f>
        <v>Emprunt ELTIF ≤ 50 % à partir de 2029 ; AIFM 400 % engagement, 500 % brut</v>
      </c>
      <c r="G198" s="16"/>
      <c r="H198" s="4" t="s">
        <v>33</v>
      </c>
    </row>
    <row r="199" customFormat="false" ht="51.75" hidden="false" customHeight="true" outlineLevel="0" collapsed="false">
      <c r="B199" s="14" t="s">
        <v>322</v>
      </c>
      <c r="C199" s="15" t="str">
        <f aca="false">'4 Fonds cibles'!C19</f>
        <v>10 M$, dérogation à obtenir par écrit</v>
      </c>
      <c r="D199" s="15" t="str">
        <f aca="false">'4 Fonds cibles'!D19</f>
        <v>10 M$, dérogation à obtenir par écrit ; élection AWI au Subscription Agreement</v>
      </c>
      <c r="E199" s="15" t="str">
        <f aca="false">'4 Fonds cibles'!E19</f>
        <v>1 M USD (classe I)</v>
      </c>
      <c r="F199" s="16" t="str">
        <f aca="false">'4 Fonds cibles'!F19</f>
        <v>1 M€ (classe C)</v>
      </c>
      <c r="G199" s="16"/>
      <c r="H199" s="4" t="s">
        <v>33</v>
      </c>
    </row>
    <row r="200" customFormat="false" ht="39.75" hidden="false" customHeight="true" outlineLevel="0" collapsed="false">
      <c r="B200" s="14" t="s">
        <v>323</v>
      </c>
      <c r="C200" s="15" t="str">
        <f aca="false">'4 Fonds cibles'!C21</f>
        <v>Article 6</v>
      </c>
      <c r="D200" s="15" t="str">
        <f aca="false">'4 Fonds cibles'!D21</f>
        <v>Fonds USD non classé article 8 ; MSIG 3 (EUR) attendu article 8</v>
      </c>
      <c r="E200" s="15" t="str">
        <f aca="false">'4 Fonds cibles'!E21</f>
        <v>Article 8</v>
      </c>
      <c r="F200" s="16" t="str">
        <f aca="false">'4 Fonds cibles'!F21</f>
        <v>Article 6</v>
      </c>
      <c r="G200" s="16"/>
      <c r="H200" s="4" t="s">
        <v>33</v>
      </c>
    </row>
    <row r="202" customFormat="false" ht="18" hidden="false" customHeight="true" outlineLevel="0" collapsed="false">
      <c r="B202" s="12" t="s">
        <v>324</v>
      </c>
      <c r="C202" s="12"/>
      <c r="D202" s="12"/>
      <c r="E202" s="12"/>
      <c r="F202" s="12"/>
      <c r="G202" s="12"/>
      <c r="H202" s="4" t="s">
        <v>24</v>
      </c>
    </row>
    <row r="203" customFormat="false" ht="18" hidden="false" customHeight="true" outlineLevel="0" collapsed="false">
      <c r="B203" s="1" t="s">
        <v>325</v>
      </c>
      <c r="C203" s="13" t="s">
        <v>326</v>
      </c>
      <c r="D203" s="13" t="s">
        <v>327</v>
      </c>
      <c r="E203" s="13" t="s">
        <v>328</v>
      </c>
      <c r="F203" s="13" t="s">
        <v>329</v>
      </c>
      <c r="G203" s="1" t="s">
        <v>330</v>
      </c>
      <c r="H203" s="4" t="s">
        <v>29</v>
      </c>
    </row>
    <row r="204" customFormat="false" ht="21.75" hidden="false" customHeight="true" outlineLevel="0" collapsed="false">
      <c r="B204" s="14" t="s">
        <v>331</v>
      </c>
      <c r="C204" s="29" t="n">
        <f aca="false">IRPc_Fonds</f>
        <v>71.4</v>
      </c>
      <c r="D204" s="15" t="str">
        <f aca="false">IF(IRPc_Fonds&gt;56,"Élevé",IF(IRPc_Fonds&gt;34,"Moyen","Faible"))</f>
        <v>Élevé</v>
      </c>
      <c r="E204" s="22" t="s">
        <v>90</v>
      </c>
      <c r="F204" s="29" t="s">
        <v>90</v>
      </c>
      <c r="G204" s="17" t="s">
        <v>332</v>
      </c>
      <c r="H204" s="4" t="s">
        <v>33</v>
      </c>
    </row>
    <row r="205" customFormat="false" ht="21.75" hidden="false" customHeight="true" outlineLevel="0" collapsed="false">
      <c r="B205" s="14" t="s">
        <v>313</v>
      </c>
      <c r="C205" s="29" t="n">
        <f aca="false">IRPc_MAPIF</f>
        <v>52.1</v>
      </c>
      <c r="D205" s="15" t="str">
        <f aca="false">IF(IRPc_MAPIF&gt;56,"Élevé",IF(IRPc_MAPIF&gt;34,"Moyen","Faible"))</f>
        <v>Moyen</v>
      </c>
      <c r="E205" s="22" t="n">
        <f aca="false">W_MAPIF</f>
        <v>0.34</v>
      </c>
      <c r="F205" s="29" t="n">
        <f aca="false">W_MAPIF*IRPc_MAPIF</f>
        <v>17.714</v>
      </c>
      <c r="G205" s="17" t="s">
        <v>333</v>
      </c>
      <c r="H205" s="4" t="s">
        <v>33</v>
      </c>
    </row>
    <row r="206" customFormat="false" ht="21.75" hidden="false" customHeight="true" outlineLevel="0" collapsed="false">
      <c r="B206" s="14" t="s">
        <v>334</v>
      </c>
      <c r="C206" s="29" t="n">
        <f aca="false">IRPc_MSIG</f>
        <v>82.3</v>
      </c>
      <c r="D206" s="15" t="str">
        <f aca="false">IF(IRPc_MSIG&gt;56,"Élevé",IF(IRPc_MSIG&gt;34,"Moyen","Faible"))</f>
        <v>Élevé</v>
      </c>
      <c r="E206" s="22" t="n">
        <f aca="false">W_MSIG</f>
        <v>0.17</v>
      </c>
      <c r="F206" s="29" t="n">
        <f aca="false">W_MSIG*IRPc_MSIG</f>
        <v>13.991</v>
      </c>
      <c r="G206" s="17" t="s">
        <v>335</v>
      </c>
      <c r="H206" s="4" t="s">
        <v>33</v>
      </c>
    </row>
    <row r="207" customFormat="false" ht="21.75" hidden="false" customHeight="true" outlineLevel="0" collapsed="false">
      <c r="B207" s="14" t="s">
        <v>336</v>
      </c>
      <c r="C207" s="29" t="n">
        <f aca="false">IRPc_PG</f>
        <v>92.6</v>
      </c>
      <c r="D207" s="15" t="str">
        <f aca="false">IF(IRPc_PG&gt;56,"Élevé",IF(IRPc_PG&gt;34,"Moyen","Faible"))</f>
        <v>Élevé</v>
      </c>
      <c r="E207" s="22" t="n">
        <f aca="false">W_PG</f>
        <v>0.17</v>
      </c>
      <c r="F207" s="29" t="n">
        <f aca="false">W_PG*IRPc_PG</f>
        <v>15.742</v>
      </c>
      <c r="G207" s="17" t="s">
        <v>337</v>
      </c>
      <c r="H207" s="4" t="s">
        <v>33</v>
      </c>
    </row>
    <row r="208" customFormat="false" ht="21.75" hidden="false" customHeight="true" outlineLevel="0" collapsed="false">
      <c r="B208" s="14" t="s">
        <v>163</v>
      </c>
      <c r="C208" s="29" t="n">
        <f aca="false">IRPc_ARES</f>
        <v>86.4</v>
      </c>
      <c r="D208" s="15" t="str">
        <f aca="false">IF(IRPc_ARES&gt;56,"Élevé",IF(IRPc_ARES&gt;34,"Moyen","Faible"))</f>
        <v>Élevé</v>
      </c>
      <c r="E208" s="22" t="n">
        <f aca="false">W_ARES</f>
        <v>0.17</v>
      </c>
      <c r="F208" s="29" t="n">
        <f aca="false">W_ARES*IRPc_ARES</f>
        <v>14.688</v>
      </c>
      <c r="G208" s="17" t="s">
        <v>338</v>
      </c>
      <c r="H208" s="4" t="s">
        <v>33</v>
      </c>
    </row>
    <row r="209" customFormat="false" ht="21.75" hidden="false" customHeight="true" outlineLevel="0" collapsed="false">
      <c r="B209" s="14" t="s">
        <v>339</v>
      </c>
      <c r="C209" s="29" t="n">
        <f aca="false">IRPc_Transp</f>
        <v>62.1</v>
      </c>
      <c r="D209" s="15" t="str">
        <f aca="false">IF(IRPc_Transp&gt;56,"Élevé",IF(IRPc_Transp&gt;34,"Moyen","Faible"))</f>
        <v>Élevé</v>
      </c>
      <c r="E209" s="22" t="n">
        <f aca="false">1-W_LIQ</f>
        <v>0.85</v>
      </c>
      <c r="F209" s="29" t="n">
        <f aca="false">IRPc_Transp</f>
        <v>62.1</v>
      </c>
      <c r="G209" s="17" t="str">
        <f aca="false">"Rebasé hors poche liquide : "&amp;SUBSTITUTE(ROUND(IRPc_Transp_hp,1)&amp;"",".",",")</f>
        <v>Rebasé hors poche liquide : 73,1</v>
      </c>
      <c r="H209" s="4" t="s">
        <v>33</v>
      </c>
    </row>
    <row r="211" customFormat="false" ht="18" hidden="false" customHeight="true" outlineLevel="0" collapsed="false">
      <c r="B211" s="12" t="s">
        <v>340</v>
      </c>
      <c r="C211" s="12"/>
      <c r="D211" s="12"/>
      <c r="E211" s="12"/>
      <c r="F211" s="12"/>
      <c r="G211" s="12"/>
      <c r="H211" s="4" t="s">
        <v>24</v>
      </c>
    </row>
    <row r="212" customFormat="false" ht="18" hidden="false" customHeight="true" outlineLevel="0" collapsed="false">
      <c r="B212" s="1" t="s">
        <v>325</v>
      </c>
      <c r="C212" s="13" t="s">
        <v>341</v>
      </c>
      <c r="D212" s="13"/>
      <c r="E212" s="13"/>
      <c r="F212" s="13"/>
      <c r="G212" s="1" t="s">
        <v>342</v>
      </c>
      <c r="H212" s="4" t="s">
        <v>29</v>
      </c>
    </row>
    <row r="213" customFormat="false" ht="30" hidden="false" customHeight="true" outlineLevel="0" collapsed="false">
      <c r="B213" s="14" t="s">
        <v>313</v>
      </c>
      <c r="C213" s="15" t="s">
        <v>343</v>
      </c>
      <c r="D213" s="15"/>
      <c r="E213" s="15"/>
      <c r="F213" s="15"/>
      <c r="G213" s="17" t="s">
        <v>344</v>
      </c>
      <c r="H213" s="4" t="s">
        <v>33</v>
      </c>
    </row>
    <row r="214" customFormat="false" ht="30" hidden="false" customHeight="true" outlineLevel="0" collapsed="false">
      <c r="B214" s="14" t="s">
        <v>345</v>
      </c>
      <c r="C214" s="15" t="s">
        <v>346</v>
      </c>
      <c r="D214" s="15"/>
      <c r="E214" s="15"/>
      <c r="F214" s="15"/>
      <c r="G214" s="17" t="s">
        <v>344</v>
      </c>
      <c r="H214" s="4" t="s">
        <v>33</v>
      </c>
    </row>
    <row r="215" customFormat="false" ht="30" hidden="false" customHeight="true" outlineLevel="0" collapsed="false">
      <c r="B215" s="14" t="s">
        <v>315</v>
      </c>
      <c r="C215" s="15" t="s">
        <v>347</v>
      </c>
      <c r="D215" s="15"/>
      <c r="E215" s="15"/>
      <c r="F215" s="15"/>
      <c r="G215" s="17" t="s">
        <v>134</v>
      </c>
      <c r="H215" s="4" t="s">
        <v>33</v>
      </c>
    </row>
    <row r="216" customFormat="false" ht="30" hidden="false" customHeight="true" outlineLevel="0" collapsed="false">
      <c r="B216" s="14" t="s">
        <v>316</v>
      </c>
      <c r="C216" s="15" t="s">
        <v>348</v>
      </c>
      <c r="D216" s="15"/>
      <c r="E216" s="15"/>
      <c r="F216" s="15"/>
      <c r="G216" s="17" t="s">
        <v>134</v>
      </c>
      <c r="H216" s="4" t="s">
        <v>33</v>
      </c>
    </row>
    <row r="218" customFormat="false" ht="19.5" hidden="false" customHeight="true" outlineLevel="0" collapsed="false">
      <c r="B218" s="1" t="s">
        <v>0</v>
      </c>
      <c r="C218" s="2"/>
      <c r="D218" s="2"/>
      <c r="E218" s="2"/>
      <c r="F218" s="2"/>
      <c r="G218" s="3" t="s">
        <v>1</v>
      </c>
      <c r="H218" s="4" t="s">
        <v>2</v>
      </c>
    </row>
    <row r="219" customFormat="false" ht="21.75" hidden="false" customHeight="true" outlineLevel="0" collapsed="false">
      <c r="B219" s="9" t="s">
        <v>349</v>
      </c>
      <c r="C219" s="10"/>
      <c r="D219" s="10"/>
      <c r="E219" s="10"/>
      <c r="F219" s="10"/>
      <c r="G219" s="10"/>
      <c r="H219" s="4" t="s">
        <v>20</v>
      </c>
    </row>
    <row r="220" customFormat="false" ht="15.75" hidden="false" customHeight="true" outlineLevel="0" collapsed="false">
      <c r="B220" s="11" t="s">
        <v>350</v>
      </c>
      <c r="C220" s="10"/>
      <c r="D220" s="10"/>
      <c r="E220" s="10"/>
      <c r="F220" s="10"/>
      <c r="G220" s="10"/>
      <c r="H220" s="4" t="s">
        <v>22</v>
      </c>
    </row>
    <row r="222" customFormat="false" ht="18" hidden="false" customHeight="true" outlineLevel="0" collapsed="false">
      <c r="B222" s="12" t="s">
        <v>351</v>
      </c>
      <c r="C222" s="12"/>
      <c r="D222" s="12"/>
      <c r="E222" s="12"/>
      <c r="F222" s="12"/>
      <c r="G222" s="12"/>
      <c r="H222" s="4" t="s">
        <v>24</v>
      </c>
    </row>
    <row r="223" customFormat="false" ht="18" hidden="false" customHeight="true" outlineLevel="0" collapsed="false">
      <c r="B223" s="1" t="s">
        <v>352</v>
      </c>
      <c r="C223" s="13" t="s">
        <v>353</v>
      </c>
      <c r="D223" s="13" t="s">
        <v>354</v>
      </c>
      <c r="E223" s="13" t="s">
        <v>355</v>
      </c>
      <c r="F223" s="13"/>
      <c r="G223" s="1" t="s">
        <v>356</v>
      </c>
      <c r="H223" s="4" t="s">
        <v>29</v>
      </c>
    </row>
    <row r="224" customFormat="false" ht="39.75" hidden="false" customHeight="true" outlineLevel="0" collapsed="false">
      <c r="B224" s="14" t="s">
        <v>357</v>
      </c>
      <c r="C224" s="15" t="s">
        <v>358</v>
      </c>
      <c r="D224" s="15" t="str">
        <f aca="false">"100 % de l'actif investi ; "&amp;(ROUND((W_FERMES)*100,0)&amp;" %")&amp;" valorisés au mieux trimestriellement avec décalage"</f>
        <v>100 % de l'actif investi ; 51 % valorisés au mieux trimestriellement avec décalage</v>
      </c>
      <c r="E224" s="16" t="s">
        <v>359</v>
      </c>
      <c r="F224" s="16"/>
      <c r="G224" s="17" t="s">
        <v>360</v>
      </c>
      <c r="H224" s="4" t="s">
        <v>33</v>
      </c>
    </row>
    <row r="225" customFormat="false" ht="39.75" hidden="false" customHeight="true" outlineLevel="0" collapsed="false">
      <c r="B225" s="14" t="s">
        <v>361</v>
      </c>
      <c r="C225" s="15" t="s">
        <v>362</v>
      </c>
      <c r="D225" s="15" t="s">
        <v>363</v>
      </c>
      <c r="E225" s="16" t="s">
        <v>364</v>
      </c>
      <c r="F225" s="16"/>
      <c r="G225" s="17" t="s">
        <v>365</v>
      </c>
      <c r="H225" s="4" t="s">
        <v>33</v>
      </c>
    </row>
    <row r="226" customFormat="false" ht="39.75" hidden="false" customHeight="true" outlineLevel="0" collapsed="false">
      <c r="B226" s="14" t="s">
        <v>366</v>
      </c>
      <c r="C226" s="15" t="s">
        <v>367</v>
      </c>
      <c r="D226" s="15" t="s">
        <v>368</v>
      </c>
      <c r="E226" s="16" t="s">
        <v>369</v>
      </c>
      <c r="F226" s="16"/>
      <c r="G226" s="17" t="s">
        <v>370</v>
      </c>
      <c r="H226" s="4" t="s">
        <v>33</v>
      </c>
    </row>
    <row r="228" customFormat="false" ht="18" hidden="false" customHeight="true" outlineLevel="0" collapsed="false">
      <c r="B228" s="12" t="s">
        <v>371</v>
      </c>
      <c r="C228" s="12"/>
      <c r="D228" s="12"/>
      <c r="E228" s="12"/>
      <c r="F228" s="12"/>
      <c r="G228" s="12"/>
      <c r="H228" s="4" t="s">
        <v>24</v>
      </c>
    </row>
    <row r="229" customFormat="false" ht="18" hidden="false" customHeight="true" outlineLevel="0" collapsed="false">
      <c r="B229" s="1" t="s">
        <v>352</v>
      </c>
      <c r="C229" s="13" t="s">
        <v>353</v>
      </c>
      <c r="D229" s="13" t="s">
        <v>372</v>
      </c>
      <c r="E229" s="13" t="s">
        <v>355</v>
      </c>
      <c r="F229" s="13"/>
      <c r="G229" s="1" t="s">
        <v>356</v>
      </c>
      <c r="H229" s="4" t="s">
        <v>29</v>
      </c>
    </row>
    <row r="230" customFormat="false" ht="30" hidden="false" customHeight="true" outlineLevel="0" collapsed="false">
      <c r="B230" s="14" t="s">
        <v>373</v>
      </c>
      <c r="C230" s="15" t="s">
        <v>374</v>
      </c>
      <c r="D230" s="15" t="str">
        <f aca="false">"Macquarie : "&amp;(ROUND((W_MACQ)*100,0)&amp;" %")&amp;" de l'actif, deux véhicules non lancés à la date de leur PPM"</f>
        <v>Macquarie : 51 % de l'actif, deux véhicules non lancés à la date de leur PPM</v>
      </c>
      <c r="E230" s="16" t="s">
        <v>375</v>
      </c>
      <c r="F230" s="16"/>
      <c r="G230" s="17" t="s">
        <v>376</v>
      </c>
      <c r="H230" s="4" t="s">
        <v>33</v>
      </c>
    </row>
    <row r="231" customFormat="false" ht="30" hidden="false" customHeight="true" outlineLevel="0" collapsed="false">
      <c r="B231" s="14" t="s">
        <v>377</v>
      </c>
      <c r="C231" s="15" t="s">
        <v>378</v>
      </c>
      <c r="D231" s="15" t="str">
        <f aca="false">"Poche de "&amp;(ROUND((W_LIQ)*100,0)&amp;" %")&amp;" chez BFCM, OPC monétaires et comptes à terme"</f>
        <v>Poche de 15 % chez BFCM, OPC monétaires et comptes à terme</v>
      </c>
      <c r="E231" s="16" t="s">
        <v>379</v>
      </c>
      <c r="F231" s="16"/>
      <c r="G231" s="17" t="s">
        <v>380</v>
      </c>
      <c r="H231" s="4" t="s">
        <v>33</v>
      </c>
    </row>
    <row r="232" customFormat="false" ht="30" hidden="false" customHeight="true" outlineLevel="0" collapsed="false">
      <c r="B232" s="14" t="s">
        <v>381</v>
      </c>
      <c r="C232" s="15" t="s">
        <v>382</v>
      </c>
      <c r="D232" s="15" t="s">
        <v>383</v>
      </c>
      <c r="E232" s="16" t="s">
        <v>384</v>
      </c>
      <c r="F232" s="16"/>
      <c r="G232" s="17" t="s">
        <v>385</v>
      </c>
      <c r="H232" s="4" t="s">
        <v>33</v>
      </c>
    </row>
    <row r="234" customFormat="false" ht="18" hidden="false" customHeight="true" outlineLevel="0" collapsed="false">
      <c r="B234" s="12" t="s">
        <v>386</v>
      </c>
      <c r="C234" s="12"/>
      <c r="D234" s="12"/>
      <c r="E234" s="12"/>
      <c r="F234" s="12"/>
      <c r="G234" s="12"/>
      <c r="H234" s="4" t="s">
        <v>24</v>
      </c>
    </row>
    <row r="235" customFormat="false" ht="18" hidden="false" customHeight="true" outlineLevel="0" collapsed="false">
      <c r="B235" s="1" t="s">
        <v>352</v>
      </c>
      <c r="C235" s="13" t="s">
        <v>353</v>
      </c>
      <c r="D235" s="13" t="s">
        <v>372</v>
      </c>
      <c r="E235" s="13" t="s">
        <v>355</v>
      </c>
      <c r="F235" s="13"/>
      <c r="G235" s="1" t="s">
        <v>356</v>
      </c>
      <c r="H235" s="4" t="s">
        <v>29</v>
      </c>
    </row>
    <row r="236" customFormat="false" ht="33.75" hidden="false" customHeight="true" outlineLevel="0" collapsed="false">
      <c r="B236" s="14" t="s">
        <v>387</v>
      </c>
      <c r="C236" s="15" t="s">
        <v>388</v>
      </c>
      <c r="D236" s="15" t="s">
        <v>389</v>
      </c>
      <c r="E236" s="16" t="s">
        <v>390</v>
      </c>
      <c r="F236" s="16"/>
      <c r="G236" s="17" t="s">
        <v>391</v>
      </c>
      <c r="H236" s="4" t="s">
        <v>33</v>
      </c>
    </row>
    <row r="237" customFormat="false" ht="33.75" hidden="false" customHeight="true" outlineLevel="0" collapsed="false">
      <c r="B237" s="14" t="s">
        <v>392</v>
      </c>
      <c r="C237" s="15" t="s">
        <v>393</v>
      </c>
      <c r="D237" s="15" t="s">
        <v>394</v>
      </c>
      <c r="E237" s="16" t="s">
        <v>395</v>
      </c>
      <c r="F237" s="16"/>
      <c r="G237" s="17" t="s">
        <v>396</v>
      </c>
      <c r="H237" s="4" t="s">
        <v>33</v>
      </c>
    </row>
    <row r="238" customFormat="false" ht="33.75" hidden="false" customHeight="true" outlineLevel="0" collapsed="false">
      <c r="B238" s="14" t="s">
        <v>397</v>
      </c>
      <c r="C238" s="15" t="s">
        <v>398</v>
      </c>
      <c r="D238" s="15" t="s">
        <v>399</v>
      </c>
      <c r="E238" s="16" t="s">
        <v>400</v>
      </c>
      <c r="F238" s="16"/>
      <c r="G238" s="17" t="s">
        <v>401</v>
      </c>
      <c r="H238" s="4" t="s">
        <v>33</v>
      </c>
    </row>
    <row r="239" customFormat="false" ht="33.75" hidden="false" customHeight="true" outlineLevel="0" collapsed="false">
      <c r="B239" s="14" t="s">
        <v>402</v>
      </c>
      <c r="C239" s="15" t="s">
        <v>403</v>
      </c>
      <c r="D239" s="15" t="s">
        <v>404</v>
      </c>
      <c r="E239" s="16" t="s">
        <v>405</v>
      </c>
      <c r="F239" s="16"/>
      <c r="G239" s="17" t="s">
        <v>406</v>
      </c>
      <c r="H239" s="4" t="s">
        <v>33</v>
      </c>
    </row>
    <row r="240" customFormat="false" ht="25.5" hidden="false" customHeight="true" outlineLevel="0" collapsed="false">
      <c r="B240" s="21" t="s">
        <v>407</v>
      </c>
      <c r="C240" s="21"/>
      <c r="D240" s="21"/>
      <c r="E240" s="21"/>
      <c r="F240" s="21"/>
      <c r="G240" s="21"/>
      <c r="H240" s="4" t="s">
        <v>66</v>
      </c>
    </row>
    <row r="242" customFormat="false" ht="19.5" hidden="false" customHeight="true" outlineLevel="0" collapsed="false">
      <c r="B242" s="1" t="s">
        <v>0</v>
      </c>
      <c r="C242" s="2"/>
      <c r="D242" s="2"/>
      <c r="E242" s="2"/>
      <c r="F242" s="2"/>
      <c r="G242" s="3" t="s">
        <v>1</v>
      </c>
      <c r="H242" s="4" t="s">
        <v>2</v>
      </c>
    </row>
    <row r="243" customFormat="false" ht="21.75" hidden="false" customHeight="true" outlineLevel="0" collapsed="false">
      <c r="B243" s="9" t="s">
        <v>408</v>
      </c>
      <c r="C243" s="10"/>
      <c r="D243" s="10"/>
      <c r="E243" s="10"/>
      <c r="F243" s="10"/>
      <c r="G243" s="10"/>
      <c r="H243" s="4" t="s">
        <v>20</v>
      </c>
    </row>
    <row r="244" customFormat="false" ht="15.75" hidden="false" customHeight="true" outlineLevel="0" collapsed="false">
      <c r="B244" s="11" t="s">
        <v>409</v>
      </c>
      <c r="C244" s="10"/>
      <c r="D244" s="10"/>
      <c r="E244" s="10"/>
      <c r="F244" s="10"/>
      <c r="G244" s="10"/>
      <c r="H244" s="4" t="s">
        <v>22</v>
      </c>
    </row>
    <row r="246" customFormat="false" ht="18" hidden="false" customHeight="true" outlineLevel="0" collapsed="false">
      <c r="B246" s="12" t="s">
        <v>410</v>
      </c>
      <c r="C246" s="12"/>
      <c r="D246" s="12"/>
      <c r="E246" s="12"/>
      <c r="F246" s="12"/>
      <c r="G246" s="12"/>
      <c r="H246" s="4" t="s">
        <v>24</v>
      </c>
    </row>
    <row r="247" customFormat="false" ht="18" hidden="false" customHeight="true" outlineLevel="0" collapsed="false">
      <c r="B247" s="1" t="s">
        <v>411</v>
      </c>
      <c r="C247" s="13" t="s">
        <v>412</v>
      </c>
      <c r="D247" s="13" t="s">
        <v>254</v>
      </c>
      <c r="E247" s="13" t="s">
        <v>81</v>
      </c>
      <c r="F247" s="13" t="s">
        <v>413</v>
      </c>
      <c r="G247" s="1"/>
      <c r="H247" s="4" t="s">
        <v>29</v>
      </c>
    </row>
    <row r="248" customFormat="false" ht="24" hidden="false" customHeight="true" outlineLevel="0" collapsed="false">
      <c r="B248" s="14" t="s">
        <v>414</v>
      </c>
      <c r="C248" s="23" t="n">
        <f aca="false">Lim_total</f>
        <v>27</v>
      </c>
      <c r="D248" s="15" t="s">
        <v>90</v>
      </c>
      <c r="E248" s="15" t="s">
        <v>91</v>
      </c>
      <c r="F248" s="16" t="s">
        <v>415</v>
      </c>
      <c r="G248" s="16"/>
      <c r="H248" s="4" t="s">
        <v>33</v>
      </c>
    </row>
    <row r="249" customFormat="false" ht="24" hidden="false" customHeight="true" outlineLevel="0" collapsed="false">
      <c r="B249" s="14" t="s">
        <v>416</v>
      </c>
      <c r="C249" s="23" t="n">
        <f aca="false">Lim_depassees</f>
        <v>0</v>
      </c>
      <c r="D249" s="23" t="n">
        <v>0</v>
      </c>
      <c r="E249" s="15" t="str">
        <f aca="false">IF(Lim_depassees&lt;=0,"Conforme","Action requise")</f>
        <v>Conforme</v>
      </c>
      <c r="F249" s="16" t="s">
        <v>417</v>
      </c>
      <c r="G249" s="16"/>
      <c r="H249" s="4" t="s">
        <v>33</v>
      </c>
    </row>
    <row r="250" customFormat="false" ht="24" hidden="false" customHeight="true" outlineLevel="0" collapsed="false">
      <c r="B250" s="14" t="s">
        <v>418</v>
      </c>
      <c r="C250" s="23" t="n">
        <f aca="false">Lim_non_testables</f>
        <v>8</v>
      </c>
      <c r="D250" s="15" t="s">
        <v>90</v>
      </c>
      <c r="E250" s="15" t="s">
        <v>91</v>
      </c>
      <c r="F250" s="16" t="s">
        <v>419</v>
      </c>
      <c r="G250" s="16"/>
      <c r="H250" s="4" t="s">
        <v>33</v>
      </c>
    </row>
    <row r="251" customFormat="false" ht="24" hidden="false" customHeight="true" outlineLevel="0" collapsed="false">
      <c r="B251" s="14" t="s">
        <v>420</v>
      </c>
      <c r="C251" s="23" t="n">
        <f aca="false">Lim_a_valider</f>
        <v>7</v>
      </c>
      <c r="D251" s="23" t="n">
        <v>0</v>
      </c>
      <c r="E251" s="15" t="s">
        <v>118</v>
      </c>
      <c r="F251" s="16" t="s">
        <v>421</v>
      </c>
      <c r="G251" s="16"/>
      <c r="H251" s="4" t="s">
        <v>33</v>
      </c>
    </row>
    <row r="252" customFormat="false" ht="24" hidden="false" customHeight="true" outlineLevel="0" collapsed="false">
      <c r="B252" s="14" t="s">
        <v>422</v>
      </c>
      <c r="C252" s="23" t="n">
        <f aca="false">Lim_a_arreter</f>
        <v>4</v>
      </c>
      <c r="D252" s="23" t="n">
        <v>0</v>
      </c>
      <c r="E252" s="15" t="s">
        <v>118</v>
      </c>
      <c r="F252" s="16" t="s">
        <v>423</v>
      </c>
      <c r="G252" s="16"/>
      <c r="H252" s="4" t="s">
        <v>33</v>
      </c>
    </row>
    <row r="254" customFormat="false" ht="18" hidden="false" customHeight="true" outlineLevel="0" collapsed="false">
      <c r="B254" s="12" t="s">
        <v>424</v>
      </c>
      <c r="C254" s="12"/>
      <c r="D254" s="12"/>
      <c r="E254" s="12"/>
      <c r="F254" s="12"/>
      <c r="G254" s="12"/>
      <c r="H254" s="4" t="s">
        <v>24</v>
      </c>
    </row>
    <row r="255" customFormat="false" ht="18" hidden="false" customHeight="true" outlineLevel="0" collapsed="false">
      <c r="B255" s="1" t="s">
        <v>55</v>
      </c>
      <c r="C255" s="13" t="s">
        <v>56</v>
      </c>
      <c r="D255" s="13"/>
      <c r="E255" s="13" t="s">
        <v>57</v>
      </c>
      <c r="F255" s="13"/>
      <c r="G255" s="1" t="s">
        <v>58</v>
      </c>
      <c r="H255" s="4" t="s">
        <v>29</v>
      </c>
    </row>
    <row r="256" customFormat="false" ht="43.5" hidden="false" customHeight="true" outlineLevel="0" collapsed="false">
      <c r="B256" s="20" t="s">
        <v>59</v>
      </c>
      <c r="C256" s="16" t="str">
        <f aca="false">Dec1</f>
        <v>Figer le texte de liquidité du prospectus avant dépôt</v>
      </c>
      <c r="D256" s="16"/>
      <c r="E256" s="16" t="str">
        <f aca="false">DecP1</f>
        <v>Préavis 91 jours, Demandes Prioritaires, issue après 4 dates, assiette du plafonnement, clause de dépassement passif du plancher de 15 %.</v>
      </c>
      <c r="F256" s="16"/>
      <c r="G256" s="17" t="str">
        <f aca="false">DecE1</f>
        <v>Avant le dépôt</v>
      </c>
      <c r="H256" s="4" t="s">
        <v>33</v>
      </c>
    </row>
    <row r="257" customFormat="false" ht="43.5" hidden="false" customHeight="true" outlineLevel="0" collapsed="false">
      <c r="B257" s="20" t="s">
        <v>60</v>
      </c>
      <c r="C257" s="16" t="str">
        <f aca="false">Dec2</f>
        <v>Réintroduire le levier maximal AIFM (100 % engagement et brut)</v>
      </c>
      <c r="D257" s="16"/>
      <c r="E257" s="16" t="str">
        <f aca="false">DecP2</f>
        <v>Obligation de l'art. 23 § 1 a) de la directive ; sans emprunt ni dérivé, le niveau est sans coût.</v>
      </c>
      <c r="F257" s="16"/>
      <c r="G257" s="17" t="str">
        <f aca="false">DecE2</f>
        <v>Avant le dépôt</v>
      </c>
      <c r="H257" s="4" t="s">
        <v>33</v>
      </c>
    </row>
    <row r="258" customFormat="false" ht="43.5" hidden="false" customHeight="true" outlineLevel="0" collapsed="false">
      <c r="B258" s="20" t="s">
        <v>61</v>
      </c>
      <c r="C258" s="16" t="str">
        <f aca="false">Dec3</f>
        <v>Conditionner tout engagement fermé aux dérogations écrites et aux choix de véhicule</v>
      </c>
      <c r="D258" s="16"/>
      <c r="E258" s="16" t="str">
        <f aca="false">DecP3</f>
        <v>Dérogations de ticket MAPIF II et MSIG 3, confirmation AWI, manche et devise de MSIG 3, classe PG NGI.</v>
      </c>
      <c r="F258" s="16"/>
      <c r="G258" s="17" t="str">
        <f aca="false">DecE3</f>
        <v>Avant tout engagement</v>
      </c>
      <c r="H258" s="4" t="s">
        <v>33</v>
      </c>
    </row>
    <row r="259" customFormat="false" ht="43.5" hidden="false" customHeight="true" outlineLevel="0" collapsed="false">
      <c r="B259" s="20" t="s">
        <v>62</v>
      </c>
      <c r="C259" s="16" t="str">
        <f aca="false">Dec4</f>
        <v>Arrêter les limites internes KRI-08 à KRI-11</v>
      </c>
      <c r="D259" s="16"/>
      <c r="E259" s="16" t="str">
        <f aca="false">DecP4</f>
        <v>Gérant 40 %, fonds cible 35 %, dollar non couvert 40 %, péremption des VL à 120 jours pour les fonds fermés.</v>
      </c>
      <c r="F259" s="16"/>
      <c r="G259" s="17" t="str">
        <f aca="false">DecE4</f>
        <v>Prochain comité</v>
      </c>
      <c r="H259" s="4" t="s">
        <v>33</v>
      </c>
    </row>
    <row r="260" customFormat="false" ht="43.5" hidden="false" customHeight="true" outlineLevel="0" collapsed="false">
      <c r="B260" s="20" t="s">
        <v>63</v>
      </c>
      <c r="C260" s="16" t="str">
        <f aca="false">Dec5</f>
        <v>Adopter la règle de séquencement des engagements et de la première fenêtre</v>
      </c>
      <c r="D260" s="16"/>
      <c r="E260" s="16" t="str">
        <f aca="false">DecP5</f>
        <v>Appels à douze mois couverts par la poche ; non-appelé ≤ 15 % de l'actif net à la fin du blocage ; première centralisation après 24 mois de détention Ares.</v>
      </c>
      <c r="F260" s="16"/>
      <c r="G260" s="17" t="str">
        <f aca="false">DecE5</f>
        <v>Au lancement</v>
      </c>
      <c r="H260" s="4" t="s">
        <v>33</v>
      </c>
    </row>
    <row r="261" customFormat="false" ht="43.5" hidden="false" customHeight="true" outlineLevel="0" collapsed="false">
      <c r="B261" s="20" t="s">
        <v>64</v>
      </c>
      <c r="C261" s="16" t="str">
        <f aca="false">Dec6</f>
        <v>Formaliser la gouvernance du Conseiller et la revue des VL reçues</v>
      </c>
      <c r="D261" s="16"/>
      <c r="E261" s="16" t="str">
        <f aca="false">DecP6</f>
        <v>Cartographie du conflit conseil / distribution / révocation ; procédure de revue des VL et calendrier Annexe IV.</v>
      </c>
      <c r="F261" s="16"/>
      <c r="G261" s="17" t="str">
        <f aca="false">DecE6</f>
        <v>T4 2026</v>
      </c>
      <c r="H261" s="4" t="s">
        <v>33</v>
      </c>
    </row>
    <row r="263" customFormat="false" ht="18" hidden="false" customHeight="true" outlineLevel="0" collapsed="false">
      <c r="B263" s="12" t="s">
        <v>425</v>
      </c>
      <c r="C263" s="12"/>
      <c r="D263" s="12"/>
      <c r="E263" s="12"/>
      <c r="F263" s="12"/>
      <c r="G263" s="12"/>
      <c r="H263" s="4" t="s">
        <v>24</v>
      </c>
    </row>
    <row r="264" customFormat="false" ht="117" hidden="false" customHeight="true" outlineLevel="0" collapsed="false">
      <c r="B264" s="21" t="str">
        <f aca="false">"Openstone Infraworld est, par construction, un véhicule de transformation : une promesse de liquidité semestrielle adossée à "&amp;(ROUND((W_FERMES)*100,0)&amp;" %")&amp;" d'actifs sans fenêtre avant dix ans. Le dispositif du prospectus - blocage de deux ans, plafonnement de 5 %, prolongation du préavis, suspension, plancher liquide de 15 %, ni emprunt ni dérivé - est complet au regard de l'annexe V de la directive (UE) 2024/927, et les stress tests montrent qu'il absorbe un choc adverse de 10 % par date. Il ne tient pas face à des rachats de 15 % puis 20 % ni à une crise combinée, et il repose sur des hypothèses de collecte et de distributions qui ne dépendent pas de la Société de Gestion. La Fonction Risques recommande de conditionner le lancement aux décisions 1 à 3 (texte de liquidité, levier maximal, dérogations écrites) et d'arrêter les limites internes de concentration et de change avant la première valeur liquidative. Niveau de confiance : élevé sur le référentiel contractuel et la lecture des fonds cibles, moyen sur les stress tests (hypothèses externes), faible sur le comportement de rachat des porteurs, inconnu à ce stade."</f>
        <v>Openstone Infraworld est, par construction, un véhicule de transformation : une promesse de liquidité semestrielle adossée à 51 % d'actifs sans fenêtre avant dix ans. Le dispositif du prospectus - blocage de deux ans, plafonnement de 5 %, prolongation du préavis, suspension, plancher liquide de 15 %, ni emprunt ni dérivé - est complet au regard de l'annexe V de la directive (UE) 2024/927, et les stress tests montrent qu'il absorbe un choc adverse de 10 % par date. Il ne tient pas face à des rachats de 15 % puis 20 % ni à une crise combinée, et il repose sur des hypothèses de collecte et de distributions qui ne dépendent pas de la Société de Gestion. La Fonction Risques recommande de conditionner le lancement aux décisions 1 à 3 (texte de liquidité, levier maximal, dérogations écrites) et d'arrêter les limites internes de concentration et de change avant la première valeur liquidative. Niveau de confiance : élevé sur le référentiel contractuel et la lecture des fonds cibles, moyen sur les stress tests (hypothèses externes), faible sur le comportement de rachat des porteurs, inconnu à ce stade.</v>
      </c>
      <c r="C264" s="21"/>
      <c r="D264" s="21"/>
      <c r="E264" s="21"/>
      <c r="F264" s="21"/>
      <c r="G264" s="21"/>
      <c r="H264" s="4" t="s">
        <v>66</v>
      </c>
    </row>
    <row r="266" customFormat="false" ht="18" hidden="false" customHeight="true" outlineLevel="0" collapsed="false">
      <c r="B266" s="12" t="s">
        <v>426</v>
      </c>
      <c r="C266" s="12"/>
      <c r="D266" s="12"/>
      <c r="E266" s="12"/>
      <c r="F266" s="12"/>
      <c r="G266" s="12"/>
      <c r="H266" s="4" t="s">
        <v>24</v>
      </c>
    </row>
    <row r="267" customFormat="false" ht="18" hidden="false" customHeight="true" outlineLevel="0" collapsed="false">
      <c r="B267" s="1" t="s">
        <v>427</v>
      </c>
      <c r="C267" s="13" t="s">
        <v>428</v>
      </c>
      <c r="D267" s="13" t="s">
        <v>429</v>
      </c>
      <c r="E267" s="13" t="s">
        <v>81</v>
      </c>
      <c r="F267" s="13" t="s">
        <v>246</v>
      </c>
      <c r="G267" s="1"/>
      <c r="H267" s="4" t="s">
        <v>29</v>
      </c>
    </row>
    <row r="268" customFormat="false" ht="24" hidden="false" customHeight="true" outlineLevel="0" collapsed="false">
      <c r="B268" s="14" t="s">
        <v>430</v>
      </c>
      <c r="C268" s="22" t="n">
        <f aca="false">W_TOT</f>
        <v>1</v>
      </c>
      <c r="D268" s="22" t="n">
        <v>1</v>
      </c>
      <c r="E268" s="15" t="str">
        <f aca="false">IF(ABS(W_TOT-1)&lt;0.0001,"Conforme","Erreur")</f>
        <v>Conforme</v>
      </c>
      <c r="F268" s="16" t="s">
        <v>431</v>
      </c>
      <c r="G268" s="16"/>
      <c r="H268" s="4" t="s">
        <v>33</v>
      </c>
    </row>
    <row r="269" customFormat="false" ht="24" hidden="false" customHeight="true" outlineLevel="0" collapsed="false">
      <c r="B269" s="14" t="s">
        <v>432</v>
      </c>
      <c r="C269" s="22" t="n">
        <f aca="false">Buckets_total</f>
        <v>1</v>
      </c>
      <c r="D269" s="22" t="n">
        <v>1</v>
      </c>
      <c r="E269" s="15" t="str">
        <f aca="false">IF(ABS(Buckets_total-1)&lt;0.0001,"Conforme","Erreur")</f>
        <v>Conforme</v>
      </c>
      <c r="F269" s="16" t="s">
        <v>433</v>
      </c>
      <c r="G269" s="16"/>
      <c r="H269" s="4" t="s">
        <v>33</v>
      </c>
    </row>
    <row r="270" customFormat="false" ht="24" hidden="false" customHeight="true" outlineLevel="0" collapsed="false">
      <c r="B270" s="14" t="s">
        <v>434</v>
      </c>
      <c r="C270" s="23" t="n">
        <f aca="false">Src_perimees</f>
        <v>1</v>
      </c>
      <c r="D270" s="23" t="n">
        <v>0</v>
      </c>
      <c r="E270" s="15" t="str">
        <f aca="false">IF(Src_perimees&lt;=0,"Conforme","Avertissement")</f>
        <v>Avertissement</v>
      </c>
      <c r="F270" s="16" t="str">
        <f aca="false">"Sur "&amp;Src_total&amp;" sources recensées (annexe)"</f>
        <v>Sur 12 sources recensées (annexe)</v>
      </c>
      <c r="G270" s="16"/>
      <c r="H270" s="4" t="s">
        <v>33</v>
      </c>
    </row>
    <row r="271" customFormat="false" ht="24" hidden="false" customHeight="true" outlineLevel="0" collapsed="false">
      <c r="B271" s="14" t="s">
        <v>435</v>
      </c>
      <c r="C271" s="15" t="str">
        <f aca="false">Preavis_j&amp;" jours"</f>
        <v>91 jours</v>
      </c>
      <c r="D271" s="15" t="s">
        <v>436</v>
      </c>
      <c r="E271" s="15" t="s">
        <v>437</v>
      </c>
      <c r="F271" s="16" t="s">
        <v>438</v>
      </c>
      <c r="G271" s="16"/>
      <c r="H271" s="4" t="s">
        <v>33</v>
      </c>
    </row>
    <row r="272" customFormat="false" ht="24" hidden="false" customHeight="true" outlineLevel="0" collapsed="false">
      <c r="B272" s="14" t="s">
        <v>439</v>
      </c>
      <c r="C272" s="22" t="n">
        <f aca="false">Ws_TOT</f>
        <v>1</v>
      </c>
      <c r="D272" s="22" t="n">
        <v>1</v>
      </c>
      <c r="E272" s="15" t="str">
        <f aca="false">IF(ABS(Ws_TOT-1)&lt;0.0001,"Conforme","Erreur")</f>
        <v>Conforme</v>
      </c>
      <c r="F272" s="16" t="s">
        <v>440</v>
      </c>
      <c r="G272" s="16"/>
      <c r="H272" s="4" t="s">
        <v>33</v>
      </c>
    </row>
    <row r="273" customFormat="false" ht="24" hidden="false" customHeight="true" outlineLevel="0" collapsed="false">
      <c r="B273" s="14" t="s">
        <v>441</v>
      </c>
      <c r="C273" s="29" t="n">
        <f aca="false">IRPc_Fonds</f>
        <v>71.4</v>
      </c>
      <c r="D273" s="29" t="n">
        <f aca="false">IRP_Fonds</f>
        <v>71.4</v>
      </c>
      <c r="E273" s="15" t="str">
        <f aca="false">IF(ABS(IRPc_Fonds-IRP_Fonds)&lt;0.1,"Conforme","Erreur")</f>
        <v>Conforme</v>
      </c>
      <c r="F273" s="16" t="s">
        <v>442</v>
      </c>
      <c r="G273" s="16"/>
      <c r="H273" s="4" t="s">
        <v>33</v>
      </c>
    </row>
    <row r="274" customFormat="false" ht="12.75" hidden="false" customHeight="true" outlineLevel="0" collapsed="false">
      <c r="B274" s="21" t="s">
        <v>443</v>
      </c>
      <c r="C274" s="21"/>
      <c r="D274" s="21"/>
      <c r="E274" s="21"/>
      <c r="F274" s="21"/>
      <c r="G274" s="21"/>
      <c r="H274" s="4" t="s">
        <v>66</v>
      </c>
    </row>
    <row r="276" customFormat="false" ht="19.5" hidden="false" customHeight="true" outlineLevel="0" collapsed="false">
      <c r="B276" s="1" t="s">
        <v>0</v>
      </c>
      <c r="C276" s="2"/>
      <c r="D276" s="2"/>
      <c r="E276" s="2"/>
      <c r="F276" s="2"/>
      <c r="G276" s="3" t="s">
        <v>1</v>
      </c>
      <c r="H276" s="4" t="s">
        <v>2</v>
      </c>
    </row>
    <row r="277" customFormat="false" ht="21.75" hidden="false" customHeight="true" outlineLevel="0" collapsed="false">
      <c r="B277" s="9" t="s">
        <v>444</v>
      </c>
      <c r="C277" s="10"/>
      <c r="D277" s="10"/>
      <c r="E277" s="10"/>
      <c r="F277" s="10"/>
      <c r="G277" s="10"/>
      <c r="H277" s="4" t="s">
        <v>20</v>
      </c>
    </row>
    <row r="278" customFormat="false" ht="15.75" hidden="false" customHeight="true" outlineLevel="0" collapsed="false">
      <c r="B278" s="11" t="s">
        <v>445</v>
      </c>
      <c r="C278" s="10"/>
      <c r="D278" s="10"/>
      <c r="E278" s="10"/>
      <c r="F278" s="10"/>
      <c r="G278" s="10"/>
      <c r="H278" s="4" t="s">
        <v>22</v>
      </c>
    </row>
    <row r="280" customFormat="false" ht="18" hidden="false" customHeight="true" outlineLevel="0" collapsed="false">
      <c r="B280" s="12" t="s">
        <v>446</v>
      </c>
      <c r="C280" s="12"/>
      <c r="D280" s="12"/>
      <c r="E280" s="12"/>
      <c r="F280" s="12"/>
      <c r="G280" s="12"/>
      <c r="H280" s="4" t="s">
        <v>24</v>
      </c>
    </row>
    <row r="281" customFormat="false" ht="18" hidden="false" customHeight="true" outlineLevel="0" collapsed="false">
      <c r="B281" s="1" t="s">
        <v>447</v>
      </c>
      <c r="C281" s="13" t="s">
        <v>91</v>
      </c>
      <c r="D281" s="13"/>
      <c r="E281" s="13"/>
      <c r="F281" s="13" t="s">
        <v>173</v>
      </c>
      <c r="G281" s="1"/>
      <c r="H281" s="4" t="s">
        <v>29</v>
      </c>
    </row>
    <row r="282" customFormat="false" ht="24" hidden="false" customHeight="true" outlineLevel="0" collapsed="false">
      <c r="B282" s="14" t="s">
        <v>448</v>
      </c>
      <c r="C282" s="16" t="s">
        <v>5</v>
      </c>
      <c r="D282" s="16"/>
      <c r="E282" s="16"/>
      <c r="F282" s="16" t="s">
        <v>449</v>
      </c>
      <c r="G282" s="16"/>
      <c r="H282" s="4" t="s">
        <v>33</v>
      </c>
    </row>
    <row r="283" customFormat="false" ht="24" hidden="false" customHeight="true" outlineLevel="0" collapsed="false">
      <c r="B283" s="14" t="s">
        <v>450</v>
      </c>
      <c r="C283" s="16" t="s">
        <v>451</v>
      </c>
      <c r="D283" s="16"/>
      <c r="E283" s="16"/>
      <c r="F283" s="16" t="s">
        <v>452</v>
      </c>
      <c r="G283" s="16"/>
      <c r="H283" s="4" t="s">
        <v>33</v>
      </c>
    </row>
    <row r="284" customFormat="false" ht="24" hidden="false" customHeight="true" outlineLevel="0" collapsed="false">
      <c r="B284" s="14" t="s">
        <v>453</v>
      </c>
      <c r="C284" s="16" t="s">
        <v>454</v>
      </c>
      <c r="D284" s="16"/>
      <c r="E284" s="16"/>
      <c r="F284" s="16" t="s">
        <v>455</v>
      </c>
      <c r="G284" s="16"/>
      <c r="H284" s="4" t="s">
        <v>33</v>
      </c>
    </row>
    <row r="285" customFormat="false" ht="24" hidden="false" customHeight="true" outlineLevel="0" collapsed="false">
      <c r="B285" s="14" t="s">
        <v>456</v>
      </c>
      <c r="C285" s="16" t="s">
        <v>457</v>
      </c>
      <c r="D285" s="16"/>
      <c r="E285" s="16"/>
      <c r="F285" s="16" t="s">
        <v>458</v>
      </c>
      <c r="G285" s="16"/>
      <c r="H285" s="4" t="s">
        <v>33</v>
      </c>
    </row>
    <row r="286" customFormat="false" ht="24" hidden="false" customHeight="true" outlineLevel="0" collapsed="false">
      <c r="B286" s="14" t="s">
        <v>459</v>
      </c>
      <c r="C286" s="16" t="s">
        <v>460</v>
      </c>
      <c r="D286" s="16"/>
      <c r="E286" s="16"/>
      <c r="F286" s="16" t="s">
        <v>461</v>
      </c>
      <c r="G286" s="16"/>
      <c r="H286" s="4" t="s">
        <v>33</v>
      </c>
    </row>
    <row r="287" customFormat="false" ht="24" hidden="false" customHeight="true" outlineLevel="0" collapsed="false">
      <c r="B287" s="14" t="s">
        <v>462</v>
      </c>
      <c r="C287" s="16" t="s">
        <v>463</v>
      </c>
      <c r="D287" s="16"/>
      <c r="E287" s="16"/>
      <c r="F287" s="16" t="s">
        <v>464</v>
      </c>
      <c r="G287" s="16"/>
      <c r="H287" s="4" t="s">
        <v>33</v>
      </c>
    </row>
    <row r="288" customFormat="false" ht="24" hidden="false" customHeight="true" outlineLevel="0" collapsed="false">
      <c r="B288" s="14" t="s">
        <v>465</v>
      </c>
      <c r="C288" s="16" t="s">
        <v>466</v>
      </c>
      <c r="D288" s="16"/>
      <c r="E288" s="16"/>
      <c r="F288" s="16" t="s">
        <v>467</v>
      </c>
      <c r="G288" s="16"/>
      <c r="H288" s="4" t="s">
        <v>33</v>
      </c>
    </row>
    <row r="289" customFormat="false" ht="24" hidden="false" customHeight="true" outlineLevel="0" collapsed="false">
      <c r="B289" s="14" t="s">
        <v>468</v>
      </c>
      <c r="C289" s="16" t="s">
        <v>469</v>
      </c>
      <c r="D289" s="16"/>
      <c r="E289" s="16"/>
      <c r="F289" s="16" t="s">
        <v>470</v>
      </c>
      <c r="G289" s="16"/>
      <c r="H289" s="4" t="s">
        <v>33</v>
      </c>
    </row>
    <row r="290" customFormat="false" ht="24" hidden="false" customHeight="true" outlineLevel="0" collapsed="false">
      <c r="B290" s="14" t="s">
        <v>323</v>
      </c>
      <c r="C290" s="16" t="s">
        <v>471</v>
      </c>
      <c r="D290" s="16"/>
      <c r="E290" s="16"/>
      <c r="F290" s="16" t="s">
        <v>472</v>
      </c>
      <c r="G290" s="16"/>
      <c r="H290" s="4" t="s">
        <v>33</v>
      </c>
    </row>
    <row r="291" customFormat="false" ht="24" hidden="false" customHeight="true" outlineLevel="0" collapsed="false">
      <c r="B291" s="14" t="s">
        <v>473</v>
      </c>
      <c r="C291" s="16" t="str">
        <f aca="false">(ROUND(SRI,0)&amp;"")&amp;" sur 7 - relèvement prudentiel d'une classe (valorisation trimestrielle des sous-jacents)"</f>
        <v>4 sur 7 - relèvement prudentiel d'une classe (valorisation trimestrielle des sous-jacents)</v>
      </c>
      <c r="D291" s="16"/>
      <c r="E291" s="16"/>
      <c r="F291" s="16" t="s">
        <v>474</v>
      </c>
      <c r="G291" s="16"/>
      <c r="H291" s="4" t="s">
        <v>33</v>
      </c>
    </row>
    <row r="292" customFormat="false" ht="24" hidden="false" customHeight="true" outlineLevel="0" collapsed="false">
      <c r="B292" s="14" t="s">
        <v>475</v>
      </c>
      <c r="C292" s="30" t="n">
        <f aca="false">DateArrete</f>
        <v>46301</v>
      </c>
      <c r="D292" s="30"/>
      <c r="E292" s="30"/>
      <c r="F292" s="16" t="s">
        <v>476</v>
      </c>
      <c r="G292" s="16"/>
      <c r="H292" s="4" t="s">
        <v>33</v>
      </c>
    </row>
    <row r="294" customFormat="false" ht="18" hidden="false" customHeight="true" outlineLevel="0" collapsed="false">
      <c r="B294" s="12" t="s">
        <v>477</v>
      </c>
      <c r="C294" s="12"/>
      <c r="D294" s="12"/>
      <c r="E294" s="12"/>
      <c r="F294" s="12"/>
      <c r="G294" s="12"/>
      <c r="H294" s="4" t="s">
        <v>24</v>
      </c>
    </row>
    <row r="295" customFormat="false" ht="18" hidden="false" customHeight="true" outlineLevel="0" collapsed="false">
      <c r="B295" s="1" t="s">
        <v>478</v>
      </c>
      <c r="C295" s="13" t="s">
        <v>479</v>
      </c>
      <c r="D295" s="13" t="s">
        <v>480</v>
      </c>
      <c r="E295" s="13" t="s">
        <v>481</v>
      </c>
      <c r="F295" s="13" t="s">
        <v>482</v>
      </c>
      <c r="G295" s="1" t="s">
        <v>83</v>
      </c>
      <c r="H295" s="4" t="s">
        <v>29</v>
      </c>
    </row>
    <row r="296" customFormat="false" ht="18" hidden="false" customHeight="true" outlineLevel="0" collapsed="false">
      <c r="B296" s="14" t="s">
        <v>483</v>
      </c>
      <c r="C296" s="15" t="s">
        <v>484</v>
      </c>
      <c r="D296" s="15" t="s">
        <v>485</v>
      </c>
      <c r="E296" s="15" t="s">
        <v>486</v>
      </c>
      <c r="F296" s="15" t="s">
        <v>487</v>
      </c>
      <c r="G296" s="17" t="s">
        <v>488</v>
      </c>
      <c r="H296" s="4" t="s">
        <v>33</v>
      </c>
    </row>
    <row r="297" customFormat="false" ht="18" hidden="false" customHeight="true" outlineLevel="0" collapsed="false">
      <c r="B297" s="14" t="s">
        <v>489</v>
      </c>
      <c r="C297" s="15" t="s">
        <v>490</v>
      </c>
      <c r="D297" s="15" t="s">
        <v>491</v>
      </c>
      <c r="E297" s="15" t="s">
        <v>486</v>
      </c>
      <c r="F297" s="15" t="s">
        <v>487</v>
      </c>
      <c r="G297" s="17" t="s">
        <v>492</v>
      </c>
      <c r="H297" s="4" t="s">
        <v>33</v>
      </c>
    </row>
    <row r="298" customFormat="false" ht="18" hidden="false" customHeight="true" outlineLevel="0" collapsed="false">
      <c r="B298" s="14" t="s">
        <v>493</v>
      </c>
      <c r="C298" s="15" t="s">
        <v>494</v>
      </c>
      <c r="D298" s="15" t="s">
        <v>485</v>
      </c>
      <c r="E298" s="15" t="s">
        <v>486</v>
      </c>
      <c r="F298" s="15" t="s">
        <v>495</v>
      </c>
      <c r="G298" s="17" t="s">
        <v>496</v>
      </c>
      <c r="H298" s="4" t="s">
        <v>33</v>
      </c>
    </row>
    <row r="299" customFormat="false" ht="18" hidden="false" customHeight="true" outlineLevel="0" collapsed="false">
      <c r="B299" s="14" t="s">
        <v>497</v>
      </c>
      <c r="C299" s="15" t="s">
        <v>498</v>
      </c>
      <c r="D299" s="15" t="s">
        <v>491</v>
      </c>
      <c r="E299" s="15" t="s">
        <v>486</v>
      </c>
      <c r="F299" s="15" t="s">
        <v>495</v>
      </c>
      <c r="G299" s="17" t="s">
        <v>499</v>
      </c>
      <c r="H299" s="4" t="s">
        <v>33</v>
      </c>
    </row>
    <row r="300" customFormat="false" ht="18" hidden="false" customHeight="true" outlineLevel="0" collapsed="false">
      <c r="B300" s="14" t="s">
        <v>500</v>
      </c>
      <c r="C300" s="15" t="s">
        <v>501</v>
      </c>
      <c r="D300" s="15" t="s">
        <v>485</v>
      </c>
      <c r="E300" s="15" t="s">
        <v>502</v>
      </c>
      <c r="F300" s="15" t="s">
        <v>503</v>
      </c>
      <c r="G300" s="17" t="s">
        <v>504</v>
      </c>
      <c r="H300" s="4" t="s">
        <v>33</v>
      </c>
    </row>
    <row r="301" customFormat="false" ht="18" hidden="false" customHeight="true" outlineLevel="0" collapsed="false">
      <c r="B301" s="14" t="s">
        <v>505</v>
      </c>
      <c r="C301" s="15" t="s">
        <v>506</v>
      </c>
      <c r="D301" s="15" t="s">
        <v>491</v>
      </c>
      <c r="E301" s="15" t="s">
        <v>502</v>
      </c>
      <c r="F301" s="15" t="s">
        <v>503</v>
      </c>
      <c r="G301" s="17"/>
      <c r="H301" s="4" t="s">
        <v>33</v>
      </c>
    </row>
    <row r="302" customFormat="false" ht="18" hidden="false" customHeight="true" outlineLevel="0" collapsed="false">
      <c r="B302" s="14" t="s">
        <v>507</v>
      </c>
      <c r="C302" s="15" t="s">
        <v>508</v>
      </c>
      <c r="D302" s="15" t="s">
        <v>485</v>
      </c>
      <c r="E302" s="15" t="s">
        <v>502</v>
      </c>
      <c r="F302" s="15" t="s">
        <v>509</v>
      </c>
      <c r="G302" s="17" t="s">
        <v>499</v>
      </c>
      <c r="H302" s="4" t="s">
        <v>33</v>
      </c>
    </row>
    <row r="303" customFormat="false" ht="18" hidden="false" customHeight="true" outlineLevel="0" collapsed="false">
      <c r="B303" s="14" t="s">
        <v>510</v>
      </c>
      <c r="C303" s="15" t="s">
        <v>511</v>
      </c>
      <c r="D303" s="15" t="s">
        <v>491</v>
      </c>
      <c r="E303" s="15" t="s">
        <v>502</v>
      </c>
      <c r="F303" s="15" t="s">
        <v>509</v>
      </c>
      <c r="G303" s="17" t="s">
        <v>499</v>
      </c>
      <c r="H303" s="4" t="s">
        <v>33</v>
      </c>
    </row>
    <row r="304" customFormat="false" ht="39" hidden="false" customHeight="true" outlineLevel="0" collapsed="false">
      <c r="B304" s="21" t="str">
        <f aca="false">"Commission de Gestion de la Société de Gestion : "&amp;(SUBSTITUTE(ROUND((Fee_SGP)*100,2)&amp;"",".",",")&amp;" %")&amp;" (minimum 60 000 € par an) ; frais de constitution jusqu'à "&amp;(SUBSTITUTE(ROUND((Fee_Const)*100,2)&amp;"",".",",")&amp;" %")&amp;" ; droits d'entrée jusqu'à "&amp;(ROUND((Fee_Entree)*100,0)&amp;" %")&amp;" ; frais des fonds cibles en sus (1,00 à 1,25 % et commissions de performance de 12,5 à 15 %)."</f>
        <v>Commission de Gestion de la Société de Gestion : 0,18 % (minimum 60 000 € par an) ; frais de constitution jusqu'à 1,25 % ; droits d'entrée jusqu'à 5 % ; frais des fonds cibles en sus (1,00 à 1,25 % et commissions de performance de 12,5 à 15 %).</v>
      </c>
      <c r="C304" s="21"/>
      <c r="D304" s="21"/>
      <c r="E304" s="21"/>
      <c r="F304" s="21"/>
      <c r="G304" s="21"/>
      <c r="H304" s="4" t="s">
        <v>66</v>
      </c>
    </row>
    <row r="306" customFormat="false" ht="18" hidden="false" customHeight="true" outlineLevel="0" collapsed="false">
      <c r="B306" s="12" t="s">
        <v>512</v>
      </c>
      <c r="C306" s="12"/>
      <c r="D306" s="12"/>
      <c r="E306" s="12"/>
      <c r="F306" s="12"/>
      <c r="G306" s="12"/>
      <c r="H306" s="4" t="s">
        <v>24</v>
      </c>
    </row>
    <row r="307" customFormat="false" ht="64.5" hidden="false" customHeight="true" outlineLevel="0" collapsed="false">
      <c r="B307" s="21" t="s">
        <v>513</v>
      </c>
      <c r="C307" s="21"/>
      <c r="D307" s="21"/>
      <c r="E307" s="21"/>
      <c r="F307" s="21"/>
      <c r="G307" s="21"/>
      <c r="H307" s="4" t="s">
        <v>66</v>
      </c>
    </row>
    <row r="309" customFormat="false" ht="18" hidden="false" customHeight="true" outlineLevel="0" collapsed="false">
      <c r="B309" s="12" t="s">
        <v>514</v>
      </c>
      <c r="C309" s="12"/>
      <c r="D309" s="12"/>
      <c r="E309" s="12"/>
      <c r="F309" s="12"/>
      <c r="G309" s="12"/>
      <c r="H309" s="4" t="s">
        <v>24</v>
      </c>
    </row>
    <row r="310" customFormat="false" ht="18" hidden="false" customHeight="true" outlineLevel="0" collapsed="false">
      <c r="B310" s="1" t="s">
        <v>173</v>
      </c>
      <c r="C310" s="13" t="s">
        <v>209</v>
      </c>
      <c r="D310" s="13" t="s">
        <v>515</v>
      </c>
      <c r="E310" s="13" t="s">
        <v>81</v>
      </c>
      <c r="F310" s="13" t="s">
        <v>516</v>
      </c>
      <c r="G310" s="1"/>
      <c r="H310" s="4" t="s">
        <v>29</v>
      </c>
    </row>
    <row r="311" customFormat="false" ht="25.5" hidden="false" customHeight="true" outlineLevel="0" collapsed="false">
      <c r="B311" s="14" t="str">
        <f aca="false">DATA!B6</f>
        <v>Prospectus et Règlement Openstone Infraworld, projet</v>
      </c>
      <c r="C311" s="30" t="n">
        <f aca="false">DATA!C6</f>
        <v>46295</v>
      </c>
      <c r="D311" s="15" t="str">
        <f aca="false">DATA!D6&amp;" j"</f>
        <v>6 j</v>
      </c>
      <c r="E311" s="15" t="str">
        <f aca="false">DATA!F6</f>
        <v>Conforme</v>
      </c>
      <c r="F311" s="16" t="str">
        <f aca="false">DATA!G6</f>
        <v>Référentiel des limites, conditions de rachat, frais, gouvernance.</v>
      </c>
      <c r="G311" s="16"/>
      <c r="H311" s="4" t="s">
        <v>33</v>
      </c>
    </row>
    <row r="312" customFormat="false" ht="25.5" hidden="false" customHeight="true" outlineLevel="0" collapsed="false">
      <c r="B312" s="14" t="str">
        <f aca="false">DATA!B7</f>
        <v>Synthèse commerciale Openstone Infraworld v5.4</v>
      </c>
      <c r="C312" s="30" t="n">
        <f aca="false">DATA!C7</f>
        <v>46295</v>
      </c>
      <c r="D312" s="15" t="str">
        <f aca="false">DATA!D7&amp;" j"</f>
        <v>6 j</v>
      </c>
      <c r="E312" s="15" t="str">
        <f aca="false">DATA!F7</f>
        <v>Conforme</v>
      </c>
      <c r="F312" s="16" t="str">
        <f aca="false">DATA!G7</f>
        <v>Allocation cible, fonds sélectionnés, frais des fonds cibles, objectifs non garantis. Document de pré-commercialisation.</v>
      </c>
      <c r="G312" s="16"/>
      <c r="H312" s="4" t="s">
        <v>33</v>
      </c>
    </row>
    <row r="313" customFormat="false" ht="25.5" hidden="false" customHeight="true" outlineLevel="0" collapsed="false">
      <c r="B313" s="14" t="str">
        <f aca="false">DATA!B8</f>
        <v>Note de liquidité Openstone Infraworld</v>
      </c>
      <c r="C313" s="30" t="n">
        <f aca="false">DATA!C8</f>
        <v>46293</v>
      </c>
      <c r="D313" s="15" t="str">
        <f aca="false">DATA!D8&amp;" j"</f>
        <v>8 j</v>
      </c>
      <c r="E313" s="15" t="str">
        <f aca="false">DATA!F8</f>
        <v>Conforme</v>
      </c>
      <c r="F313" s="16" t="str">
        <f aca="false">DATA!G8</f>
        <v>Outils de gestion de la liquidité, seuils d'alerte, programme de simulations. Préavis de 180 jours à recaler.</v>
      </c>
      <c r="G313" s="16"/>
      <c r="H313" s="4" t="s">
        <v>33</v>
      </c>
    </row>
    <row r="314" customFormat="false" ht="25.5" hidden="false" customHeight="true" outlineLevel="0" collapsed="false">
      <c r="B314" s="14" t="str">
        <f aca="false">DATA!B9</f>
        <v>Classeur « Openstone Stress Test liquidité »</v>
      </c>
      <c r="C314" s="30" t="n">
        <f aca="false">DATA!C9</f>
        <v>46289</v>
      </c>
      <c r="D314" s="15" t="str">
        <f aca="false">DATA!D9&amp;" j"</f>
        <v>12 j</v>
      </c>
      <c r="E314" s="15" t="str">
        <f aca="false">DATA!F9</f>
        <v>Conforme</v>
      </c>
      <c r="F314" s="16" t="str">
        <f aca="false">DATA!G9</f>
        <v>Mécanique du moteur (onglet 3b), reprise et recalculée ; aucun résultat importé.</v>
      </c>
      <c r="G314" s="16"/>
      <c r="H314" s="4" t="s">
        <v>33</v>
      </c>
    </row>
    <row r="315" customFormat="false" ht="25.5" hidden="false" customHeight="true" outlineLevel="0" collapsed="false">
      <c r="B315" s="14" t="str">
        <f aca="false">DATA!B10</f>
        <v>Registre des limites du prospectus (25/09/2026) et liste des douze écarts</v>
      </c>
      <c r="C315" s="30" t="n">
        <f aca="false">DATA!C10</f>
        <v>46300</v>
      </c>
      <c r="D315" s="15" t="str">
        <f aca="false">DATA!D10&amp;" j"</f>
        <v>1 j</v>
      </c>
      <c r="E315" s="15" t="str">
        <f aca="false">DATA!F10</f>
        <v>Conforme</v>
      </c>
      <c r="F315" s="16" t="str">
        <f aca="false">DATA!G10</f>
        <v>Onglet 1 et recommandation R2.</v>
      </c>
      <c r="G315" s="16"/>
      <c r="H315" s="4" t="s">
        <v>33</v>
      </c>
    </row>
    <row r="316" customFormat="false" ht="25.5" hidden="false" customHeight="true" outlineLevel="0" collapsed="false">
      <c r="B316" s="14" t="str">
        <f aca="false">DATA!B11</f>
        <v>Initial Risk Profile Openstone Infraworld et quatre fonds cibles</v>
      </c>
      <c r="C316" s="30" t="n">
        <f aca="false">DATA!C11</f>
        <v>46301</v>
      </c>
      <c r="D316" s="15" t="str">
        <f aca="false">DATA!D11&amp;" j"</f>
        <v>0 j</v>
      </c>
      <c r="E316" s="15" t="str">
        <f aca="false">DATA!F11</f>
        <v>Conforme</v>
      </c>
      <c r="F316" s="16" t="str">
        <f aca="false">DATA!G11</f>
        <v>Scores IRP (onglet 4).</v>
      </c>
      <c r="G316" s="16"/>
      <c r="H316" s="4" t="s">
        <v>33</v>
      </c>
    </row>
    <row r="317" customFormat="false" ht="25.5" hidden="false" customHeight="true" outlineLevel="0" collapsed="false">
      <c r="B317" s="14" t="str">
        <f aca="false">DATA!B12</f>
        <v>Classeur « Openstone underlying funds risk and liquidity terms »</v>
      </c>
      <c r="C317" s="30" t="n">
        <f aca="false">DATA!C12</f>
        <v>46279</v>
      </c>
      <c r="D317" s="15" t="str">
        <f aca="false">DATA!D12&amp;" j"</f>
        <v>22 j</v>
      </c>
      <c r="E317" s="15" t="str">
        <f aca="false">DATA!F12</f>
        <v>Conforme</v>
      </c>
      <c r="F317" s="16" t="str">
        <f aca="false">DATA!G12</f>
        <v>Conditions des fonds cibles et vingt écarts documentaires (onglet 4).</v>
      </c>
      <c r="G317" s="16"/>
      <c r="H317" s="4" t="s">
        <v>33</v>
      </c>
    </row>
    <row r="318" customFormat="false" ht="25.5" hidden="false" customHeight="true" outlineLevel="0" collapsed="false">
      <c r="B318" s="14" t="str">
        <f aca="false">DATA!B13</f>
        <v>Documents d'informations clés PRIIPs, parts A1 à B3</v>
      </c>
      <c r="C318" s="30" t="n">
        <f aca="false">DATA!C13</f>
        <v>46294</v>
      </c>
      <c r="D318" s="15" t="str">
        <f aca="false">DATA!D13&amp;" j"</f>
        <v>7 j</v>
      </c>
      <c r="E318" s="15" t="str">
        <f aca="false">DATA!F13</f>
        <v>Conforme</v>
      </c>
      <c r="F318" s="16" t="str">
        <f aca="false">DATA!G13</f>
        <v>SRI 4, période de détention 10 ans, scénarios de performance, coûts.</v>
      </c>
      <c r="G318" s="16"/>
      <c r="H318" s="4" t="s">
        <v>33</v>
      </c>
    </row>
    <row r="319" customFormat="false" ht="25.5" hidden="false" customHeight="true" outlineLevel="0" collapsed="false">
      <c r="B319" s="14" t="str">
        <f aca="false">DATA!B14</f>
        <v>Prospectus AEFS SICAV, annexe 7 Ares Global Infrastructure ELTIF</v>
      </c>
      <c r="C319" s="30" t="n">
        <f aca="false">DATA!C14</f>
        <v>46245</v>
      </c>
      <c r="D319" s="15" t="str">
        <f aca="false">DATA!D14&amp;" j"</f>
        <v>56 j</v>
      </c>
      <c r="E319" s="15" t="str">
        <f aca="false">DATA!F14</f>
        <v>Conforme</v>
      </c>
      <c r="F319" s="16" t="str">
        <f aca="false">DATA!G14</f>
        <v>Termes Ares (visa CSSF du 11/08/2026).</v>
      </c>
      <c r="G319" s="16"/>
      <c r="H319" s="4" t="s">
        <v>33</v>
      </c>
    </row>
    <row r="320" customFormat="false" ht="25.5" hidden="false" customHeight="true" outlineLevel="0" collapsed="false">
      <c r="B320" s="14" t="str">
        <f aca="false">DATA!B15</f>
        <v>Prospectus Partners Group Evergreen SICAV, supplément 2</v>
      </c>
      <c r="C320" s="30" t="n">
        <f aca="false">DATA!C15</f>
        <v>46182</v>
      </c>
      <c r="D320" s="15" t="str">
        <f aca="false">DATA!D15&amp;" j"</f>
        <v>119 j</v>
      </c>
      <c r="E320" s="15" t="str">
        <f aca="false">DATA!F15</f>
        <v>Conforme</v>
      </c>
      <c r="F320" s="16" t="str">
        <f aca="false">DATA!G15</f>
        <v>Termes PG NGI (visa CSSF du 09/06/2026).</v>
      </c>
      <c r="G320" s="16"/>
      <c r="H320" s="4" t="s">
        <v>33</v>
      </c>
    </row>
    <row r="321" customFormat="false" ht="25.5" hidden="false" customHeight="true" outlineLevel="0" collapsed="false">
      <c r="B321" s="14" t="str">
        <f aca="false">DATA!B16</f>
        <v>PPM Macquarie Alliance Partners Infrastructure Fund II</v>
      </c>
      <c r="C321" s="30" t="n">
        <f aca="false">DATA!C16</f>
        <v>46142</v>
      </c>
      <c r="D321" s="15" t="str">
        <f aca="false">DATA!D16&amp;" j"</f>
        <v>159 j</v>
      </c>
      <c r="E321" s="15" t="str">
        <f aca="false">DATA!F16</f>
        <v>Conforme</v>
      </c>
      <c r="F321" s="16" t="str">
        <f aca="false">DATA!G16</f>
        <v>Termes MAPIF II ; LPA du 20/03/2026.</v>
      </c>
      <c r="G321" s="16"/>
      <c r="H321" s="4" t="s">
        <v>33</v>
      </c>
    </row>
    <row r="322" customFormat="false" ht="25.5" hidden="false" customHeight="true" outlineLevel="0" collapsed="false">
      <c r="B322" s="14" t="str">
        <f aca="false">DATA!B17</f>
        <v>PPM Macquarie Specialized Infrastructure Global 3 (USD)</v>
      </c>
      <c r="C322" s="30" t="n">
        <f aca="false">DATA!C17</f>
        <v>46081</v>
      </c>
      <c r="D322" s="15" t="str">
        <f aca="false">DATA!D17&amp;" j"</f>
        <v>220 j</v>
      </c>
      <c r="E322" s="15" t="str">
        <f aca="false">DATA!F17</f>
        <v>Périmée</v>
      </c>
      <c r="F322" s="16" t="str">
        <f aca="false">DATA!G17</f>
        <v>Termes MSIG 3 ; first closing non connu.</v>
      </c>
      <c r="G322" s="16"/>
      <c r="H322" s="4" t="s">
        <v>33</v>
      </c>
    </row>
    <row r="323" customFormat="false" ht="25.5" hidden="false" customHeight="true" outlineLevel="0" collapsed="false">
      <c r="B323" s="21" t="s">
        <v>517</v>
      </c>
      <c r="C323" s="21"/>
      <c r="D323" s="21"/>
      <c r="E323" s="21"/>
      <c r="F323" s="21"/>
      <c r="G323" s="21"/>
      <c r="H323" s="4" t="s">
        <v>66</v>
      </c>
    </row>
  </sheetData>
  <mergeCells count="234">
    <mergeCell ref="B2:G2"/>
    <mergeCell ref="B3:G3"/>
    <mergeCell ref="B4:G4"/>
    <mergeCell ref="B5:G5"/>
    <mergeCell ref="B6:G6"/>
    <mergeCell ref="B7:G7"/>
    <mergeCell ref="B8:G8"/>
    <mergeCell ref="B9:G9"/>
    <mergeCell ref="B10:G10"/>
    <mergeCell ref="B11:G11"/>
    <mergeCell ref="B12:G12"/>
    <mergeCell ref="B13:G13"/>
    <mergeCell ref="B14:G14"/>
    <mergeCell ref="B15:G15"/>
    <mergeCell ref="B16:G16"/>
    <mergeCell ref="B17:G17"/>
    <mergeCell ref="B18:G18"/>
    <mergeCell ref="B19:G19"/>
    <mergeCell ref="B20:G20"/>
    <mergeCell ref="B21:G21"/>
    <mergeCell ref="B27:G27"/>
    <mergeCell ref="D29:F29"/>
    <mergeCell ref="D30:F30"/>
    <mergeCell ref="D31:F31"/>
    <mergeCell ref="D32:F32"/>
    <mergeCell ref="D33:F33"/>
    <mergeCell ref="D34:F34"/>
    <mergeCell ref="B36:G36"/>
    <mergeCell ref="B41:G41"/>
    <mergeCell ref="C43:D43"/>
    <mergeCell ref="E43:F43"/>
    <mergeCell ref="C44:D44"/>
    <mergeCell ref="E44:F44"/>
    <mergeCell ref="C45:D45"/>
    <mergeCell ref="E45:F45"/>
    <mergeCell ref="C46:D46"/>
    <mergeCell ref="E46:F46"/>
    <mergeCell ref="C47:D47"/>
    <mergeCell ref="E47:F47"/>
    <mergeCell ref="C48:D48"/>
    <mergeCell ref="E48:F48"/>
    <mergeCell ref="B49:G49"/>
    <mergeCell ref="B55:G55"/>
    <mergeCell ref="B56:G56"/>
    <mergeCell ref="B62:G62"/>
    <mergeCell ref="B76:G76"/>
    <mergeCell ref="D78:E78"/>
    <mergeCell ref="F78:G78"/>
    <mergeCell ref="D79:E79"/>
    <mergeCell ref="F79:G79"/>
    <mergeCell ref="D80:E80"/>
    <mergeCell ref="F80:G80"/>
    <mergeCell ref="D81:E81"/>
    <mergeCell ref="F81:G81"/>
    <mergeCell ref="D82:E82"/>
    <mergeCell ref="F82:G82"/>
    <mergeCell ref="B83:G83"/>
    <mergeCell ref="B89:G89"/>
    <mergeCell ref="B98:G98"/>
    <mergeCell ref="C100:D100"/>
    <mergeCell ref="F100:G100"/>
    <mergeCell ref="C101:D101"/>
    <mergeCell ref="F101:G101"/>
    <mergeCell ref="C102:D102"/>
    <mergeCell ref="F102:G102"/>
    <mergeCell ref="C103:D103"/>
    <mergeCell ref="F103:G103"/>
    <mergeCell ref="C104:D104"/>
    <mergeCell ref="F104:G104"/>
    <mergeCell ref="C105:D105"/>
    <mergeCell ref="F105:G105"/>
    <mergeCell ref="C106:D106"/>
    <mergeCell ref="F106:G106"/>
    <mergeCell ref="C107:D107"/>
    <mergeCell ref="F107:G107"/>
    <mergeCell ref="C108:D108"/>
    <mergeCell ref="F108:G108"/>
    <mergeCell ref="C109:D109"/>
    <mergeCell ref="F109:G109"/>
    <mergeCell ref="B111:G111"/>
    <mergeCell ref="C113:D113"/>
    <mergeCell ref="F113:G113"/>
    <mergeCell ref="C114:D114"/>
    <mergeCell ref="F114:G114"/>
    <mergeCell ref="C115:D115"/>
    <mergeCell ref="F115:G115"/>
    <mergeCell ref="C116:D116"/>
    <mergeCell ref="F116:G116"/>
    <mergeCell ref="C117:D117"/>
    <mergeCell ref="F117:G117"/>
    <mergeCell ref="B118:G118"/>
    <mergeCell ref="B124:G124"/>
    <mergeCell ref="E126:G126"/>
    <mergeCell ref="E127:G127"/>
    <mergeCell ref="E128:G128"/>
    <mergeCell ref="E129:G129"/>
    <mergeCell ref="E130:G130"/>
    <mergeCell ref="E131:G131"/>
    <mergeCell ref="E132:G132"/>
    <mergeCell ref="E133:G133"/>
    <mergeCell ref="B135:G135"/>
    <mergeCell ref="F137:G137"/>
    <mergeCell ref="F138:G138"/>
    <mergeCell ref="F139:G139"/>
    <mergeCell ref="B141:G141"/>
    <mergeCell ref="F143:G143"/>
    <mergeCell ref="F144:G144"/>
    <mergeCell ref="F145:G145"/>
    <mergeCell ref="F146:G146"/>
    <mergeCell ref="F147:G147"/>
    <mergeCell ref="B149:G149"/>
    <mergeCell ref="C151:D151"/>
    <mergeCell ref="E151:F151"/>
    <mergeCell ref="C152:D152"/>
    <mergeCell ref="E152:F152"/>
    <mergeCell ref="C153:D153"/>
    <mergeCell ref="E153:F153"/>
    <mergeCell ref="C154:D154"/>
    <mergeCell ref="E154:F154"/>
    <mergeCell ref="B160:G160"/>
    <mergeCell ref="B173:G173"/>
    <mergeCell ref="C175:D175"/>
    <mergeCell ref="E175:G175"/>
    <mergeCell ref="C176:D176"/>
    <mergeCell ref="E176:G176"/>
    <mergeCell ref="C177:D177"/>
    <mergeCell ref="E177:G177"/>
    <mergeCell ref="C178:D178"/>
    <mergeCell ref="E178:G178"/>
    <mergeCell ref="B180:G180"/>
    <mergeCell ref="B181:G181"/>
    <mergeCell ref="B182:G182"/>
    <mergeCell ref="B188:G188"/>
    <mergeCell ref="F190:G190"/>
    <mergeCell ref="F191:G191"/>
    <mergeCell ref="F192:G192"/>
    <mergeCell ref="F193:G193"/>
    <mergeCell ref="F194:G194"/>
    <mergeCell ref="F195:G195"/>
    <mergeCell ref="F196:G196"/>
    <mergeCell ref="F197:G197"/>
    <mergeCell ref="F198:G198"/>
    <mergeCell ref="F199:G199"/>
    <mergeCell ref="F200:G200"/>
    <mergeCell ref="B202:G202"/>
    <mergeCell ref="B211:G211"/>
    <mergeCell ref="C213:F213"/>
    <mergeCell ref="C214:F214"/>
    <mergeCell ref="C215:F215"/>
    <mergeCell ref="C216:F216"/>
    <mergeCell ref="B222:G222"/>
    <mergeCell ref="E224:F224"/>
    <mergeCell ref="E225:F225"/>
    <mergeCell ref="E226:F226"/>
    <mergeCell ref="B228:G228"/>
    <mergeCell ref="E230:F230"/>
    <mergeCell ref="E231:F231"/>
    <mergeCell ref="E232:F232"/>
    <mergeCell ref="B234:G234"/>
    <mergeCell ref="E236:F236"/>
    <mergeCell ref="E237:F237"/>
    <mergeCell ref="E238:F238"/>
    <mergeCell ref="E239:F239"/>
    <mergeCell ref="B240:G240"/>
    <mergeCell ref="B246:G246"/>
    <mergeCell ref="F248:G248"/>
    <mergeCell ref="F249:G249"/>
    <mergeCell ref="F250:G250"/>
    <mergeCell ref="F251:G251"/>
    <mergeCell ref="F252:G252"/>
    <mergeCell ref="B254:G254"/>
    <mergeCell ref="C256:D256"/>
    <mergeCell ref="E256:F256"/>
    <mergeCell ref="C257:D257"/>
    <mergeCell ref="E257:F257"/>
    <mergeCell ref="C258:D258"/>
    <mergeCell ref="E258:F258"/>
    <mergeCell ref="C259:D259"/>
    <mergeCell ref="E259:F259"/>
    <mergeCell ref="C260:D260"/>
    <mergeCell ref="E260:F260"/>
    <mergeCell ref="C261:D261"/>
    <mergeCell ref="E261:F261"/>
    <mergeCell ref="B263:G263"/>
    <mergeCell ref="B264:G264"/>
    <mergeCell ref="B266:G266"/>
    <mergeCell ref="F268:G268"/>
    <mergeCell ref="F269:G269"/>
    <mergeCell ref="F270:G270"/>
    <mergeCell ref="F271:G271"/>
    <mergeCell ref="F272:G272"/>
    <mergeCell ref="F273:G273"/>
    <mergeCell ref="B274:G274"/>
    <mergeCell ref="B280:G280"/>
    <mergeCell ref="C282:E282"/>
    <mergeCell ref="F282:G282"/>
    <mergeCell ref="C283:E283"/>
    <mergeCell ref="F283:G283"/>
    <mergeCell ref="C284:E284"/>
    <mergeCell ref="F284:G284"/>
    <mergeCell ref="C285:E285"/>
    <mergeCell ref="F285:G285"/>
    <mergeCell ref="C286:E286"/>
    <mergeCell ref="F286:G286"/>
    <mergeCell ref="C287:E287"/>
    <mergeCell ref="F287:G287"/>
    <mergeCell ref="C288:E288"/>
    <mergeCell ref="F288:G288"/>
    <mergeCell ref="C289:E289"/>
    <mergeCell ref="F289:G289"/>
    <mergeCell ref="C290:E290"/>
    <mergeCell ref="F290:G290"/>
    <mergeCell ref="C291:E291"/>
    <mergeCell ref="F291:G291"/>
    <mergeCell ref="C292:E292"/>
    <mergeCell ref="F292:G292"/>
    <mergeCell ref="B294:G294"/>
    <mergeCell ref="B304:G304"/>
    <mergeCell ref="B306:G306"/>
    <mergeCell ref="B307:G307"/>
    <mergeCell ref="B309:G309"/>
    <mergeCell ref="F311:G311"/>
    <mergeCell ref="F312:G312"/>
    <mergeCell ref="F313:G313"/>
    <mergeCell ref="F314:G314"/>
    <mergeCell ref="F315:G315"/>
    <mergeCell ref="F316:G316"/>
    <mergeCell ref="F317:G317"/>
    <mergeCell ref="F318:G318"/>
    <mergeCell ref="F319:G319"/>
    <mergeCell ref="F320:G320"/>
    <mergeCell ref="F321:G321"/>
    <mergeCell ref="F322:G322"/>
    <mergeCell ref="B323:G323"/>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rowBreaks count="9" manualBreakCount="9">
    <brk id="21" man="true" max="16383" min="0"/>
    <brk id="49" man="true" max="16383" min="0"/>
    <brk id="83" man="true" max="16383" min="0"/>
    <brk id="118" man="true" max="16383" min="0"/>
    <brk id="154" man="true" max="16383" min="0"/>
    <brk id="182" man="true" max="16383" min="0"/>
    <brk id="216" man="true" max="16383" min="0"/>
    <brk id="240" man="true" max="16383" min="0"/>
    <brk id="274" man="true" max="16383" min="0"/>
  </row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1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4"/>
    <col collapsed="false" customWidth="true" hidden="false" outlineLevel="0" max="4" min="4" style="0" width="10"/>
    <col collapsed="false" customWidth="true" hidden="false" outlineLevel="0" max="5" min="5" style="0" width="52"/>
    <col collapsed="false" customWidth="true" hidden="false" outlineLevel="0" max="6" min="6" style="0" width="11"/>
    <col collapsed="false" customWidth="true" hidden="false" outlineLevel="0" max="7" min="7" style="0" width="60"/>
  </cols>
  <sheetData>
    <row r="2" customFormat="false" ht="15" hidden="false" customHeight="false" outlineLevel="0" collapsed="false">
      <c r="B2" s="31" t="s">
        <v>518</v>
      </c>
    </row>
    <row r="3" customFormat="false" ht="15" hidden="false" customHeight="false" outlineLevel="0" collapsed="false">
      <c r="B3" s="32" t="s">
        <v>519</v>
      </c>
    </row>
    <row r="5" customFormat="false" ht="18" hidden="false" customHeight="true" outlineLevel="0" collapsed="false">
      <c r="B5" s="33" t="s">
        <v>172</v>
      </c>
      <c r="C5" s="33" t="s">
        <v>79</v>
      </c>
      <c r="D5" s="33" t="s">
        <v>520</v>
      </c>
      <c r="E5" s="33" t="s">
        <v>173</v>
      </c>
      <c r="F5" s="33" t="s">
        <v>521</v>
      </c>
      <c r="G5" s="33" t="s">
        <v>522</v>
      </c>
    </row>
    <row r="6" customFormat="false" ht="15" hidden="false" customHeight="false" outlineLevel="0" collapsed="false">
      <c r="B6" s="1" t="s">
        <v>523</v>
      </c>
      <c r="C6" s="2"/>
      <c r="D6" s="2"/>
      <c r="E6" s="2"/>
      <c r="F6" s="2"/>
      <c r="G6" s="2"/>
    </row>
    <row r="7" customFormat="false" ht="22.35" hidden="false" customHeight="false" outlineLevel="0" collapsed="false">
      <c r="B7" s="34" t="s">
        <v>524</v>
      </c>
      <c r="C7" s="35" t="n">
        <v>46301</v>
      </c>
      <c r="D7" s="34" t="s">
        <v>525</v>
      </c>
      <c r="E7" s="34" t="s">
        <v>526</v>
      </c>
      <c r="F7" s="34" t="s">
        <v>344</v>
      </c>
      <c r="G7" s="34" t="s">
        <v>527</v>
      </c>
    </row>
    <row r="8" customFormat="false" ht="15" hidden="false" customHeight="false" outlineLevel="0" collapsed="false">
      <c r="B8" s="34" t="s">
        <v>528</v>
      </c>
      <c r="C8" s="35" t="n">
        <v>46295</v>
      </c>
      <c r="D8" s="34" t="s">
        <v>525</v>
      </c>
      <c r="E8" s="34" t="s">
        <v>529</v>
      </c>
      <c r="F8" s="34" t="s">
        <v>344</v>
      </c>
      <c r="G8" s="34" t="s">
        <v>530</v>
      </c>
    </row>
    <row r="9" customFormat="false" ht="22.35" hidden="false" customHeight="false" outlineLevel="0" collapsed="false">
      <c r="B9" s="34" t="s">
        <v>531</v>
      </c>
      <c r="C9" s="36" t="n">
        <v>50000000</v>
      </c>
      <c r="D9" s="34" t="s">
        <v>532</v>
      </c>
      <c r="E9" s="34" t="s">
        <v>533</v>
      </c>
      <c r="F9" s="34" t="s">
        <v>134</v>
      </c>
      <c r="G9" s="34" t="s">
        <v>534</v>
      </c>
    </row>
    <row r="10" customFormat="false" ht="15" hidden="false" customHeight="false" outlineLevel="0" collapsed="false">
      <c r="B10" s="34" t="s">
        <v>535</v>
      </c>
      <c r="C10" s="36" t="n">
        <v>300000</v>
      </c>
      <c r="D10" s="34" t="s">
        <v>532</v>
      </c>
      <c r="E10" s="34" t="s">
        <v>536</v>
      </c>
      <c r="F10" s="34" t="s">
        <v>344</v>
      </c>
      <c r="G10" s="34"/>
    </row>
    <row r="11" customFormat="false" ht="22.35" hidden="false" customHeight="false" outlineLevel="0" collapsed="false">
      <c r="B11" s="34" t="s">
        <v>537</v>
      </c>
      <c r="C11" s="36" t="n">
        <v>10000000</v>
      </c>
      <c r="D11" s="34" t="s">
        <v>532</v>
      </c>
      <c r="E11" s="34" t="s">
        <v>538</v>
      </c>
      <c r="F11" s="34" t="s">
        <v>344</v>
      </c>
      <c r="G11" s="34" t="s">
        <v>539</v>
      </c>
    </row>
    <row r="12" customFormat="false" ht="22.35" hidden="false" customHeight="false" outlineLevel="0" collapsed="false">
      <c r="B12" s="34" t="s">
        <v>540</v>
      </c>
      <c r="C12" s="37" t="n">
        <v>100</v>
      </c>
      <c r="D12" s="34" t="s">
        <v>532</v>
      </c>
      <c r="E12" s="34" t="s">
        <v>541</v>
      </c>
      <c r="F12" s="34" t="s">
        <v>344</v>
      </c>
      <c r="G12" s="34" t="s">
        <v>542</v>
      </c>
    </row>
    <row r="13" customFormat="false" ht="22.35" hidden="false" customHeight="false" outlineLevel="0" collapsed="false">
      <c r="B13" s="1" t="s">
        <v>543</v>
      </c>
      <c r="C13" s="2"/>
      <c r="D13" s="2"/>
      <c r="E13" s="2"/>
      <c r="F13" s="2"/>
      <c r="G13" s="2"/>
    </row>
    <row r="14" customFormat="false" ht="22.35" hidden="false" customHeight="false" outlineLevel="0" collapsed="false">
      <c r="B14" s="34" t="s">
        <v>544</v>
      </c>
      <c r="C14" s="38" t="n">
        <v>0.34</v>
      </c>
      <c r="D14" s="34" t="s">
        <v>545</v>
      </c>
      <c r="E14" s="34" t="s">
        <v>546</v>
      </c>
      <c r="F14" s="34" t="s">
        <v>134</v>
      </c>
      <c r="G14" s="34" t="s">
        <v>547</v>
      </c>
    </row>
    <row r="15" customFormat="false" ht="22.35" hidden="false" customHeight="false" outlineLevel="0" collapsed="false">
      <c r="B15" s="34" t="s">
        <v>548</v>
      </c>
      <c r="C15" s="38" t="n">
        <v>0.17</v>
      </c>
      <c r="D15" s="34" t="s">
        <v>545</v>
      </c>
      <c r="E15" s="34" t="s">
        <v>546</v>
      </c>
      <c r="F15" s="34" t="s">
        <v>134</v>
      </c>
      <c r="G15" s="34" t="s">
        <v>549</v>
      </c>
    </row>
    <row r="16" customFormat="false" ht="15" hidden="false" customHeight="false" outlineLevel="0" collapsed="false">
      <c r="B16" s="34" t="s">
        <v>550</v>
      </c>
      <c r="C16" s="38" t="n">
        <v>0.17</v>
      </c>
      <c r="D16" s="34" t="s">
        <v>545</v>
      </c>
      <c r="E16" s="34" t="s">
        <v>546</v>
      </c>
      <c r="F16" s="34" t="s">
        <v>134</v>
      </c>
      <c r="G16" s="34" t="s">
        <v>551</v>
      </c>
    </row>
    <row r="17" customFormat="false" ht="15" hidden="false" customHeight="false" outlineLevel="0" collapsed="false">
      <c r="B17" s="34" t="s">
        <v>552</v>
      </c>
      <c r="C17" s="38" t="n">
        <v>0.17</v>
      </c>
      <c r="D17" s="34" t="s">
        <v>545</v>
      </c>
      <c r="E17" s="34" t="s">
        <v>546</v>
      </c>
      <c r="F17" s="34" t="s">
        <v>134</v>
      </c>
      <c r="G17" s="34" t="s">
        <v>553</v>
      </c>
    </row>
    <row r="18" customFormat="false" ht="22.35" hidden="false" customHeight="false" outlineLevel="0" collapsed="false">
      <c r="B18" s="34" t="s">
        <v>96</v>
      </c>
      <c r="C18" s="38" t="n">
        <v>0.15</v>
      </c>
      <c r="D18" s="34" t="s">
        <v>545</v>
      </c>
      <c r="E18" s="34" t="s">
        <v>554</v>
      </c>
      <c r="F18" s="34" t="s">
        <v>344</v>
      </c>
      <c r="G18" s="34" t="s">
        <v>555</v>
      </c>
    </row>
    <row r="19" customFormat="false" ht="15" hidden="false" customHeight="false" outlineLevel="0" collapsed="false">
      <c r="B19" s="34" t="s">
        <v>556</v>
      </c>
      <c r="C19" s="39" t="n">
        <f aca="false">W_MAPIF+W_MSIG+W_PG+W_ARES+W_LIQ</f>
        <v>1</v>
      </c>
      <c r="D19" s="34" t="s">
        <v>545</v>
      </c>
      <c r="E19" s="34" t="s">
        <v>557</v>
      </c>
      <c r="F19" s="34" t="s">
        <v>90</v>
      </c>
      <c r="G19" s="34" t="s">
        <v>558</v>
      </c>
    </row>
    <row r="20" customFormat="false" ht="15" hidden="false" customHeight="false" outlineLevel="0" collapsed="false">
      <c r="B20" s="34" t="s">
        <v>559</v>
      </c>
      <c r="C20" s="39" t="n">
        <f aca="false">W_MAPIF+W_MSIG</f>
        <v>0.51</v>
      </c>
      <c r="D20" s="34" t="s">
        <v>545</v>
      </c>
      <c r="E20" s="34" t="s">
        <v>557</v>
      </c>
      <c r="F20" s="34" t="s">
        <v>90</v>
      </c>
      <c r="G20" s="34" t="s">
        <v>560</v>
      </c>
    </row>
    <row r="21" customFormat="false" ht="15" hidden="false" customHeight="false" outlineLevel="0" collapsed="false">
      <c r="B21" s="34" t="s">
        <v>561</v>
      </c>
      <c r="C21" s="39" t="n">
        <f aca="false">W_PG+W_ARES</f>
        <v>0.34</v>
      </c>
      <c r="D21" s="34" t="s">
        <v>545</v>
      </c>
      <c r="E21" s="34" t="s">
        <v>557</v>
      </c>
      <c r="F21" s="34" t="s">
        <v>90</v>
      </c>
      <c r="G21" s="34" t="s">
        <v>562</v>
      </c>
    </row>
    <row r="22" customFormat="false" ht="15" hidden="false" customHeight="false" outlineLevel="0" collapsed="false">
      <c r="B22" s="34" t="s">
        <v>563</v>
      </c>
      <c r="C22" s="39" t="n">
        <f aca="false">W_MAPIF+W_MSIG</f>
        <v>0.51</v>
      </c>
      <c r="D22" s="34" t="s">
        <v>545</v>
      </c>
      <c r="E22" s="34" t="s">
        <v>557</v>
      </c>
      <c r="F22" s="34" t="s">
        <v>90</v>
      </c>
      <c r="G22" s="34" t="s">
        <v>564</v>
      </c>
    </row>
    <row r="23" customFormat="false" ht="15" hidden="false" customHeight="false" outlineLevel="0" collapsed="false">
      <c r="B23" s="34" t="s">
        <v>565</v>
      </c>
      <c r="C23" s="39" t="n">
        <f aca="false">W_MAPIF</f>
        <v>0.34</v>
      </c>
      <c r="D23" s="34" t="s">
        <v>545</v>
      </c>
      <c r="E23" s="34" t="s">
        <v>557</v>
      </c>
      <c r="F23" s="34" t="s">
        <v>90</v>
      </c>
      <c r="G23" s="34" t="s">
        <v>566</v>
      </c>
    </row>
    <row r="24" customFormat="false" ht="22.35" hidden="false" customHeight="false" outlineLevel="0" collapsed="false">
      <c r="B24" s="34" t="s">
        <v>567</v>
      </c>
      <c r="C24" s="39" t="n">
        <f aca="false">W_MAPIF+W_MSIG+W_PG</f>
        <v>0.68</v>
      </c>
      <c r="D24" s="34" t="s">
        <v>545</v>
      </c>
      <c r="E24" s="34" t="s">
        <v>557</v>
      </c>
      <c r="F24" s="34" t="s">
        <v>90</v>
      </c>
      <c r="G24" s="34" t="s">
        <v>568</v>
      </c>
    </row>
    <row r="25" customFormat="false" ht="22.35" hidden="false" customHeight="false" outlineLevel="0" collapsed="false">
      <c r="B25" s="1" t="s">
        <v>569</v>
      </c>
      <c r="C25" s="2"/>
      <c r="D25" s="2"/>
      <c r="E25" s="2"/>
      <c r="F25" s="2"/>
      <c r="G25" s="2"/>
    </row>
    <row r="26" customFormat="false" ht="22.35" hidden="false" customHeight="false" outlineLevel="0" collapsed="false">
      <c r="B26" s="34" t="s">
        <v>570</v>
      </c>
      <c r="C26" s="40" t="n">
        <v>24</v>
      </c>
      <c r="D26" s="34" t="s">
        <v>571</v>
      </c>
      <c r="E26" s="34" t="s">
        <v>572</v>
      </c>
      <c r="F26" s="34" t="s">
        <v>344</v>
      </c>
      <c r="G26" s="34"/>
    </row>
    <row r="27" customFormat="false" ht="22.35" hidden="false" customHeight="false" outlineLevel="0" collapsed="false">
      <c r="B27" s="34" t="s">
        <v>573</v>
      </c>
      <c r="C27" s="40" t="n">
        <v>91</v>
      </c>
      <c r="D27" s="34" t="s">
        <v>574</v>
      </c>
      <c r="E27" s="34" t="s">
        <v>575</v>
      </c>
      <c r="F27" s="34" t="s">
        <v>344</v>
      </c>
      <c r="G27" s="34" t="s">
        <v>576</v>
      </c>
    </row>
    <row r="28" customFormat="false" ht="15" hidden="false" customHeight="false" outlineLevel="0" collapsed="false">
      <c r="B28" s="34" t="s">
        <v>577</v>
      </c>
      <c r="C28" s="40" t="n">
        <v>180</v>
      </c>
      <c r="D28" s="34" t="s">
        <v>574</v>
      </c>
      <c r="E28" s="34" t="s">
        <v>578</v>
      </c>
      <c r="F28" s="34" t="s">
        <v>344</v>
      </c>
      <c r="G28" s="34"/>
    </row>
    <row r="29" customFormat="false" ht="15" hidden="false" customHeight="false" outlineLevel="0" collapsed="false">
      <c r="B29" s="34" t="s">
        <v>579</v>
      </c>
      <c r="C29" s="41" t="n">
        <v>0.05</v>
      </c>
      <c r="D29" s="34" t="s">
        <v>545</v>
      </c>
      <c r="E29" s="34" t="s">
        <v>580</v>
      </c>
      <c r="F29" s="34" t="s">
        <v>344</v>
      </c>
      <c r="G29" s="34" t="s">
        <v>581</v>
      </c>
    </row>
    <row r="30" customFormat="false" ht="22.35" hidden="false" customHeight="false" outlineLevel="0" collapsed="false">
      <c r="B30" s="34" t="s">
        <v>582</v>
      </c>
      <c r="C30" s="40" t="n">
        <v>4</v>
      </c>
      <c r="D30" s="34" t="s">
        <v>583</v>
      </c>
      <c r="E30" s="34" t="s">
        <v>584</v>
      </c>
      <c r="F30" s="34" t="s">
        <v>344</v>
      </c>
      <c r="G30" s="34" t="s">
        <v>585</v>
      </c>
    </row>
    <row r="31" customFormat="false" ht="22.35" hidden="false" customHeight="false" outlineLevel="0" collapsed="false">
      <c r="B31" s="34" t="s">
        <v>586</v>
      </c>
      <c r="C31" s="40" t="n">
        <v>35</v>
      </c>
      <c r="D31" s="34" t="s">
        <v>587</v>
      </c>
      <c r="E31" s="34" t="s">
        <v>588</v>
      </c>
      <c r="F31" s="34" t="s">
        <v>344</v>
      </c>
      <c r="G31" s="34"/>
    </row>
    <row r="32" customFormat="false" ht="15" hidden="false" customHeight="false" outlineLevel="0" collapsed="false">
      <c r="B32" s="34" t="s">
        <v>589</v>
      </c>
      <c r="C32" s="40" t="n">
        <v>25</v>
      </c>
      <c r="D32" s="34" t="s">
        <v>587</v>
      </c>
      <c r="E32" s="34" t="s">
        <v>590</v>
      </c>
      <c r="F32" s="34" t="s">
        <v>344</v>
      </c>
      <c r="G32" s="34" t="s">
        <v>591</v>
      </c>
    </row>
    <row r="33" customFormat="false" ht="15" hidden="false" customHeight="false" outlineLevel="0" collapsed="false">
      <c r="B33" s="34" t="s">
        <v>592</v>
      </c>
      <c r="C33" s="40" t="n">
        <v>30</v>
      </c>
      <c r="D33" s="34" t="s">
        <v>587</v>
      </c>
      <c r="E33" s="34" t="s">
        <v>593</v>
      </c>
      <c r="F33" s="34" t="s">
        <v>344</v>
      </c>
      <c r="G33" s="34" t="s">
        <v>594</v>
      </c>
    </row>
    <row r="34" customFormat="false" ht="15" hidden="false" customHeight="false" outlineLevel="0" collapsed="false">
      <c r="B34" s="34" t="s">
        <v>595</v>
      </c>
      <c r="C34" s="38" t="n">
        <v>0.15</v>
      </c>
      <c r="D34" s="34" t="s">
        <v>233</v>
      </c>
      <c r="E34" s="34" t="s">
        <v>596</v>
      </c>
      <c r="F34" s="34" t="s">
        <v>344</v>
      </c>
      <c r="G34" s="34" t="s">
        <v>597</v>
      </c>
    </row>
    <row r="35" customFormat="false" ht="15" hidden="false" customHeight="false" outlineLevel="0" collapsed="false">
      <c r="B35" s="34" t="s">
        <v>598</v>
      </c>
      <c r="C35" s="38" t="n">
        <v>0.16</v>
      </c>
      <c r="D35" s="34" t="s">
        <v>545</v>
      </c>
      <c r="E35" s="34" t="s">
        <v>599</v>
      </c>
      <c r="F35" s="34" t="s">
        <v>134</v>
      </c>
      <c r="G35" s="34"/>
    </row>
    <row r="36" customFormat="false" ht="15" hidden="false" customHeight="false" outlineLevel="0" collapsed="false">
      <c r="B36" s="34" t="s">
        <v>600</v>
      </c>
      <c r="C36" s="38" t="n">
        <v>0.05</v>
      </c>
      <c r="D36" s="34" t="s">
        <v>233</v>
      </c>
      <c r="E36" s="34" t="s">
        <v>601</v>
      </c>
      <c r="F36" s="34" t="s">
        <v>134</v>
      </c>
      <c r="G36" s="34" t="s">
        <v>602</v>
      </c>
    </row>
    <row r="37" customFormat="false" ht="15" hidden="false" customHeight="false" outlineLevel="0" collapsed="false">
      <c r="B37" s="34" t="s">
        <v>603</v>
      </c>
      <c r="C37" s="38" t="n">
        <v>1.3</v>
      </c>
      <c r="D37" s="34" t="s">
        <v>545</v>
      </c>
      <c r="E37" s="34" t="s">
        <v>604</v>
      </c>
      <c r="F37" s="34" t="s">
        <v>344</v>
      </c>
      <c r="G37" s="34" t="s">
        <v>605</v>
      </c>
    </row>
    <row r="38" customFormat="false" ht="15" hidden="false" customHeight="false" outlineLevel="0" collapsed="false">
      <c r="B38" s="34" t="s">
        <v>606</v>
      </c>
      <c r="C38" s="38" t="n">
        <v>0</v>
      </c>
      <c r="D38" s="34" t="s">
        <v>545</v>
      </c>
      <c r="E38" s="34" t="s">
        <v>607</v>
      </c>
      <c r="F38" s="34" t="s">
        <v>344</v>
      </c>
      <c r="G38" s="34" t="s">
        <v>608</v>
      </c>
    </row>
    <row r="39" customFormat="false" ht="22.35" hidden="false" customHeight="false" outlineLevel="0" collapsed="false">
      <c r="B39" s="34" t="s">
        <v>609</v>
      </c>
      <c r="C39" s="38" t="n">
        <v>1</v>
      </c>
      <c r="D39" s="34" t="s">
        <v>545</v>
      </c>
      <c r="E39" s="34" t="s">
        <v>610</v>
      </c>
      <c r="F39" s="34" t="s">
        <v>134</v>
      </c>
      <c r="G39" s="34" t="s">
        <v>611</v>
      </c>
    </row>
    <row r="40" customFormat="false" ht="15" hidden="false" customHeight="false" outlineLevel="0" collapsed="false">
      <c r="B40" s="34" t="s">
        <v>612</v>
      </c>
      <c r="C40" s="38" t="n">
        <v>0.3</v>
      </c>
      <c r="D40" s="34" t="s">
        <v>545</v>
      </c>
      <c r="E40" s="34" t="s">
        <v>613</v>
      </c>
      <c r="F40" s="34" t="s">
        <v>344</v>
      </c>
      <c r="G40" s="34" t="s">
        <v>614</v>
      </c>
    </row>
    <row r="41" customFormat="false" ht="15" hidden="false" customHeight="false" outlineLevel="0" collapsed="false">
      <c r="B41" s="34" t="s">
        <v>615</v>
      </c>
      <c r="C41" s="38" t="n">
        <v>0.1</v>
      </c>
      <c r="D41" s="34" t="s">
        <v>616</v>
      </c>
      <c r="E41" s="34" t="s">
        <v>617</v>
      </c>
      <c r="F41" s="34" t="s">
        <v>344</v>
      </c>
      <c r="G41" s="34" t="s">
        <v>618</v>
      </c>
    </row>
    <row r="42" customFormat="false" ht="15" hidden="false" customHeight="false" outlineLevel="0" collapsed="false">
      <c r="B42" s="1" t="s">
        <v>619</v>
      </c>
      <c r="C42" s="2"/>
      <c r="D42" s="2"/>
      <c r="E42" s="2"/>
      <c r="F42" s="2"/>
      <c r="G42" s="2"/>
    </row>
    <row r="43" customFormat="false" ht="22.35" hidden="false" customHeight="false" outlineLevel="0" collapsed="false">
      <c r="B43" s="34" t="s">
        <v>620</v>
      </c>
      <c r="C43" s="42" t="n">
        <v>0.0018</v>
      </c>
      <c r="D43" s="34" t="s">
        <v>545</v>
      </c>
      <c r="E43" s="34" t="s">
        <v>621</v>
      </c>
      <c r="F43" s="34" t="s">
        <v>344</v>
      </c>
      <c r="G43" s="34" t="s">
        <v>622</v>
      </c>
    </row>
    <row r="44" customFormat="false" ht="15" hidden="false" customHeight="false" outlineLevel="0" collapsed="false">
      <c r="B44" s="34" t="s">
        <v>623</v>
      </c>
      <c r="C44" s="42" t="n">
        <v>0.0107</v>
      </c>
      <c r="D44" s="34" t="s">
        <v>545</v>
      </c>
      <c r="E44" s="34" t="s">
        <v>624</v>
      </c>
      <c r="F44" s="34" t="s">
        <v>344</v>
      </c>
      <c r="G44" s="34" t="s">
        <v>625</v>
      </c>
    </row>
    <row r="45" customFormat="false" ht="22.35" hidden="false" customHeight="false" outlineLevel="0" collapsed="false">
      <c r="B45" s="34" t="s">
        <v>626</v>
      </c>
      <c r="C45" s="42" t="n">
        <v>0.0057</v>
      </c>
      <c r="D45" s="34" t="s">
        <v>545</v>
      </c>
      <c r="E45" s="34" t="s">
        <v>627</v>
      </c>
      <c r="F45" s="34" t="s">
        <v>344</v>
      </c>
      <c r="G45" s="34"/>
    </row>
    <row r="46" customFormat="false" ht="15" hidden="false" customHeight="false" outlineLevel="0" collapsed="false">
      <c r="B46" s="34" t="s">
        <v>628</v>
      </c>
      <c r="C46" s="42" t="n">
        <v>0.0075</v>
      </c>
      <c r="D46" s="34" t="s">
        <v>545</v>
      </c>
      <c r="E46" s="34" t="s">
        <v>629</v>
      </c>
      <c r="F46" s="34" t="s">
        <v>344</v>
      </c>
      <c r="G46" s="34" t="s">
        <v>630</v>
      </c>
    </row>
    <row r="47" customFormat="false" ht="15" hidden="false" customHeight="false" outlineLevel="0" collapsed="false">
      <c r="B47" s="34" t="s">
        <v>631</v>
      </c>
      <c r="C47" s="38" t="n">
        <v>0.05</v>
      </c>
      <c r="D47" s="34" t="s">
        <v>632</v>
      </c>
      <c r="E47" s="34" t="s">
        <v>633</v>
      </c>
      <c r="F47" s="34" t="s">
        <v>344</v>
      </c>
      <c r="G47" s="34" t="s">
        <v>634</v>
      </c>
    </row>
    <row r="48" customFormat="false" ht="22.35" hidden="false" customHeight="false" outlineLevel="0" collapsed="false">
      <c r="B48" s="34" t="s">
        <v>635</v>
      </c>
      <c r="C48" s="42" t="n">
        <v>0.0125</v>
      </c>
      <c r="D48" s="34" t="s">
        <v>545</v>
      </c>
      <c r="E48" s="34" t="s">
        <v>636</v>
      </c>
      <c r="F48" s="34" t="s">
        <v>344</v>
      </c>
      <c r="G48" s="34"/>
    </row>
    <row r="49" customFormat="false" ht="22.35" hidden="false" customHeight="false" outlineLevel="0" collapsed="false">
      <c r="B49" s="34" t="s">
        <v>637</v>
      </c>
      <c r="C49" s="43" t="n">
        <f aca="false">Fee_SGP+Fee_CIF_A+Fee_Distrib</f>
        <v>0.02</v>
      </c>
      <c r="D49" s="34" t="s">
        <v>545</v>
      </c>
      <c r="E49" s="34" t="s">
        <v>557</v>
      </c>
      <c r="F49" s="34" t="s">
        <v>90</v>
      </c>
      <c r="G49" s="34" t="s">
        <v>638</v>
      </c>
    </row>
    <row r="50" customFormat="false" ht="22.35" hidden="false" customHeight="false" outlineLevel="0" collapsed="false">
      <c r="B50" s="1" t="s">
        <v>639</v>
      </c>
      <c r="C50" s="2"/>
      <c r="D50" s="2"/>
      <c r="E50" s="2"/>
      <c r="F50" s="2"/>
      <c r="G50" s="2"/>
    </row>
    <row r="51" customFormat="false" ht="15" hidden="false" customHeight="false" outlineLevel="0" collapsed="false">
      <c r="B51" s="34" t="s">
        <v>640</v>
      </c>
      <c r="C51" s="38" t="n">
        <v>0.25</v>
      </c>
      <c r="D51" s="34" t="s">
        <v>545</v>
      </c>
      <c r="E51" s="34" t="s">
        <v>641</v>
      </c>
      <c r="F51" s="34" t="s">
        <v>134</v>
      </c>
      <c r="G51" s="34" t="s">
        <v>642</v>
      </c>
    </row>
    <row r="52" customFormat="false" ht="15" hidden="false" customHeight="false" outlineLevel="0" collapsed="false">
      <c r="B52" s="34" t="s">
        <v>643</v>
      </c>
      <c r="C52" s="40" t="n">
        <v>25</v>
      </c>
      <c r="D52" s="34" t="s">
        <v>571</v>
      </c>
      <c r="E52" s="34" t="s">
        <v>641</v>
      </c>
      <c r="F52" s="34" t="s">
        <v>134</v>
      </c>
      <c r="G52" s="34" t="s">
        <v>644</v>
      </c>
    </row>
    <row r="53" customFormat="false" ht="15" hidden="false" customHeight="false" outlineLevel="0" collapsed="false">
      <c r="B53" s="34" t="s">
        <v>645</v>
      </c>
      <c r="C53" s="38" t="n">
        <v>0.05</v>
      </c>
      <c r="D53" s="34" t="s">
        <v>233</v>
      </c>
      <c r="E53" s="34" t="s">
        <v>641</v>
      </c>
      <c r="F53" s="34" t="s">
        <v>134</v>
      </c>
      <c r="G53" s="34" t="s">
        <v>646</v>
      </c>
    </row>
    <row r="54" customFormat="false" ht="15" hidden="false" customHeight="false" outlineLevel="0" collapsed="false">
      <c r="B54" s="34" t="s">
        <v>647</v>
      </c>
      <c r="C54" s="44" t="n">
        <v>1.5</v>
      </c>
      <c r="D54" s="34" t="s">
        <v>648</v>
      </c>
      <c r="E54" s="34" t="s">
        <v>641</v>
      </c>
      <c r="F54" s="34" t="s">
        <v>134</v>
      </c>
      <c r="G54" s="34" t="s">
        <v>649</v>
      </c>
    </row>
    <row r="55" customFormat="false" ht="15" hidden="false" customHeight="false" outlineLevel="0" collapsed="false">
      <c r="B55" s="34" t="s">
        <v>650</v>
      </c>
      <c r="C55" s="44" t="n">
        <v>1</v>
      </c>
      <c r="D55" s="34" t="s">
        <v>648</v>
      </c>
      <c r="E55" s="34" t="s">
        <v>641</v>
      </c>
      <c r="F55" s="34" t="s">
        <v>134</v>
      </c>
      <c r="G55" s="34"/>
    </row>
    <row r="56" customFormat="false" ht="15" hidden="false" customHeight="false" outlineLevel="0" collapsed="false">
      <c r="B56" s="34" t="s">
        <v>651</v>
      </c>
      <c r="C56" s="38" t="n">
        <v>1.2</v>
      </c>
      <c r="D56" s="34" t="s">
        <v>545</v>
      </c>
      <c r="E56" s="34" t="s">
        <v>641</v>
      </c>
      <c r="F56" s="34" t="s">
        <v>134</v>
      </c>
      <c r="G56" s="34" t="s">
        <v>652</v>
      </c>
    </row>
    <row r="57" customFormat="false" ht="15" hidden="false" customHeight="false" outlineLevel="0" collapsed="false">
      <c r="B57" s="34" t="s">
        <v>653</v>
      </c>
      <c r="C57" s="38" t="n">
        <v>0.1</v>
      </c>
      <c r="D57" s="34" t="s">
        <v>545</v>
      </c>
      <c r="E57" s="34" t="s">
        <v>641</v>
      </c>
      <c r="F57" s="34" t="s">
        <v>134</v>
      </c>
      <c r="G57" s="34" t="s">
        <v>654</v>
      </c>
    </row>
    <row r="58" customFormat="false" ht="15" hidden="false" customHeight="false" outlineLevel="0" collapsed="false">
      <c r="B58" s="34" t="s">
        <v>655</v>
      </c>
      <c r="C58" s="38" t="n">
        <v>0.25</v>
      </c>
      <c r="D58" s="34" t="s">
        <v>545</v>
      </c>
      <c r="E58" s="34" t="s">
        <v>641</v>
      </c>
      <c r="F58" s="34" t="s">
        <v>134</v>
      </c>
      <c r="G58" s="34" t="s">
        <v>656</v>
      </c>
    </row>
    <row r="59" customFormat="false" ht="15" hidden="false" customHeight="false" outlineLevel="0" collapsed="false">
      <c r="B59" s="1" t="s">
        <v>657</v>
      </c>
      <c r="C59" s="2"/>
      <c r="D59" s="2"/>
      <c r="E59" s="2"/>
      <c r="F59" s="2"/>
      <c r="G59" s="2"/>
    </row>
    <row r="60" customFormat="false" ht="15" hidden="false" customHeight="false" outlineLevel="0" collapsed="false">
      <c r="B60" s="34" t="s">
        <v>658</v>
      </c>
      <c r="C60" s="44" t="n">
        <v>71.4</v>
      </c>
      <c r="D60" s="34" t="s">
        <v>659</v>
      </c>
      <c r="E60" s="34" t="s">
        <v>660</v>
      </c>
      <c r="F60" s="34" t="s">
        <v>344</v>
      </c>
      <c r="G60" s="34" t="s">
        <v>661</v>
      </c>
    </row>
    <row r="61" customFormat="false" ht="15" hidden="false" customHeight="false" outlineLevel="0" collapsed="false">
      <c r="B61" s="34" t="s">
        <v>662</v>
      </c>
      <c r="C61" s="44" t="n">
        <v>62.1</v>
      </c>
      <c r="D61" s="34" t="s">
        <v>659</v>
      </c>
      <c r="E61" s="34" t="s">
        <v>663</v>
      </c>
      <c r="F61" s="34" t="s">
        <v>344</v>
      </c>
      <c r="G61" s="34" t="s">
        <v>664</v>
      </c>
    </row>
    <row r="62" customFormat="false" ht="15" hidden="false" customHeight="false" outlineLevel="0" collapsed="false">
      <c r="B62" s="34" t="s">
        <v>665</v>
      </c>
      <c r="C62" s="44" t="n">
        <v>52.1</v>
      </c>
      <c r="D62" s="34" t="s">
        <v>659</v>
      </c>
      <c r="E62" s="34" t="s">
        <v>666</v>
      </c>
      <c r="F62" s="34" t="s">
        <v>344</v>
      </c>
      <c r="G62" s="34" t="s">
        <v>667</v>
      </c>
    </row>
    <row r="63" customFormat="false" ht="15" hidden="false" customHeight="false" outlineLevel="0" collapsed="false">
      <c r="B63" s="34" t="s">
        <v>668</v>
      </c>
      <c r="C63" s="44" t="n">
        <v>82.3</v>
      </c>
      <c r="D63" s="34" t="s">
        <v>659</v>
      </c>
      <c r="E63" s="34" t="s">
        <v>669</v>
      </c>
      <c r="F63" s="34" t="s">
        <v>344</v>
      </c>
      <c r="G63" s="34" t="s">
        <v>670</v>
      </c>
    </row>
    <row r="64" customFormat="false" ht="15" hidden="false" customHeight="false" outlineLevel="0" collapsed="false">
      <c r="B64" s="34" t="s">
        <v>671</v>
      </c>
      <c r="C64" s="44" t="n">
        <v>92.6</v>
      </c>
      <c r="D64" s="34" t="s">
        <v>659</v>
      </c>
      <c r="E64" s="34" t="s">
        <v>672</v>
      </c>
      <c r="F64" s="34" t="s">
        <v>344</v>
      </c>
      <c r="G64" s="34" t="s">
        <v>673</v>
      </c>
    </row>
    <row r="65" customFormat="false" ht="15" hidden="false" customHeight="false" outlineLevel="0" collapsed="false">
      <c r="B65" s="34" t="s">
        <v>674</v>
      </c>
      <c r="C65" s="44" t="n">
        <v>86.4</v>
      </c>
      <c r="D65" s="34" t="s">
        <v>659</v>
      </c>
      <c r="E65" s="34" t="s">
        <v>675</v>
      </c>
      <c r="F65" s="34" t="s">
        <v>344</v>
      </c>
      <c r="G65" s="34" t="s">
        <v>676</v>
      </c>
    </row>
    <row r="66" customFormat="false" ht="22.35" hidden="false" customHeight="false" outlineLevel="0" collapsed="false">
      <c r="B66" s="34" t="s">
        <v>677</v>
      </c>
      <c r="C66" s="40" t="n">
        <v>4</v>
      </c>
      <c r="D66" s="34" t="s">
        <v>678</v>
      </c>
      <c r="E66" s="34" t="s">
        <v>679</v>
      </c>
      <c r="F66" s="34" t="s">
        <v>344</v>
      </c>
      <c r="G66" s="34" t="s">
        <v>680</v>
      </c>
    </row>
    <row r="67" customFormat="false" ht="15" hidden="false" customHeight="false" outlineLevel="0" collapsed="false">
      <c r="B67" s="34" t="s">
        <v>681</v>
      </c>
      <c r="C67" s="40" t="n">
        <v>10</v>
      </c>
      <c r="D67" s="34" t="s">
        <v>682</v>
      </c>
      <c r="E67" s="34" t="s">
        <v>683</v>
      </c>
      <c r="F67" s="34" t="s">
        <v>344</v>
      </c>
      <c r="G67" s="34" t="s">
        <v>684</v>
      </c>
    </row>
    <row r="69" customFormat="false" ht="25.5" hidden="false" customHeight="true" outlineLevel="0" collapsed="false">
      <c r="B69" s="21" t="s">
        <v>685</v>
      </c>
      <c r="C69" s="21"/>
      <c r="D69" s="21"/>
      <c r="E69" s="21"/>
      <c r="F69" s="21"/>
      <c r="G69" s="21"/>
    </row>
    <row r="71" customFormat="false" ht="15" hidden="false" customHeight="false" outlineLevel="0" collapsed="false">
      <c r="B71" s="45" t="s">
        <v>686</v>
      </c>
      <c r="C71" s="2"/>
      <c r="D71" s="2"/>
      <c r="E71" s="2"/>
      <c r="F71" s="2"/>
      <c r="G71" s="2"/>
    </row>
    <row r="72" customFormat="false" ht="22.35" hidden="false" customHeight="false" outlineLevel="0" collapsed="false">
      <c r="B72" s="34" t="s">
        <v>687</v>
      </c>
      <c r="C72" s="35" t="n">
        <v>47026</v>
      </c>
      <c r="D72" s="34" t="s">
        <v>525</v>
      </c>
      <c r="E72" s="34" t="s">
        <v>688</v>
      </c>
      <c r="F72" s="34" t="s">
        <v>134</v>
      </c>
      <c r="G72" s="34" t="s">
        <v>689</v>
      </c>
    </row>
    <row r="73" customFormat="false" ht="22.35" hidden="false" customHeight="false" outlineLevel="0" collapsed="false">
      <c r="B73" s="34" t="s">
        <v>690</v>
      </c>
      <c r="C73" s="46" t="n">
        <v>0.15</v>
      </c>
      <c r="D73" s="34" t="s">
        <v>545</v>
      </c>
      <c r="E73" s="34" t="s">
        <v>691</v>
      </c>
      <c r="F73" s="34" t="s">
        <v>134</v>
      </c>
      <c r="G73" s="34" t="s">
        <v>692</v>
      </c>
    </row>
    <row r="74" customFormat="false" ht="15" hidden="false" customHeight="false" outlineLevel="0" collapsed="false">
      <c r="B74" s="34" t="s">
        <v>693</v>
      </c>
      <c r="C74" s="46" t="n">
        <v>0.6</v>
      </c>
      <c r="D74" s="34" t="s">
        <v>694</v>
      </c>
      <c r="E74" s="34" t="s">
        <v>695</v>
      </c>
      <c r="F74" s="34" t="s">
        <v>134</v>
      </c>
      <c r="G74" s="34"/>
    </row>
    <row r="75" customFormat="false" ht="22.35" hidden="false" customHeight="false" outlineLevel="0" collapsed="false">
      <c r="B75" s="34" t="s">
        <v>696</v>
      </c>
      <c r="C75" s="47" t="n">
        <f aca="false">1/12</f>
        <v>0.0833333333333333</v>
      </c>
      <c r="D75" s="34" t="s">
        <v>697</v>
      </c>
      <c r="E75" s="34" t="s">
        <v>698</v>
      </c>
      <c r="F75" s="34" t="s">
        <v>134</v>
      </c>
      <c r="G75" s="34"/>
    </row>
    <row r="76" customFormat="false" ht="22.35" hidden="false" customHeight="false" outlineLevel="0" collapsed="false">
      <c r="B76" s="34" t="s">
        <v>699</v>
      </c>
      <c r="C76" s="46" t="n">
        <v>0.05</v>
      </c>
      <c r="D76" s="34" t="s">
        <v>697</v>
      </c>
      <c r="E76" s="34" t="s">
        <v>700</v>
      </c>
      <c r="F76" s="34" t="s">
        <v>344</v>
      </c>
      <c r="G76" s="34" t="s">
        <v>701</v>
      </c>
    </row>
    <row r="77" customFormat="false" ht="22.35" hidden="false" customHeight="false" outlineLevel="0" collapsed="false">
      <c r="B77" s="34" t="s">
        <v>702</v>
      </c>
      <c r="C77" s="46" t="n">
        <v>0.1</v>
      </c>
      <c r="D77" s="34" t="s">
        <v>694</v>
      </c>
      <c r="E77" s="34" t="s">
        <v>703</v>
      </c>
      <c r="F77" s="34" t="s">
        <v>704</v>
      </c>
      <c r="G77" s="34" t="s">
        <v>705</v>
      </c>
    </row>
    <row r="78" customFormat="false" ht="15" hidden="false" customHeight="false" outlineLevel="0" collapsed="false">
      <c r="B78" s="34" t="s">
        <v>706</v>
      </c>
      <c r="C78" s="46" t="n">
        <v>0.1</v>
      </c>
      <c r="D78" s="34" t="s">
        <v>545</v>
      </c>
      <c r="E78" s="34" t="s">
        <v>641</v>
      </c>
      <c r="F78" s="34" t="s">
        <v>134</v>
      </c>
      <c r="G78" s="34"/>
    </row>
    <row r="79" customFormat="false" ht="22.35" hidden="false" customHeight="false" outlineLevel="0" collapsed="false">
      <c r="B79" s="34" t="s">
        <v>707</v>
      </c>
      <c r="C79" s="46" t="n">
        <v>0.2</v>
      </c>
      <c r="D79" s="34" t="s">
        <v>545</v>
      </c>
      <c r="E79" s="34" t="s">
        <v>703</v>
      </c>
      <c r="F79" s="34" t="s">
        <v>134</v>
      </c>
      <c r="G79" s="34"/>
    </row>
    <row r="80" customFormat="false" ht="15" hidden="false" customHeight="false" outlineLevel="0" collapsed="false">
      <c r="B80" s="34" t="s">
        <v>708</v>
      </c>
      <c r="C80" s="48" t="n">
        <v>0.025</v>
      </c>
      <c r="D80" s="34" t="s">
        <v>709</v>
      </c>
      <c r="E80" s="34" t="s">
        <v>710</v>
      </c>
      <c r="F80" s="34" t="s">
        <v>134</v>
      </c>
      <c r="G80" s="34"/>
    </row>
    <row r="81" customFormat="false" ht="15" hidden="false" customHeight="false" outlineLevel="0" collapsed="false">
      <c r="B81" s="34" t="s">
        <v>711</v>
      </c>
      <c r="C81" s="48" t="n">
        <v>0</v>
      </c>
      <c r="D81" s="34" t="s">
        <v>709</v>
      </c>
      <c r="E81" s="34" t="s">
        <v>712</v>
      </c>
      <c r="F81" s="34" t="s">
        <v>344</v>
      </c>
      <c r="G81" s="34"/>
    </row>
    <row r="82" customFormat="false" ht="22.35" hidden="false" customHeight="false" outlineLevel="0" collapsed="false">
      <c r="B82" s="34" t="s">
        <v>713</v>
      </c>
      <c r="C82" s="49" t="n">
        <v>0.02</v>
      </c>
      <c r="D82" s="34" t="s">
        <v>714</v>
      </c>
      <c r="E82" s="34" t="s">
        <v>715</v>
      </c>
      <c r="F82" s="34" t="s">
        <v>134</v>
      </c>
      <c r="G82" s="34"/>
    </row>
    <row r="83" customFormat="false" ht="15" hidden="false" customHeight="false" outlineLevel="0" collapsed="false">
      <c r="B83" s="34" t="s">
        <v>716</v>
      </c>
      <c r="C83" s="46" t="n">
        <v>0.02</v>
      </c>
      <c r="D83" s="34" t="s">
        <v>545</v>
      </c>
      <c r="E83" s="34" t="s">
        <v>703</v>
      </c>
      <c r="F83" s="34" t="s">
        <v>704</v>
      </c>
      <c r="G83" s="34" t="s">
        <v>717</v>
      </c>
    </row>
    <row r="84" customFormat="false" ht="15" hidden="false" customHeight="false" outlineLevel="0" collapsed="false">
      <c r="B84" s="34" t="s">
        <v>718</v>
      </c>
      <c r="C84" s="46" t="n">
        <v>0.05</v>
      </c>
      <c r="D84" s="34" t="s">
        <v>545</v>
      </c>
      <c r="E84" s="34" t="s">
        <v>719</v>
      </c>
      <c r="F84" s="34" t="s">
        <v>704</v>
      </c>
      <c r="G84" s="34" t="s">
        <v>720</v>
      </c>
    </row>
    <row r="85" customFormat="false" ht="15" hidden="false" customHeight="false" outlineLevel="0" collapsed="false">
      <c r="B85" s="34" t="s">
        <v>721</v>
      </c>
      <c r="C85" s="46" t="n">
        <v>0.05</v>
      </c>
      <c r="D85" s="34" t="s">
        <v>714</v>
      </c>
      <c r="E85" s="34" t="s">
        <v>722</v>
      </c>
      <c r="F85" s="34" t="s">
        <v>134</v>
      </c>
      <c r="G85" s="34"/>
    </row>
    <row r="86" customFormat="false" ht="15" hidden="false" customHeight="false" outlineLevel="0" collapsed="false">
      <c r="B86" s="34" t="s">
        <v>723</v>
      </c>
      <c r="C86" s="46" t="n">
        <v>0.2</v>
      </c>
      <c r="D86" s="34" t="s">
        <v>545</v>
      </c>
      <c r="E86" s="34" t="s">
        <v>703</v>
      </c>
      <c r="F86" s="34" t="s">
        <v>704</v>
      </c>
      <c r="G86" s="34"/>
    </row>
    <row r="87" customFormat="false" ht="22.35" hidden="false" customHeight="false" outlineLevel="0" collapsed="false">
      <c r="B87" s="34" t="s">
        <v>724</v>
      </c>
      <c r="C87" s="40" t="n">
        <v>1</v>
      </c>
      <c r="D87" s="34" t="s">
        <v>725</v>
      </c>
      <c r="E87" s="34" t="s">
        <v>726</v>
      </c>
      <c r="F87" s="34" t="s">
        <v>344</v>
      </c>
      <c r="G87" s="34"/>
    </row>
    <row r="88" customFormat="false" ht="15" hidden="false" customHeight="false" outlineLevel="0" collapsed="false">
      <c r="B88" s="34" t="s">
        <v>727</v>
      </c>
      <c r="C88" s="46" t="n">
        <v>0.05</v>
      </c>
      <c r="D88" s="34" t="s">
        <v>694</v>
      </c>
      <c r="E88" s="34" t="s">
        <v>728</v>
      </c>
      <c r="F88" s="34" t="s">
        <v>344</v>
      </c>
      <c r="G88" s="34"/>
    </row>
    <row r="89" customFormat="false" ht="15" hidden="false" customHeight="false" outlineLevel="0" collapsed="false">
      <c r="B89" s="34" t="s">
        <v>729</v>
      </c>
      <c r="C89" s="40" t="n">
        <v>4</v>
      </c>
      <c r="D89" s="34" t="s">
        <v>730</v>
      </c>
      <c r="E89" s="34" t="s">
        <v>731</v>
      </c>
      <c r="F89" s="34" t="s">
        <v>134</v>
      </c>
      <c r="G89" s="34"/>
    </row>
    <row r="90" customFormat="false" ht="15" hidden="false" customHeight="false" outlineLevel="0" collapsed="false">
      <c r="B90" s="34" t="s">
        <v>732</v>
      </c>
      <c r="C90" s="40" t="n">
        <v>0</v>
      </c>
      <c r="D90" s="34" t="s">
        <v>725</v>
      </c>
      <c r="E90" s="34" t="s">
        <v>733</v>
      </c>
      <c r="F90" s="34" t="s">
        <v>704</v>
      </c>
      <c r="G90" s="34" t="s">
        <v>734</v>
      </c>
    </row>
    <row r="91" customFormat="false" ht="15" hidden="false" customHeight="false" outlineLevel="0" collapsed="false">
      <c r="B91" s="34" t="s">
        <v>735</v>
      </c>
      <c r="C91" s="46" t="n">
        <v>0.35</v>
      </c>
      <c r="D91" s="34" t="s">
        <v>545</v>
      </c>
      <c r="E91" s="34" t="s">
        <v>736</v>
      </c>
      <c r="F91" s="34" t="s">
        <v>704</v>
      </c>
      <c r="G91" s="34" t="s">
        <v>737</v>
      </c>
    </row>
    <row r="92" customFormat="false" ht="15" hidden="false" customHeight="false" outlineLevel="0" collapsed="false">
      <c r="B92" s="34" t="s">
        <v>738</v>
      </c>
      <c r="C92" s="46" t="n">
        <v>0.2</v>
      </c>
      <c r="D92" s="34" t="s">
        <v>694</v>
      </c>
      <c r="E92" s="34" t="s">
        <v>739</v>
      </c>
      <c r="F92" s="34" t="s">
        <v>134</v>
      </c>
      <c r="G92" s="34" t="s">
        <v>740</v>
      </c>
    </row>
    <row r="93" customFormat="false" ht="15" hidden="false" customHeight="false" outlineLevel="0" collapsed="false">
      <c r="B93" s="34" t="s">
        <v>741</v>
      </c>
      <c r="C93" s="46" t="n">
        <v>0.1</v>
      </c>
      <c r="D93" s="34" t="s">
        <v>694</v>
      </c>
      <c r="E93" s="34" t="s">
        <v>742</v>
      </c>
      <c r="F93" s="34" t="s">
        <v>134</v>
      </c>
      <c r="G93" s="34"/>
    </row>
    <row r="94" customFormat="false" ht="15" hidden="false" customHeight="false" outlineLevel="0" collapsed="false">
      <c r="B94" s="34" t="s">
        <v>743</v>
      </c>
      <c r="C94" s="46" t="n">
        <v>0.15</v>
      </c>
      <c r="D94" s="34" t="s">
        <v>694</v>
      </c>
      <c r="E94" s="34" t="s">
        <v>742</v>
      </c>
      <c r="F94" s="34" t="s">
        <v>134</v>
      </c>
      <c r="G94" s="34" t="s">
        <v>744</v>
      </c>
    </row>
    <row r="95" customFormat="false" ht="15" hidden="false" customHeight="false" outlineLevel="0" collapsed="false">
      <c r="B95" s="45" t="s">
        <v>745</v>
      </c>
      <c r="C95" s="2"/>
      <c r="D95" s="2"/>
      <c r="E95" s="2"/>
      <c r="F95" s="2"/>
      <c r="G95" s="2"/>
    </row>
    <row r="96" customFormat="false" ht="15" hidden="false" customHeight="false" outlineLevel="0" collapsed="false">
      <c r="B96" s="34" t="s">
        <v>746</v>
      </c>
      <c r="C96" s="49" t="n">
        <v>0.0909</v>
      </c>
      <c r="D96" s="34" t="s">
        <v>709</v>
      </c>
      <c r="E96" s="34" t="s">
        <v>747</v>
      </c>
      <c r="F96" s="34" t="s">
        <v>704</v>
      </c>
      <c r="G96" s="34"/>
    </row>
    <row r="97" customFormat="false" ht="15" hidden="false" customHeight="false" outlineLevel="0" collapsed="false">
      <c r="B97" s="34" t="s">
        <v>748</v>
      </c>
      <c r="C97" s="49" t="n">
        <v>0.06</v>
      </c>
      <c r="D97" s="34" t="s">
        <v>709</v>
      </c>
      <c r="E97" s="34" t="s">
        <v>749</v>
      </c>
      <c r="F97" s="34" t="s">
        <v>704</v>
      </c>
      <c r="G97" s="34"/>
    </row>
    <row r="98" customFormat="false" ht="15" hidden="false" customHeight="false" outlineLevel="0" collapsed="false">
      <c r="B98" s="34" t="s">
        <v>750</v>
      </c>
      <c r="C98" s="46" t="n">
        <v>1</v>
      </c>
      <c r="D98" s="34" t="s">
        <v>694</v>
      </c>
      <c r="E98" s="34" t="s">
        <v>751</v>
      </c>
      <c r="F98" s="34" t="s">
        <v>344</v>
      </c>
      <c r="G98" s="34"/>
    </row>
    <row r="99" customFormat="false" ht="15" hidden="false" customHeight="false" outlineLevel="0" collapsed="false">
      <c r="B99" s="34" t="s">
        <v>752</v>
      </c>
      <c r="C99" s="49" t="n">
        <v>0.0869</v>
      </c>
      <c r="D99" s="34" t="s">
        <v>709</v>
      </c>
      <c r="E99" s="34" t="s">
        <v>753</v>
      </c>
      <c r="F99" s="34" t="s">
        <v>704</v>
      </c>
      <c r="G99" s="34"/>
    </row>
    <row r="100" customFormat="false" ht="15" hidden="false" customHeight="false" outlineLevel="0" collapsed="false">
      <c r="B100" s="34" t="s">
        <v>754</v>
      </c>
      <c r="C100" s="49" t="n">
        <v>0.07</v>
      </c>
      <c r="D100" s="34" t="s">
        <v>709</v>
      </c>
      <c r="E100" s="34" t="s">
        <v>755</v>
      </c>
      <c r="F100" s="34" t="s">
        <v>134</v>
      </c>
      <c r="G100" s="34"/>
    </row>
    <row r="101" customFormat="false" ht="15" hidden="false" customHeight="false" outlineLevel="0" collapsed="false">
      <c r="B101" s="34" t="s">
        <v>756</v>
      </c>
      <c r="C101" s="46" t="n">
        <v>0</v>
      </c>
      <c r="D101" s="34" t="s">
        <v>694</v>
      </c>
      <c r="E101" s="34" t="s">
        <v>757</v>
      </c>
      <c r="F101" s="34" t="s">
        <v>344</v>
      </c>
      <c r="G101" s="34"/>
    </row>
    <row r="102" customFormat="false" ht="15" hidden="false" customHeight="false" outlineLevel="0" collapsed="false">
      <c r="B102" s="34" t="s">
        <v>758</v>
      </c>
      <c r="C102" s="49" t="n">
        <v>0.1021</v>
      </c>
      <c r="D102" s="34" t="s">
        <v>709</v>
      </c>
      <c r="E102" s="34" t="s">
        <v>710</v>
      </c>
      <c r="F102" s="34" t="s">
        <v>704</v>
      </c>
      <c r="G102" s="34"/>
    </row>
    <row r="103" customFormat="false" ht="15" hidden="false" customHeight="false" outlineLevel="0" collapsed="false">
      <c r="B103" s="34" t="s">
        <v>759</v>
      </c>
      <c r="C103" s="49" t="n">
        <v>0.02</v>
      </c>
      <c r="D103" s="34" t="s">
        <v>709</v>
      </c>
      <c r="E103" s="34" t="s">
        <v>703</v>
      </c>
      <c r="F103" s="34" t="s">
        <v>704</v>
      </c>
      <c r="G103" s="34" t="s">
        <v>760</v>
      </c>
    </row>
    <row r="104" customFormat="false" ht="15" hidden="false" customHeight="false" outlineLevel="0" collapsed="false">
      <c r="B104" s="34" t="s">
        <v>761</v>
      </c>
      <c r="C104" s="46" t="n">
        <v>1</v>
      </c>
      <c r="D104" s="34" t="s">
        <v>694</v>
      </c>
      <c r="E104" s="34" t="s">
        <v>751</v>
      </c>
      <c r="F104" s="34" t="s">
        <v>344</v>
      </c>
      <c r="G104" s="34"/>
    </row>
    <row r="105" customFormat="false" ht="15" hidden="false" customHeight="false" outlineLevel="0" collapsed="false">
      <c r="B105" s="34" t="s">
        <v>762</v>
      </c>
      <c r="C105" s="49" t="n">
        <v>0.0794</v>
      </c>
      <c r="D105" s="34" t="s">
        <v>709</v>
      </c>
      <c r="E105" s="34" t="s">
        <v>710</v>
      </c>
      <c r="F105" s="34" t="s">
        <v>704</v>
      </c>
      <c r="G105" s="34"/>
    </row>
    <row r="106" customFormat="false" ht="15" hidden="false" customHeight="false" outlineLevel="0" collapsed="false">
      <c r="B106" s="34" t="s">
        <v>763</v>
      </c>
      <c r="C106" s="49" t="n">
        <v>0.05</v>
      </c>
      <c r="D106" s="34" t="s">
        <v>709</v>
      </c>
      <c r="E106" s="34" t="s">
        <v>764</v>
      </c>
      <c r="F106" s="34" t="s">
        <v>134</v>
      </c>
      <c r="G106" s="34"/>
    </row>
    <row r="107" customFormat="false" ht="15" hidden="false" customHeight="false" outlineLevel="0" collapsed="false">
      <c r="B107" s="34" t="s">
        <v>765</v>
      </c>
      <c r="C107" s="46" t="n">
        <v>0.7</v>
      </c>
      <c r="D107" s="34" t="s">
        <v>694</v>
      </c>
      <c r="E107" s="34" t="s">
        <v>766</v>
      </c>
      <c r="F107" s="34" t="s">
        <v>134</v>
      </c>
      <c r="G107" s="34"/>
    </row>
    <row r="108" customFormat="false" ht="15" hidden="false" customHeight="false" outlineLevel="0" collapsed="false">
      <c r="B108" s="34" t="s">
        <v>767</v>
      </c>
      <c r="C108" s="47" t="n">
        <f aca="false">W_MAPIF-NA_depart*Part_MAPIF_NA</f>
        <v>0.25</v>
      </c>
      <c r="D108" s="34" t="s">
        <v>545</v>
      </c>
      <c r="E108" s="34" t="s">
        <v>557</v>
      </c>
      <c r="F108" s="34" t="s">
        <v>90</v>
      </c>
      <c r="G108" s="34" t="s">
        <v>768</v>
      </c>
    </row>
    <row r="109" customFormat="false" ht="15" hidden="false" customHeight="false" outlineLevel="0" collapsed="false">
      <c r="B109" s="34" t="s">
        <v>769</v>
      </c>
      <c r="C109" s="47" t="n">
        <f aca="false">W_MSIG-NA_depart*(1-Part_MAPIF_NA)</f>
        <v>0.11</v>
      </c>
      <c r="D109" s="34" t="s">
        <v>545</v>
      </c>
      <c r="E109" s="34" t="s">
        <v>557</v>
      </c>
      <c r="F109" s="34" t="s">
        <v>90</v>
      </c>
      <c r="G109" s="34"/>
    </row>
    <row r="110" customFormat="false" ht="15" hidden="false" customHeight="false" outlineLevel="0" collapsed="false">
      <c r="B110" s="34" t="s">
        <v>770</v>
      </c>
      <c r="C110" s="47" t="n">
        <f aca="false">W_PG+NA_depart/2</f>
        <v>0.245</v>
      </c>
      <c r="D110" s="34" t="s">
        <v>545</v>
      </c>
      <c r="E110" s="34" t="s">
        <v>557</v>
      </c>
      <c r="F110" s="34" t="s">
        <v>90</v>
      </c>
      <c r="G110" s="34"/>
    </row>
    <row r="111" customFormat="false" ht="15" hidden="false" customHeight="false" outlineLevel="0" collapsed="false">
      <c r="B111" s="34" t="s">
        <v>771</v>
      </c>
      <c r="C111" s="47" t="n">
        <f aca="false">W_ARES+NA_depart/2</f>
        <v>0.245</v>
      </c>
      <c r="D111" s="34" t="s">
        <v>545</v>
      </c>
      <c r="E111" s="34" t="s">
        <v>557</v>
      </c>
      <c r="F111" s="34" t="s">
        <v>90</v>
      </c>
      <c r="G111" s="34"/>
    </row>
    <row r="112" customFormat="false" ht="15" hidden="false" customHeight="false" outlineLevel="0" collapsed="false">
      <c r="B112" s="34" t="s">
        <v>772</v>
      </c>
      <c r="C112" s="47" t="n">
        <f aca="false">W_LIQ</f>
        <v>0.15</v>
      </c>
      <c r="D112" s="34" t="s">
        <v>545</v>
      </c>
      <c r="E112" s="34" t="s">
        <v>557</v>
      </c>
      <c r="F112" s="34" t="s">
        <v>90</v>
      </c>
      <c r="G112" s="34"/>
    </row>
    <row r="113" customFormat="false" ht="15" hidden="false" customHeight="false" outlineLevel="0" collapsed="false">
      <c r="B113" s="34" t="s">
        <v>773</v>
      </c>
      <c r="C113" s="50" t="n">
        <f aca="false">Ws_MAPIF+Ws_MSIG+Ws_PG+Ws_ARES+Ws_LIQ</f>
        <v>1</v>
      </c>
      <c r="D113" s="34" t="s">
        <v>545</v>
      </c>
      <c r="E113" s="34" t="s">
        <v>557</v>
      </c>
      <c r="F113" s="34" t="s">
        <v>90</v>
      </c>
      <c r="G113" s="34" t="s">
        <v>774</v>
      </c>
    </row>
  </sheetData>
  <mergeCells count="1">
    <mergeCell ref="B69:G69"/>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I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40"/>
    <col collapsed="false" customWidth="true" hidden="false" outlineLevel="0" max="6" min="4" style="0" width="12"/>
    <col collapsed="false" customWidth="true" hidden="false" outlineLevel="0" max="7" min="7" style="0" width="22"/>
    <col collapsed="false" customWidth="true" hidden="false" outlineLevel="0" max="8" min="8" style="0" width="30"/>
    <col collapsed="false" customWidth="true" hidden="false" outlineLevel="0" max="9" min="9" style="0" width="52"/>
  </cols>
  <sheetData>
    <row r="2" customFormat="false" ht="15" hidden="false" customHeight="false" outlineLevel="0" collapsed="false">
      <c r="B2" s="31" t="s">
        <v>775</v>
      </c>
    </row>
    <row r="3" customFormat="false" ht="15" hidden="false" customHeight="false" outlineLevel="0" collapsed="false">
      <c r="B3" s="32" t="s">
        <v>776</v>
      </c>
    </row>
    <row r="5" customFormat="false" ht="18" hidden="false" customHeight="true" outlineLevel="0" collapsed="false">
      <c r="B5" s="33" t="s">
        <v>352</v>
      </c>
      <c r="C5" s="33" t="s">
        <v>777</v>
      </c>
      <c r="D5" s="33" t="s">
        <v>778</v>
      </c>
      <c r="E5" s="33" t="s">
        <v>777</v>
      </c>
      <c r="F5" s="33" t="s">
        <v>779</v>
      </c>
      <c r="G5" s="33" t="s">
        <v>81</v>
      </c>
      <c r="H5" s="33" t="s">
        <v>780</v>
      </c>
      <c r="I5" s="33" t="s">
        <v>781</v>
      </c>
    </row>
    <row r="6" customFormat="false" ht="64.15" hidden="false" customHeight="false" outlineLevel="0" collapsed="false">
      <c r="B6" s="1" t="s">
        <v>782</v>
      </c>
      <c r="C6" s="2"/>
      <c r="D6" s="2"/>
      <c r="E6" s="2"/>
      <c r="F6" s="2"/>
      <c r="G6" s="2"/>
      <c r="H6" s="2"/>
      <c r="I6" s="2"/>
    </row>
    <row r="7" customFormat="false" ht="30" hidden="false" customHeight="true" outlineLevel="0" collapsed="false">
      <c r="B7" s="34" t="s">
        <v>783</v>
      </c>
      <c r="C7" s="34" t="s">
        <v>784</v>
      </c>
      <c r="D7" s="34" t="s">
        <v>785</v>
      </c>
      <c r="E7" s="34" t="s">
        <v>90</v>
      </c>
      <c r="F7" s="34" t="s">
        <v>90</v>
      </c>
      <c r="G7" s="34" t="s">
        <v>786</v>
      </c>
      <c r="H7" s="34" t="s">
        <v>787</v>
      </c>
      <c r="I7" s="34" t="s">
        <v>788</v>
      </c>
    </row>
    <row r="8" customFormat="false" ht="30" hidden="false" customHeight="true" outlineLevel="0" collapsed="false">
      <c r="B8" s="34" t="s">
        <v>789</v>
      </c>
      <c r="C8" s="34" t="s">
        <v>790</v>
      </c>
      <c r="D8" s="34" t="s">
        <v>785</v>
      </c>
      <c r="E8" s="34" t="s">
        <v>90</v>
      </c>
      <c r="F8" s="34" t="s">
        <v>90</v>
      </c>
      <c r="G8" s="34" t="s">
        <v>786</v>
      </c>
      <c r="H8" s="34" t="s">
        <v>787</v>
      </c>
      <c r="I8" s="34" t="s">
        <v>791</v>
      </c>
    </row>
    <row r="9" customFormat="false" ht="30" hidden="false" customHeight="true" outlineLevel="0" collapsed="false">
      <c r="B9" s="34" t="s">
        <v>792</v>
      </c>
      <c r="C9" s="34" t="s">
        <v>612</v>
      </c>
      <c r="D9" s="34" t="s">
        <v>793</v>
      </c>
      <c r="E9" s="39" t="n">
        <f aca="false">Entreprises_max</f>
        <v>0.3</v>
      </c>
      <c r="F9" s="39" t="n">
        <f aca="false">Entreprises_max-0.05</f>
        <v>0.25</v>
      </c>
      <c r="G9" s="34" t="s">
        <v>786</v>
      </c>
      <c r="H9" s="34" t="s">
        <v>794</v>
      </c>
      <c r="I9" s="34" t="s">
        <v>795</v>
      </c>
    </row>
    <row r="10" customFormat="false" ht="30" hidden="false" customHeight="true" outlineLevel="0" collapsed="false">
      <c r="B10" s="34" t="s">
        <v>796</v>
      </c>
      <c r="C10" s="34" t="s">
        <v>797</v>
      </c>
      <c r="D10" s="34" t="s">
        <v>793</v>
      </c>
      <c r="E10" s="39" t="n">
        <v>1</v>
      </c>
      <c r="F10" s="39" t="s">
        <v>90</v>
      </c>
      <c r="G10" s="34" t="s">
        <v>786</v>
      </c>
      <c r="H10" s="34" t="s">
        <v>794</v>
      </c>
      <c r="I10" s="34" t="s">
        <v>798</v>
      </c>
    </row>
    <row r="11" customFormat="false" ht="30" hidden="false" customHeight="true" outlineLevel="0" collapsed="false">
      <c r="B11" s="34" t="s">
        <v>799</v>
      </c>
      <c r="C11" s="34" t="s">
        <v>800</v>
      </c>
      <c r="D11" s="34" t="s">
        <v>793</v>
      </c>
      <c r="E11" s="39" t="n">
        <v>0</v>
      </c>
      <c r="F11" s="39" t="s">
        <v>90</v>
      </c>
      <c r="G11" s="34" t="s">
        <v>104</v>
      </c>
      <c r="H11" s="34" t="s">
        <v>801</v>
      </c>
      <c r="I11" s="34" t="s">
        <v>802</v>
      </c>
    </row>
    <row r="12" customFormat="false" ht="30" hidden="false" customHeight="true" outlineLevel="0" collapsed="false">
      <c r="B12" s="34" t="s">
        <v>803</v>
      </c>
      <c r="C12" s="34" t="s">
        <v>804</v>
      </c>
      <c r="D12" s="34" t="s">
        <v>793</v>
      </c>
      <c r="E12" s="39" t="n">
        <v>0</v>
      </c>
      <c r="F12" s="39" t="s">
        <v>90</v>
      </c>
      <c r="G12" s="34" t="s">
        <v>104</v>
      </c>
      <c r="H12" s="34" t="s">
        <v>801</v>
      </c>
      <c r="I12" s="34" t="s">
        <v>805</v>
      </c>
    </row>
    <row r="13" customFormat="false" ht="30" hidden="false" customHeight="true" outlineLevel="0" collapsed="false">
      <c r="B13" s="34" t="s">
        <v>806</v>
      </c>
      <c r="C13" s="34" t="s">
        <v>807</v>
      </c>
      <c r="D13" s="34" t="s">
        <v>808</v>
      </c>
      <c r="E13" s="34" t="s">
        <v>90</v>
      </c>
      <c r="F13" s="34" t="s">
        <v>90</v>
      </c>
      <c r="G13" s="34" t="s">
        <v>104</v>
      </c>
      <c r="H13" s="34" t="s">
        <v>787</v>
      </c>
      <c r="I13" s="34" t="s">
        <v>809</v>
      </c>
    </row>
    <row r="14" customFormat="false" ht="30" hidden="false" customHeight="true" outlineLevel="0" collapsed="false">
      <c r="B14" s="34" t="s">
        <v>105</v>
      </c>
      <c r="C14" s="34" t="s">
        <v>810</v>
      </c>
      <c r="D14" s="34" t="s">
        <v>793</v>
      </c>
      <c r="E14" s="39" t="n">
        <f aca="false">Surengagement_max</f>
        <v>1.3</v>
      </c>
      <c r="F14" s="39" t="n">
        <f aca="false">S_sureng_orange</f>
        <v>1.2</v>
      </c>
      <c r="G14" s="34" t="s">
        <v>786</v>
      </c>
      <c r="H14" s="34" t="s">
        <v>811</v>
      </c>
      <c r="I14" s="34" t="s">
        <v>812</v>
      </c>
    </row>
    <row r="15" customFormat="false" ht="30" hidden="false" customHeight="true" outlineLevel="0" collapsed="false">
      <c r="B15" s="34" t="s">
        <v>98</v>
      </c>
      <c r="C15" s="34" t="s">
        <v>595</v>
      </c>
      <c r="D15" s="34" t="s">
        <v>793</v>
      </c>
      <c r="E15" s="39" t="n">
        <f aca="false">Liq_min</f>
        <v>0.15</v>
      </c>
      <c r="F15" s="39" t="n">
        <f aca="false">Liq_cible</f>
        <v>0.16</v>
      </c>
      <c r="G15" s="34" t="s">
        <v>786</v>
      </c>
      <c r="H15" s="34" t="s">
        <v>813</v>
      </c>
      <c r="I15" s="34" t="s">
        <v>814</v>
      </c>
    </row>
    <row r="16" customFormat="false" ht="30" hidden="false" customHeight="true" outlineLevel="0" collapsed="false">
      <c r="B16" s="34" t="s">
        <v>815</v>
      </c>
      <c r="C16" s="34" t="s">
        <v>816</v>
      </c>
      <c r="D16" s="34" t="s">
        <v>793</v>
      </c>
      <c r="E16" s="39" t="n">
        <f aca="false">Surengagement_max</f>
        <v>1.3</v>
      </c>
      <c r="F16" s="39" t="s">
        <v>90</v>
      </c>
      <c r="G16" s="34" t="s">
        <v>104</v>
      </c>
      <c r="H16" s="34" t="s">
        <v>817</v>
      </c>
      <c r="I16" s="34" t="s">
        <v>818</v>
      </c>
    </row>
    <row r="17" customFormat="false" ht="30" hidden="false" customHeight="true" outlineLevel="0" collapsed="false">
      <c r="B17" s="34" t="s">
        <v>819</v>
      </c>
      <c r="C17" s="34" t="s">
        <v>606</v>
      </c>
      <c r="D17" s="34" t="s">
        <v>793</v>
      </c>
      <c r="E17" s="39" t="n">
        <f aca="false">Emprunt_max</f>
        <v>0</v>
      </c>
      <c r="F17" s="39" t="s">
        <v>90</v>
      </c>
      <c r="G17" s="34" t="s">
        <v>104</v>
      </c>
      <c r="H17" s="34" t="s">
        <v>801</v>
      </c>
      <c r="I17" s="34" t="s">
        <v>820</v>
      </c>
    </row>
    <row r="18" customFormat="false" ht="30" hidden="false" customHeight="true" outlineLevel="0" collapsed="false">
      <c r="B18" s="34" t="s">
        <v>821</v>
      </c>
      <c r="C18" s="34" t="s">
        <v>822</v>
      </c>
      <c r="D18" s="34" t="s">
        <v>793</v>
      </c>
      <c r="E18" s="39" t="n">
        <f aca="false">Pers_phys_max</f>
        <v>0.1</v>
      </c>
      <c r="F18" s="39" t="s">
        <v>90</v>
      </c>
      <c r="G18" s="34" t="s">
        <v>786</v>
      </c>
      <c r="H18" s="34" t="s">
        <v>823</v>
      </c>
      <c r="I18" s="34" t="s">
        <v>824</v>
      </c>
    </row>
    <row r="19" customFormat="false" ht="30" hidden="false" customHeight="true" outlineLevel="0" collapsed="false">
      <c r="B19" s="34" t="s">
        <v>825</v>
      </c>
      <c r="C19" s="34" t="s">
        <v>826</v>
      </c>
      <c r="D19" s="34" t="s">
        <v>793</v>
      </c>
      <c r="E19" s="39" t="n">
        <f aca="false">Gate</f>
        <v>0.05</v>
      </c>
      <c r="F19" s="39" t="s">
        <v>90</v>
      </c>
      <c r="G19" s="34" t="s">
        <v>786</v>
      </c>
      <c r="H19" s="34" t="s">
        <v>827</v>
      </c>
      <c r="I19" s="34" t="s">
        <v>828</v>
      </c>
    </row>
    <row r="20" customFormat="false" ht="30" hidden="false" customHeight="true" outlineLevel="0" collapsed="false">
      <c r="B20" s="34" t="s">
        <v>829</v>
      </c>
      <c r="C20" s="34" t="s">
        <v>830</v>
      </c>
      <c r="D20" s="34" t="s">
        <v>793</v>
      </c>
      <c r="E20" s="34" t="s">
        <v>90</v>
      </c>
      <c r="F20" s="34" t="s">
        <v>90</v>
      </c>
      <c r="G20" s="34" t="s">
        <v>104</v>
      </c>
      <c r="H20" s="34" t="s">
        <v>831</v>
      </c>
      <c r="I20" s="34" t="s">
        <v>832</v>
      </c>
    </row>
    <row r="21" customFormat="false" ht="116.4" hidden="false" customHeight="false" outlineLevel="0" collapsed="false">
      <c r="B21" s="1" t="s">
        <v>833</v>
      </c>
      <c r="C21" s="2"/>
      <c r="D21" s="2"/>
      <c r="E21" s="2"/>
      <c r="F21" s="2"/>
      <c r="G21" s="2"/>
      <c r="H21" s="2"/>
      <c r="I21" s="2"/>
    </row>
    <row r="22" customFormat="false" ht="30" hidden="false" customHeight="true" outlineLevel="0" collapsed="false">
      <c r="B22" s="34" t="s">
        <v>834</v>
      </c>
      <c r="C22" s="34" t="s">
        <v>835</v>
      </c>
      <c r="D22" s="34" t="s">
        <v>836</v>
      </c>
      <c r="E22" s="39" t="n">
        <v>0.1</v>
      </c>
      <c r="F22" s="39" t="n">
        <v>0.05</v>
      </c>
      <c r="G22" s="34" t="s">
        <v>837</v>
      </c>
      <c r="H22" s="34" t="s">
        <v>817</v>
      </c>
      <c r="I22" s="34" t="s">
        <v>838</v>
      </c>
    </row>
    <row r="23" customFormat="false" ht="30" hidden="false" customHeight="true" outlineLevel="0" collapsed="false">
      <c r="B23" s="34" t="s">
        <v>839</v>
      </c>
      <c r="C23" s="34" t="s">
        <v>840</v>
      </c>
      <c r="D23" s="34" t="s">
        <v>836</v>
      </c>
      <c r="E23" s="39" t="n">
        <f aca="false">S_file_rouge</f>
        <v>0.25</v>
      </c>
      <c r="F23" s="39" t="n">
        <v>0.0001</v>
      </c>
      <c r="G23" s="34" t="s">
        <v>837</v>
      </c>
      <c r="H23" s="34" t="s">
        <v>817</v>
      </c>
      <c r="I23" s="34" t="s">
        <v>841</v>
      </c>
    </row>
    <row r="24" customFormat="false" ht="30" hidden="false" customHeight="true" outlineLevel="0" collapsed="false">
      <c r="B24" s="34" t="s">
        <v>842</v>
      </c>
      <c r="C24" s="34" t="s">
        <v>843</v>
      </c>
      <c r="D24" s="34" t="s">
        <v>836</v>
      </c>
      <c r="E24" s="51" t="n">
        <f aca="false">Gate_dates</f>
        <v>4</v>
      </c>
      <c r="F24" s="51" t="n">
        <v>1</v>
      </c>
      <c r="G24" s="34" t="s">
        <v>837</v>
      </c>
      <c r="H24" s="34" t="s">
        <v>412</v>
      </c>
      <c r="I24" s="34" t="s">
        <v>844</v>
      </c>
    </row>
    <row r="25" customFormat="false" ht="30" hidden="false" customHeight="true" outlineLevel="0" collapsed="false">
      <c r="B25" s="34" t="s">
        <v>845</v>
      </c>
      <c r="C25" s="34" t="s">
        <v>846</v>
      </c>
      <c r="D25" s="34" t="s">
        <v>836</v>
      </c>
      <c r="E25" s="52" t="n">
        <f aca="false">S_couv_rouge</f>
        <v>1</v>
      </c>
      <c r="F25" s="52" t="n">
        <f aca="false">S_couv_vert</f>
        <v>1.5</v>
      </c>
      <c r="G25" s="34" t="s">
        <v>837</v>
      </c>
      <c r="H25" s="34" t="s">
        <v>847</v>
      </c>
      <c r="I25" s="34" t="s">
        <v>848</v>
      </c>
    </row>
    <row r="26" customFormat="false" ht="30" hidden="false" customHeight="true" outlineLevel="0" collapsed="false">
      <c r="B26" s="34" t="s">
        <v>109</v>
      </c>
      <c r="C26" s="34" t="s">
        <v>849</v>
      </c>
      <c r="D26" s="34" t="s">
        <v>836</v>
      </c>
      <c r="E26" s="39" t="n">
        <f aca="false">Levier_max</f>
        <v>1</v>
      </c>
      <c r="F26" s="39" t="s">
        <v>90</v>
      </c>
      <c r="G26" s="34" t="s">
        <v>837</v>
      </c>
      <c r="H26" s="34" t="s">
        <v>817</v>
      </c>
      <c r="I26" s="34" t="s">
        <v>850</v>
      </c>
    </row>
    <row r="27" customFormat="false" ht="30" hidden="false" customHeight="true" outlineLevel="0" collapsed="false">
      <c r="B27" s="34" t="s">
        <v>851</v>
      </c>
      <c r="C27" s="34" t="s">
        <v>852</v>
      </c>
      <c r="D27" s="34" t="s">
        <v>836</v>
      </c>
      <c r="E27" s="39" t="n">
        <v>0.15</v>
      </c>
      <c r="F27" s="39" t="n">
        <f aca="false">S_top1_orange</f>
        <v>0.1</v>
      </c>
      <c r="G27" s="34" t="s">
        <v>837</v>
      </c>
      <c r="H27" s="34" t="s">
        <v>817</v>
      </c>
      <c r="I27" s="34" t="s">
        <v>654</v>
      </c>
    </row>
    <row r="28" customFormat="false" ht="30" hidden="false" customHeight="true" outlineLevel="0" collapsed="false">
      <c r="B28" s="34" t="s">
        <v>853</v>
      </c>
      <c r="C28" s="34" t="s">
        <v>854</v>
      </c>
      <c r="D28" s="34" t="s">
        <v>836</v>
      </c>
      <c r="E28" s="39" t="n">
        <v>0.4</v>
      </c>
      <c r="F28" s="39" t="n">
        <f aca="false">S_top5_orange</f>
        <v>0.25</v>
      </c>
      <c r="G28" s="34" t="s">
        <v>837</v>
      </c>
      <c r="H28" s="34" t="s">
        <v>817</v>
      </c>
      <c r="I28" s="34" t="s">
        <v>656</v>
      </c>
    </row>
    <row r="29" customFormat="false" ht="30" hidden="false" customHeight="true" outlineLevel="0" collapsed="false">
      <c r="B29" s="34" t="s">
        <v>94</v>
      </c>
      <c r="C29" s="34" t="s">
        <v>855</v>
      </c>
      <c r="D29" s="34" t="s">
        <v>836</v>
      </c>
      <c r="E29" s="34" t="s">
        <v>85</v>
      </c>
      <c r="F29" s="34" t="s">
        <v>85</v>
      </c>
      <c r="G29" s="34" t="s">
        <v>86</v>
      </c>
      <c r="H29" s="34" t="s">
        <v>817</v>
      </c>
      <c r="I29" s="34" t="s">
        <v>856</v>
      </c>
    </row>
    <row r="30" customFormat="false" ht="30" hidden="false" customHeight="true" outlineLevel="0" collapsed="false">
      <c r="B30" s="34" t="s">
        <v>87</v>
      </c>
      <c r="C30" s="34" t="s">
        <v>857</v>
      </c>
      <c r="D30" s="34" t="s">
        <v>836</v>
      </c>
      <c r="E30" s="34" t="s">
        <v>85</v>
      </c>
      <c r="F30" s="34" t="s">
        <v>85</v>
      </c>
      <c r="G30" s="34" t="s">
        <v>86</v>
      </c>
      <c r="H30" s="34" t="s">
        <v>817</v>
      </c>
      <c r="I30" s="34" t="s">
        <v>858</v>
      </c>
    </row>
    <row r="31" customFormat="false" ht="30" hidden="false" customHeight="true" outlineLevel="0" collapsed="false">
      <c r="B31" s="34" t="s">
        <v>101</v>
      </c>
      <c r="C31" s="34" t="s">
        <v>859</v>
      </c>
      <c r="D31" s="34" t="s">
        <v>836</v>
      </c>
      <c r="E31" s="34" t="s">
        <v>85</v>
      </c>
      <c r="F31" s="34" t="s">
        <v>85</v>
      </c>
      <c r="G31" s="34" t="s">
        <v>86</v>
      </c>
      <c r="H31" s="34" t="s">
        <v>817</v>
      </c>
      <c r="I31" s="34" t="s">
        <v>860</v>
      </c>
    </row>
    <row r="32" customFormat="false" ht="30" hidden="false" customHeight="true" outlineLevel="0" collapsed="false">
      <c r="B32" s="34" t="s">
        <v>861</v>
      </c>
      <c r="C32" s="34" t="s">
        <v>862</v>
      </c>
      <c r="D32" s="34" t="s">
        <v>836</v>
      </c>
      <c r="E32" s="34" t="s">
        <v>85</v>
      </c>
      <c r="F32" s="34" t="s">
        <v>85</v>
      </c>
      <c r="G32" s="34" t="s">
        <v>86</v>
      </c>
      <c r="H32" s="34" t="s">
        <v>863</v>
      </c>
      <c r="I32" s="34" t="s">
        <v>864</v>
      </c>
    </row>
    <row r="33" customFormat="false" ht="22.35" hidden="false" customHeight="false" outlineLevel="0" collapsed="false">
      <c r="B33" s="1" t="s">
        <v>865</v>
      </c>
      <c r="C33" s="2"/>
      <c r="D33" s="2"/>
      <c r="E33" s="2"/>
      <c r="F33" s="2"/>
      <c r="G33" s="2"/>
      <c r="H33" s="2"/>
      <c r="I33" s="2"/>
    </row>
    <row r="34" customFormat="false" ht="15" hidden="false" customHeight="false" outlineLevel="0" collapsed="false">
      <c r="B34" s="34"/>
      <c r="C34" s="34" t="s">
        <v>414</v>
      </c>
      <c r="D34" s="51" t="n">
        <f aca="false">COUNTA(B7:B35)</f>
        <v>27</v>
      </c>
      <c r="E34" s="34"/>
      <c r="F34" s="34"/>
      <c r="G34" s="34"/>
      <c r="H34" s="34"/>
      <c r="I34" s="34"/>
    </row>
    <row r="35" customFormat="false" ht="15" hidden="false" customHeight="false" outlineLevel="0" collapsed="false">
      <c r="B35" s="34"/>
      <c r="C35" s="34" t="s">
        <v>422</v>
      </c>
      <c r="D35" s="51" t="n">
        <f aca="false">COUNTIF(G7:G35,"Seuil à arrêter")</f>
        <v>4</v>
      </c>
      <c r="E35" s="34"/>
      <c r="F35" s="34"/>
      <c r="G35" s="34"/>
      <c r="H35" s="34"/>
      <c r="I35" s="34"/>
    </row>
    <row r="36" customFormat="false" ht="15" hidden="false" customHeight="false" outlineLevel="0" collapsed="false">
      <c r="B36" s="34"/>
      <c r="C36" s="34" t="s">
        <v>420</v>
      </c>
      <c r="D36" s="51" t="n">
        <f aca="false">COUNTIF(G7:G35,"À valider")</f>
        <v>7</v>
      </c>
      <c r="E36" s="34"/>
      <c r="F36" s="34"/>
      <c r="G36" s="34"/>
      <c r="H36" s="34"/>
      <c r="I36" s="34"/>
    </row>
    <row r="37" customFormat="false" ht="15" hidden="false" customHeight="false" outlineLevel="0" collapsed="false">
      <c r="B37" s="34"/>
      <c r="C37" s="34" t="s">
        <v>418</v>
      </c>
      <c r="D37" s="51" t="n">
        <f aca="false">COUNTIF(G7:G35,"Non testable")</f>
        <v>8</v>
      </c>
      <c r="E37" s="34"/>
      <c r="F37" s="34"/>
      <c r="G37" s="34"/>
      <c r="H37" s="34"/>
      <c r="I37" s="34"/>
    </row>
    <row r="38" customFormat="false" ht="15" hidden="false" customHeight="false" outlineLevel="0" collapsed="false">
      <c r="B38" s="34"/>
      <c r="C38" s="34" t="s">
        <v>416</v>
      </c>
      <c r="D38" s="51" t="n">
        <f aca="false">COUNTIF(G7:G35,"Dépassée")</f>
        <v>0</v>
      </c>
      <c r="E38" s="34"/>
      <c r="F38" s="34"/>
      <c r="G38" s="34"/>
      <c r="H38" s="34"/>
      <c r="I38" s="34"/>
    </row>
    <row r="40" customFormat="false" ht="39" hidden="false" customHeight="true" outlineLevel="0" collapsed="false">
      <c r="B40" s="21" t="s">
        <v>866</v>
      </c>
      <c r="C40" s="21"/>
      <c r="D40" s="21"/>
      <c r="E40" s="21"/>
      <c r="F40" s="21"/>
      <c r="G40" s="21"/>
      <c r="H40" s="21"/>
      <c r="I40" s="21"/>
    </row>
  </sheetData>
  <mergeCells count="1">
    <mergeCell ref="B40:I40"/>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7" min="3" style="0" width="13"/>
    <col collapsed="false" customWidth="true" hidden="false" outlineLevel="0" max="8" min="8" style="0" width="48"/>
  </cols>
  <sheetData>
    <row r="2" customFormat="false" ht="15" hidden="false" customHeight="false" outlineLevel="0" collapsed="false">
      <c r="B2" s="31" t="s">
        <v>867</v>
      </c>
    </row>
    <row r="3" customFormat="false" ht="15" hidden="false" customHeight="false" outlineLevel="0" collapsed="false">
      <c r="B3" s="32" t="s">
        <v>868</v>
      </c>
    </row>
    <row r="5" customFormat="false" ht="18" hidden="false" customHeight="true" outlineLevel="0" collapsed="false">
      <c r="B5" s="33" t="s">
        <v>145</v>
      </c>
      <c r="C5" s="33" t="s">
        <v>869</v>
      </c>
      <c r="D5" s="33" t="s">
        <v>149</v>
      </c>
      <c r="E5" s="33" t="s">
        <v>870</v>
      </c>
      <c r="F5" s="33" t="s">
        <v>871</v>
      </c>
      <c r="G5" s="33" t="s">
        <v>872</v>
      </c>
      <c r="H5" s="33" t="s">
        <v>873</v>
      </c>
    </row>
    <row r="6" customFormat="false" ht="27.75" hidden="false" customHeight="true" outlineLevel="0" collapsed="false">
      <c r="B6" s="34" t="s">
        <v>874</v>
      </c>
      <c r="C6" s="39" t="n">
        <f aca="false">W_MAPIF</f>
        <v>0.34</v>
      </c>
      <c r="D6" s="34" t="s">
        <v>153</v>
      </c>
      <c r="E6" s="53" t="n">
        <v>1825</v>
      </c>
      <c r="F6" s="53" t="n">
        <v>1825</v>
      </c>
      <c r="G6" s="34" t="s">
        <v>200</v>
      </c>
      <c r="H6" s="34" t="s">
        <v>875</v>
      </c>
    </row>
    <row r="7" customFormat="false" ht="27.75" hidden="false" customHeight="true" outlineLevel="0" collapsed="false">
      <c r="B7" s="34" t="s">
        <v>876</v>
      </c>
      <c r="C7" s="39" t="n">
        <f aca="false">W_MSIG</f>
        <v>0.17</v>
      </c>
      <c r="D7" s="34" t="s">
        <v>877</v>
      </c>
      <c r="E7" s="53" t="n">
        <v>1825</v>
      </c>
      <c r="F7" s="53" t="n">
        <v>1825</v>
      </c>
      <c r="G7" s="34" t="s">
        <v>878</v>
      </c>
      <c r="H7" s="34" t="s">
        <v>879</v>
      </c>
    </row>
    <row r="8" customFormat="false" ht="27.75" hidden="false" customHeight="true" outlineLevel="0" collapsed="false">
      <c r="B8" s="34" t="s">
        <v>880</v>
      </c>
      <c r="C8" s="39" t="n">
        <f aca="false">W_PG</f>
        <v>0.17</v>
      </c>
      <c r="D8" s="34" t="s">
        <v>153</v>
      </c>
      <c r="E8" s="53" t="n">
        <v>100</v>
      </c>
      <c r="F8" s="53" t="n">
        <v>270</v>
      </c>
      <c r="G8" s="34" t="s">
        <v>881</v>
      </c>
      <c r="H8" s="34" t="s">
        <v>882</v>
      </c>
    </row>
    <row r="9" customFormat="false" ht="27.75" hidden="false" customHeight="true" outlineLevel="0" collapsed="false">
      <c r="B9" s="34" t="s">
        <v>883</v>
      </c>
      <c r="C9" s="39" t="n">
        <f aca="false">W_ARES</f>
        <v>0.17</v>
      </c>
      <c r="D9" s="34" t="s">
        <v>165</v>
      </c>
      <c r="E9" s="53" t="n">
        <v>90</v>
      </c>
      <c r="F9" s="53" t="n">
        <v>270</v>
      </c>
      <c r="G9" s="34" t="s">
        <v>881</v>
      </c>
      <c r="H9" s="34" t="s">
        <v>884</v>
      </c>
    </row>
    <row r="10" customFormat="false" ht="27.75" hidden="false" customHeight="true" outlineLevel="0" collapsed="false">
      <c r="B10" s="34" t="s">
        <v>96</v>
      </c>
      <c r="C10" s="39" t="n">
        <f aca="false">W_LIQ</f>
        <v>0.15</v>
      </c>
      <c r="D10" s="34" t="s">
        <v>165</v>
      </c>
      <c r="E10" s="53" t="n">
        <v>3</v>
      </c>
      <c r="F10" s="53" t="n">
        <v>7</v>
      </c>
      <c r="G10" s="34" t="s">
        <v>885</v>
      </c>
      <c r="H10" s="34" t="s">
        <v>886</v>
      </c>
    </row>
    <row r="11" customFormat="false" ht="15" hidden="false" customHeight="false" outlineLevel="0" collapsed="false">
      <c r="B11" s="34" t="s">
        <v>887</v>
      </c>
      <c r="C11" s="54" t="n">
        <f aca="false">SUMPRODUCT(C6:C10,E6:E10)</f>
        <v>963.5</v>
      </c>
      <c r="D11" s="34" t="s">
        <v>574</v>
      </c>
      <c r="E11" s="54" t="n">
        <f aca="false">SUMPRODUCT(C6:C10,F6:F10)</f>
        <v>1023.6</v>
      </c>
      <c r="F11" s="34" t="s">
        <v>888</v>
      </c>
      <c r="G11" s="34"/>
      <c r="H11" s="34"/>
    </row>
    <row r="13" customFormat="false" ht="22.35" hidden="false" customHeight="false" outlineLevel="0" collapsed="false">
      <c r="B13" s="1" t="s">
        <v>889</v>
      </c>
      <c r="C13" s="2"/>
      <c r="D13" s="2"/>
      <c r="E13" s="2"/>
      <c r="F13" s="2"/>
      <c r="G13" s="2"/>
      <c r="H13" s="2"/>
    </row>
    <row r="14" customFormat="false" ht="18" hidden="false" customHeight="true" outlineLevel="0" collapsed="false">
      <c r="B14" s="33" t="s">
        <v>243</v>
      </c>
      <c r="C14" s="33" t="s">
        <v>890</v>
      </c>
      <c r="D14" s="33"/>
      <c r="E14" s="33"/>
      <c r="F14" s="33"/>
      <c r="G14" s="33"/>
      <c r="H14" s="33" t="s">
        <v>246</v>
      </c>
    </row>
    <row r="15" customFormat="false" ht="15" hidden="false" customHeight="false" outlineLevel="0" collapsed="false">
      <c r="B15" s="34" t="s">
        <v>891</v>
      </c>
      <c r="C15" s="51" t="n">
        <f aca="false">ROUND(Reglement_JO*7/5,0)</f>
        <v>49</v>
      </c>
      <c r="D15" s="34"/>
      <c r="E15" s="34"/>
      <c r="F15" s="34"/>
      <c r="G15" s="34"/>
      <c r="H15" s="34" t="s">
        <v>892</v>
      </c>
    </row>
    <row r="16" customFormat="false" ht="15" hidden="false" customHeight="false" outlineLevel="0" collapsed="false">
      <c r="B16" s="34" t="s">
        <v>893</v>
      </c>
      <c r="C16" s="51" t="n">
        <f aca="false">Preavis_j+Reglement_cal</f>
        <v>140</v>
      </c>
      <c r="D16" s="34"/>
      <c r="E16" s="34"/>
      <c r="F16" s="34"/>
      <c r="G16" s="34"/>
      <c r="H16" s="34" t="s">
        <v>894</v>
      </c>
    </row>
    <row r="17" customFormat="false" ht="15" hidden="false" customHeight="false" outlineLevel="0" collapsed="false">
      <c r="B17" s="34" t="s">
        <v>895</v>
      </c>
      <c r="C17" s="54" t="n">
        <f aca="false">TTL_passif_min+91</f>
        <v>231</v>
      </c>
      <c r="D17" s="34"/>
      <c r="E17" s="34"/>
      <c r="F17" s="34"/>
      <c r="G17" s="34"/>
      <c r="H17" s="34" t="s">
        <v>896</v>
      </c>
    </row>
    <row r="18" customFormat="false" ht="15" hidden="false" customHeight="false" outlineLevel="0" collapsed="false">
      <c r="B18" s="34" t="s">
        <v>897</v>
      </c>
      <c r="C18" s="51" t="n">
        <f aca="false">TTL_passif_min+182</f>
        <v>322</v>
      </c>
      <c r="D18" s="34"/>
      <c r="E18" s="34"/>
      <c r="F18" s="34"/>
      <c r="G18" s="34"/>
      <c r="H18" s="34" t="s">
        <v>898</v>
      </c>
    </row>
    <row r="19" customFormat="false" ht="15" hidden="false" customHeight="false" outlineLevel="0" collapsed="false">
      <c r="B19" s="34" t="s">
        <v>899</v>
      </c>
      <c r="C19" s="51" t="n">
        <f aca="false">Preavis_max_j+Reglement_cal+91</f>
        <v>320</v>
      </c>
      <c r="D19" s="34"/>
      <c r="E19" s="34"/>
      <c r="F19" s="34"/>
      <c r="G19" s="34"/>
      <c r="H19" s="34" t="s">
        <v>900</v>
      </c>
    </row>
    <row r="20" customFormat="false" ht="22.35" hidden="false" customHeight="false" outlineLevel="0" collapsed="false">
      <c r="B20" s="34" t="s">
        <v>901</v>
      </c>
      <c r="C20" s="54" t="n">
        <f aca="false">TTL_actif-TTL_passif</f>
        <v>732.5</v>
      </c>
      <c r="D20" s="34"/>
      <c r="E20" s="34"/>
      <c r="F20" s="34"/>
      <c r="G20" s="34"/>
      <c r="H20" s="34" t="s">
        <v>902</v>
      </c>
    </row>
    <row r="22" customFormat="false" ht="22.35" hidden="false" customHeight="false" outlineLevel="0" collapsed="false">
      <c r="B22" s="1" t="s">
        <v>903</v>
      </c>
      <c r="C22" s="2"/>
      <c r="D22" s="2"/>
      <c r="E22" s="2"/>
      <c r="F22" s="2"/>
      <c r="G22" s="2"/>
      <c r="H22" s="2"/>
    </row>
    <row r="23" customFormat="false" ht="18" hidden="false" customHeight="true" outlineLevel="0" collapsed="false">
      <c r="B23" s="33" t="s">
        <v>232</v>
      </c>
      <c r="C23" s="33" t="s">
        <v>233</v>
      </c>
      <c r="D23" s="33"/>
      <c r="E23" s="33"/>
      <c r="F23" s="33"/>
      <c r="G23" s="33"/>
      <c r="H23" s="33" t="s">
        <v>234</v>
      </c>
    </row>
    <row r="24" customFormat="false" ht="15" hidden="false" customHeight="false" outlineLevel="0" collapsed="false">
      <c r="B24" s="34" t="s">
        <v>235</v>
      </c>
      <c r="C24" s="39" t="n">
        <v>0</v>
      </c>
      <c r="D24" s="34"/>
      <c r="E24" s="34"/>
      <c r="F24" s="34"/>
      <c r="G24" s="34"/>
      <c r="H24" s="34" t="s">
        <v>904</v>
      </c>
    </row>
    <row r="25" customFormat="false" ht="15" hidden="false" customHeight="false" outlineLevel="0" collapsed="false">
      <c r="B25" s="34" t="s">
        <v>236</v>
      </c>
      <c r="C25" s="39" t="n">
        <f aca="false">W_LIQ</f>
        <v>0.15</v>
      </c>
      <c r="D25" s="34"/>
      <c r="E25" s="34"/>
      <c r="F25" s="34"/>
      <c r="G25" s="34"/>
      <c r="H25" s="34" t="s">
        <v>905</v>
      </c>
    </row>
    <row r="26" customFormat="false" ht="15" hidden="false" customHeight="false" outlineLevel="0" collapsed="false">
      <c r="B26" s="34" t="s">
        <v>237</v>
      </c>
      <c r="C26" s="39" t="n">
        <v>0</v>
      </c>
      <c r="D26" s="34"/>
      <c r="E26" s="34"/>
      <c r="F26" s="34"/>
      <c r="G26" s="34"/>
      <c r="H26" s="34" t="s">
        <v>906</v>
      </c>
    </row>
    <row r="27" customFormat="false" ht="15" hidden="false" customHeight="false" outlineLevel="0" collapsed="false">
      <c r="B27" s="34" t="s">
        <v>238</v>
      </c>
      <c r="C27" s="39" t="n">
        <f aca="false">W_ARES</f>
        <v>0.17</v>
      </c>
      <c r="D27" s="34"/>
      <c r="E27" s="34"/>
      <c r="F27" s="34"/>
      <c r="G27" s="34"/>
      <c r="H27" s="34" t="s">
        <v>907</v>
      </c>
    </row>
    <row r="28" customFormat="false" ht="15" hidden="false" customHeight="false" outlineLevel="0" collapsed="false">
      <c r="B28" s="34" t="s">
        <v>239</v>
      </c>
      <c r="C28" s="39" t="n">
        <f aca="false">W_PG</f>
        <v>0.17</v>
      </c>
      <c r="D28" s="34"/>
      <c r="E28" s="34"/>
      <c r="F28" s="34"/>
      <c r="G28" s="34"/>
      <c r="H28" s="34" t="s">
        <v>908</v>
      </c>
    </row>
    <row r="29" customFormat="false" ht="15" hidden="false" customHeight="false" outlineLevel="0" collapsed="false">
      <c r="B29" s="34" t="s">
        <v>240</v>
      </c>
      <c r="C29" s="39" t="n">
        <v>0</v>
      </c>
      <c r="D29" s="34"/>
      <c r="E29" s="34"/>
      <c r="F29" s="34"/>
      <c r="G29" s="34"/>
      <c r="H29" s="34" t="s">
        <v>906</v>
      </c>
    </row>
    <row r="30" customFormat="false" ht="15" hidden="false" customHeight="false" outlineLevel="0" collapsed="false">
      <c r="B30" s="34" t="s">
        <v>241</v>
      </c>
      <c r="C30" s="39" t="n">
        <f aca="false">W_FERMES</f>
        <v>0.51</v>
      </c>
      <c r="D30" s="34"/>
      <c r="E30" s="34"/>
      <c r="F30" s="34"/>
      <c r="G30" s="34"/>
      <c r="H30" s="34" t="s">
        <v>909</v>
      </c>
    </row>
    <row r="31" customFormat="false" ht="15" hidden="false" customHeight="false" outlineLevel="0" collapsed="false">
      <c r="B31" s="34" t="s">
        <v>169</v>
      </c>
      <c r="C31" s="55" t="n">
        <f aca="false">SUM(C24:C30)</f>
        <v>1</v>
      </c>
      <c r="D31" s="34"/>
      <c r="E31" s="34"/>
      <c r="F31" s="34"/>
      <c r="G31" s="34"/>
      <c r="H31" s="34" t="s">
        <v>558</v>
      </c>
    </row>
    <row r="33" customFormat="false" ht="22.35" hidden="false" customHeight="false" outlineLevel="0" collapsed="false">
      <c r="B33" s="1" t="s">
        <v>910</v>
      </c>
      <c r="C33" s="2"/>
      <c r="D33" s="2"/>
      <c r="E33" s="2"/>
      <c r="F33" s="2"/>
      <c r="G33" s="2"/>
      <c r="H33" s="2"/>
    </row>
    <row r="34" customFormat="false" ht="18" hidden="false" customHeight="true" outlineLevel="0" collapsed="false">
      <c r="B34" s="33" t="s">
        <v>78</v>
      </c>
      <c r="C34" s="33" t="s">
        <v>79</v>
      </c>
      <c r="D34" s="33" t="s">
        <v>254</v>
      </c>
      <c r="E34" s="33" t="s">
        <v>81</v>
      </c>
      <c r="F34" s="33"/>
      <c r="G34" s="33"/>
      <c r="H34" s="33" t="s">
        <v>255</v>
      </c>
    </row>
    <row r="35" customFormat="false" ht="15" hidden="false" customHeight="false" outlineLevel="0" collapsed="false">
      <c r="B35" s="34" t="s">
        <v>911</v>
      </c>
      <c r="C35" s="39" t="n">
        <f aca="false">2*Gate</f>
        <v>0.1</v>
      </c>
      <c r="D35" s="34"/>
      <c r="E35" s="34"/>
      <c r="F35" s="34"/>
      <c r="G35" s="34"/>
      <c r="H35" s="34" t="s">
        <v>912</v>
      </c>
    </row>
    <row r="36" customFormat="false" ht="15" hidden="false" customHeight="false" outlineLevel="0" collapsed="false">
      <c r="B36" s="34" t="s">
        <v>256</v>
      </c>
      <c r="C36" s="56" t="n">
        <f aca="false">W_LIQ/Gate</f>
        <v>3</v>
      </c>
      <c r="D36" s="57" t="n">
        <v>1.5</v>
      </c>
      <c r="E36" s="34" t="str">
        <f aca="false">IF(C36&gt;=D36,"Respectée","Surveillance")</f>
        <v>Respectée</v>
      </c>
      <c r="F36" s="34"/>
      <c r="G36" s="34"/>
      <c r="H36" s="34" t="s">
        <v>913</v>
      </c>
    </row>
    <row r="37" customFormat="false" ht="15" hidden="false" customHeight="false" outlineLevel="0" collapsed="false">
      <c r="B37" s="34" t="s">
        <v>258</v>
      </c>
      <c r="C37" s="57" t="n">
        <f aca="false">W_LIQ/Gate_annuel</f>
        <v>1.5</v>
      </c>
      <c r="D37" s="57" t="n">
        <v>1</v>
      </c>
      <c r="E37" s="34" t="str">
        <f aca="false">IF(C37&gt;=D37,"Respectée","Surveillance")</f>
        <v>Respectée</v>
      </c>
      <c r="F37" s="34"/>
      <c r="G37" s="34"/>
      <c r="H37" s="34" t="s">
        <v>914</v>
      </c>
    </row>
    <row r="38" customFormat="false" ht="22.35" hidden="false" customHeight="false" outlineLevel="0" collapsed="false">
      <c r="B38" s="34" t="s">
        <v>915</v>
      </c>
      <c r="C38" s="58" t="n">
        <f aca="false">W_EVER*0.05*2</f>
        <v>0.034</v>
      </c>
      <c r="D38" s="34"/>
      <c r="E38" s="34"/>
      <c r="F38" s="34"/>
      <c r="G38" s="34"/>
      <c r="H38" s="34" t="s">
        <v>916</v>
      </c>
    </row>
    <row r="39" customFormat="false" ht="22.35" hidden="false" customHeight="false" outlineLevel="0" collapsed="false">
      <c r="B39" s="34" t="s">
        <v>917</v>
      </c>
      <c r="C39" s="56" t="n">
        <f aca="false">Cap_evergreen/Gate</f>
        <v>0.68</v>
      </c>
      <c r="D39" s="57" t="n">
        <v>1</v>
      </c>
      <c r="E39" s="34" t="str">
        <f aca="false">IF(C39&gt;=D39,"Respectée","Surveillance")</f>
        <v>Surveillance</v>
      </c>
      <c r="F39" s="34"/>
      <c r="G39" s="34"/>
      <c r="H39" s="34" t="s">
        <v>918</v>
      </c>
    </row>
    <row r="40" customFormat="false" ht="22.35" hidden="false" customHeight="false" outlineLevel="0" collapsed="false">
      <c r="B40" s="34" t="s">
        <v>919</v>
      </c>
      <c r="C40" s="59" t="n">
        <f aca="false">Eng_Res0</f>
        <v>2.90448868337019</v>
      </c>
      <c r="D40" s="57" t="n">
        <v>1.5</v>
      </c>
      <c r="E40" s="34" t="str">
        <f aca="false">IF(C40&gt;=D40,"Respectée","Surveillance")</f>
        <v>Respectée</v>
      </c>
      <c r="F40" s="34"/>
      <c r="G40" s="34"/>
      <c r="H40" s="34" t="s">
        <v>920</v>
      </c>
    </row>
    <row r="41" customFormat="false" ht="22.35" hidden="false" customHeight="false" outlineLevel="0" collapsed="false">
      <c r="B41" s="34" t="s">
        <v>921</v>
      </c>
      <c r="C41" s="59" t="n">
        <f aca="false">Eng_Couv0</f>
        <v>2.33408721514473</v>
      </c>
      <c r="D41" s="57" t="n">
        <f aca="false">S_couv_vert</f>
        <v>1.5</v>
      </c>
      <c r="E41" s="34" t="str">
        <f aca="false">IF(C41&gt;=D41,"Respectée","Surveillance")</f>
        <v>Respectée</v>
      </c>
      <c r="F41" s="34"/>
      <c r="G41" s="34"/>
      <c r="H41" s="34" t="s">
        <v>922</v>
      </c>
    </row>
    <row r="43" customFormat="false" ht="39" hidden="false" customHeight="true" outlineLevel="0" collapsed="false">
      <c r="B43" s="21" t="s">
        <v>923</v>
      </c>
      <c r="C43" s="21"/>
      <c r="D43" s="21"/>
      <c r="E43" s="21"/>
      <c r="F43" s="21"/>
      <c r="G43" s="21"/>
      <c r="H43" s="21"/>
    </row>
  </sheetData>
  <mergeCells count="1">
    <mergeCell ref="B43:H43"/>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M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4" min="3" style="0" width="11"/>
    <col collapsed="false" customWidth="true" hidden="false" outlineLevel="0" max="5" min="5" style="0" width="12"/>
    <col collapsed="false" customWidth="true" hidden="false" outlineLevel="0" max="6" min="6" style="0" width="11"/>
    <col collapsed="false" customWidth="true" hidden="false" outlineLevel="0" max="8" min="7" style="0" width="12"/>
    <col collapsed="false" customWidth="true" hidden="false" outlineLevel="0" max="10" min="9" style="0" width="11"/>
    <col collapsed="false" customWidth="true" hidden="false" outlineLevel="0" max="11" min="11" style="0" width="12"/>
    <col collapsed="false" customWidth="true" hidden="false" outlineLevel="0" max="12" min="12" style="0" width="10"/>
    <col collapsed="false" customWidth="true" hidden="false" outlineLevel="0" max="13" min="13" style="0" width="52"/>
  </cols>
  <sheetData>
    <row r="2" customFormat="false" ht="15" hidden="false" customHeight="false" outlineLevel="0" collapsed="false">
      <c r="B2" s="31" t="s">
        <v>924</v>
      </c>
    </row>
    <row r="3" customFormat="false" ht="15" hidden="false" customHeight="false" outlineLevel="0" collapsed="false">
      <c r="B3" s="32" t="s">
        <v>925</v>
      </c>
    </row>
    <row r="5" customFormat="false" ht="18" hidden="false" customHeight="true" outlineLevel="0" collapsed="false">
      <c r="B5" s="33" t="s">
        <v>289</v>
      </c>
      <c r="C5" s="33" t="s">
        <v>926</v>
      </c>
      <c r="D5" s="33" t="s">
        <v>291</v>
      </c>
      <c r="E5" s="33" t="s">
        <v>927</v>
      </c>
      <c r="F5" s="33" t="s">
        <v>292</v>
      </c>
      <c r="G5" s="33" t="s">
        <v>928</v>
      </c>
      <c r="H5" s="33" t="s">
        <v>929</v>
      </c>
      <c r="I5" s="33" t="s">
        <v>930</v>
      </c>
      <c r="J5" s="33" t="s">
        <v>931</v>
      </c>
      <c r="K5" s="33" t="s">
        <v>192</v>
      </c>
      <c r="L5" s="33" t="s">
        <v>26</v>
      </c>
      <c r="M5" s="33" t="s">
        <v>246</v>
      </c>
    </row>
    <row r="6" customFormat="false" ht="30" hidden="false" customHeight="true" outlineLevel="0" collapsed="false">
      <c r="B6" s="34" t="str">
        <f aca="false">'3b Moteur'!C$5</f>
        <v>Base : rachats 2 % par date, collecte 5 % par trimestre</v>
      </c>
      <c r="C6" s="51" t="n">
        <f aca="false">SUM('3b Moteur'!$D$46:$O$46)</f>
        <v>0</v>
      </c>
      <c r="D6" s="47" t="n">
        <f aca="false">MAX('3b Moteur'!$D$80:$O$80)</f>
        <v>0</v>
      </c>
      <c r="E6" s="51" t="n">
        <f aca="false">IF(MIN('3b Moteur'!$D$86:$O$86)=99,0,IF(MIN('3b Moteur'!$D$87:$O$87)=99,99,6*(MIN('3b Moteur'!$D$87:$O$87)-MIN('3b Moteur'!$D$86:$O$86))))</f>
        <v>0</v>
      </c>
      <c r="F6" s="47" t="n">
        <f aca="false">MIN('3b Moteur'!$D$79:$O$79)</f>
        <v>0.16391314090164</v>
      </c>
      <c r="G6" s="60" t="n">
        <f aca="false">MIN('3b Moteur'!$C$81,'3b Moteur'!$D$81:$O$81)</f>
        <v>2.33408721514473</v>
      </c>
      <c r="H6" s="50" t="n">
        <f aca="false">MAX('3b Moteur'!$D$82:$O$82)</f>
        <v>0.967965483287801</v>
      </c>
      <c r="I6" s="50" t="n">
        <f aca="false">MAX('3b Moteur'!$D$84:$O$84)</f>
        <v>0.248824991430887</v>
      </c>
      <c r="J6" s="60" t="n">
        <f aca="false">SUM('3b Moteur'!$D$73:$O$73)/1000000</f>
        <v>0</v>
      </c>
      <c r="K6" s="34" t="str">
        <f aca="false">IF(MIN('3b Moteur'!$D$88:$O$88)&gt;=9999999,"-",RIGHT("0"&amp;MONTH(MIN('3b Moteur'!$D$88:$O$88)),2)&amp;"/"&amp;YEAR(MIN('3b Moteur'!$D$88:$O$88)))</f>
        <v>-</v>
      </c>
      <c r="L6" s="34" t="str">
        <f aca="false">IF(OR(D6&gt;S_file_rouge,F6&lt;S_poche_rouge,G6&lt;S_couv_rouge,E6&gt;S_resorption_rouge,K6&lt;&gt;"-"),"Rouge",IF(OR(C6&gt;0,F6&lt;Liq_min,G6&lt;S_couv_vert,H6&gt;S_sureng_orange),"Orange","Vert"))</f>
        <v>Vert</v>
      </c>
      <c r="M6" s="34" t="str">
        <f aca="false">'3b Moteur'!C$24</f>
        <v>Régime de croisière.</v>
      </c>
    </row>
    <row r="7" customFormat="false" ht="30" hidden="false" customHeight="true" outlineLevel="0" collapsed="false">
      <c r="B7" s="34" t="str">
        <f aca="false">'3b Moteur'!D$5</f>
        <v>Adverse : rachats de 10 % sur deux dates</v>
      </c>
      <c r="C7" s="51" t="n">
        <f aca="false">SUM('3b Moteur'!$D$112:$O$112)</f>
        <v>4</v>
      </c>
      <c r="D7" s="47" t="n">
        <f aca="false">MAX('3b Moteur'!$D$146:$O$146)</f>
        <v>0.104896281386449</v>
      </c>
      <c r="E7" s="51" t="n">
        <f aca="false">IF(MIN('3b Moteur'!$D$152:$O$152)=99,0,IF(MIN('3b Moteur'!$D$153:$O$153)=99,99,6*(MIN('3b Moteur'!$D$153:$O$153)-MIN('3b Moteur'!$D$152:$O$152))))</f>
        <v>24</v>
      </c>
      <c r="F7" s="47" t="n">
        <f aca="false">MIN('3b Moteur'!$D$145:$O$145)</f>
        <v>0.0673459198463885</v>
      </c>
      <c r="G7" s="60" t="n">
        <f aca="false">MIN('3b Moteur'!$C$147,'3b Moteur'!$D$147:$O$147)</f>
        <v>1.04187333842376</v>
      </c>
      <c r="H7" s="50" t="n">
        <f aca="false">MAX('3b Moteur'!$D$148:$O$148)</f>
        <v>1.02360935138212</v>
      </c>
      <c r="I7" s="50" t="n">
        <f aca="false">MAX('3b Moteur'!$D$150:$O$150)</f>
        <v>0.376408734324846</v>
      </c>
      <c r="J7" s="60" t="n">
        <f aca="false">SUM('3b Moteur'!$D$139:$O$139)/1000000</f>
        <v>0</v>
      </c>
      <c r="K7" s="34" t="str">
        <f aca="false">IF(MIN('3b Moteur'!$D$154:$O$154)&gt;=9999999,"-",RIGHT("0"&amp;MONTH(MIN('3b Moteur'!$D$154:$O$154)),2)&amp;"/"&amp;YEAR(MIN('3b Moteur'!$D$154:$O$154)))</f>
        <v>-</v>
      </c>
      <c r="L7" s="34" t="str">
        <f aca="false">IF(OR(D7&gt;S_file_rouge,F7&lt;S_poche_rouge,G7&lt;S_couv_rouge,E7&gt;S_resorption_rouge,K7&lt;&gt;"-"),"Rouge",IF(OR(C7&gt;0,F7&lt;Liq_min,G7&lt;S_couv_vert,H7&gt;S_sureng_orange),"Orange","Vert"))</f>
        <v>Orange</v>
      </c>
      <c r="M7" s="34" t="str">
        <f aca="false">'3b Moteur'!D$24</f>
        <v>Deux dates de demandes doubles du plafond, collecte nulle.</v>
      </c>
    </row>
    <row r="8" customFormat="false" ht="30" hidden="false" customHeight="true" outlineLevel="0" collapsed="false">
      <c r="B8" s="34" t="str">
        <f aca="false">'3b Moteur'!E$5</f>
        <v>Extrême : rachats de 15 % puis 20 %</v>
      </c>
      <c r="C8" s="51" t="n">
        <f aca="false">SUM('3b Moteur'!$D$178:$O$178)</f>
        <v>4</v>
      </c>
      <c r="D8" s="47" t="n">
        <f aca="false">MAX('3b Moteur'!$D$212:$O$212)</f>
        <v>0.261616117997572</v>
      </c>
      <c r="E8" s="51" t="n">
        <f aca="false">IF(MIN('3b Moteur'!$D$218:$O$218)=99,0,IF(MIN('3b Moteur'!$D$219:$O$219)=99,99,6*(MIN('3b Moteur'!$D$219:$O$219)-MIN('3b Moteur'!$D$218:$O$218))))</f>
        <v>99</v>
      </c>
      <c r="F8" s="47" t="n">
        <f aca="false">MIN('3b Moteur'!$D$211:$O$211)</f>
        <v>0.0673459198463885</v>
      </c>
      <c r="G8" s="60" t="n">
        <f aca="false">MIN('3b Moteur'!$C$213,'3b Moteur'!$D$213:$O$213)</f>
        <v>0.667320743188618</v>
      </c>
      <c r="H8" s="50" t="n">
        <f aca="false">MAX('3b Moteur'!$D$214:$O$214)</f>
        <v>1.02360935138212</v>
      </c>
      <c r="I8" s="50" t="n">
        <f aca="false">MAX('3b Moteur'!$D$216:$O$216)</f>
        <v>0.374844428976344</v>
      </c>
      <c r="J8" s="60" t="n">
        <f aca="false">SUM('3b Moteur'!$D$205:$O$205)/1000000</f>
        <v>0</v>
      </c>
      <c r="K8" s="34" t="str">
        <f aca="false">IF(MIN('3b Moteur'!$D$220:$O$220)&gt;=9999999,"-",RIGHT("0"&amp;MONTH(MIN('3b Moteur'!$D$220:$O$220)),2)&amp;"/"&amp;YEAR(MIN('3b Moteur'!$D$220:$O$220)))</f>
        <v>12/2030</v>
      </c>
      <c r="L8" s="34" t="str">
        <f aca="false">IF(OR(D8&gt;S_file_rouge,F8&lt;S_poche_rouge,G8&lt;S_couv_rouge,E8&gt;S_resorption_rouge,K8&lt;&gt;"-"),"Rouge",IF(OR(C8&gt;0,F8&lt;Liq_min,G8&lt;S_couv_vert,H8&gt;S_sureng_orange),"Orange","Vert"))</f>
        <v>Rouge</v>
      </c>
      <c r="M8" s="34" t="str">
        <f aca="false">'3b Moteur'!E$24</f>
        <v>Sept fois le plafond sur deux dates.</v>
      </c>
    </row>
    <row r="9" customFormat="false" ht="30" hidden="false" customHeight="true" outlineLevel="0" collapsed="false">
      <c r="B9" s="34" t="str">
        <f aca="false">'3b Moteur'!F$5</f>
        <v>Concentration : sortie des cinq premiers porteurs</v>
      </c>
      <c r="C9" s="51" t="n">
        <f aca="false">SUM('3b Moteur'!$D$244:$O$244)</f>
        <v>4</v>
      </c>
      <c r="D9" s="47" t="n">
        <f aca="false">MAX('3b Moteur'!$D$278:$O$278)</f>
        <v>0.332635880782781</v>
      </c>
      <c r="E9" s="51" t="n">
        <f aca="false">IF(MIN('3b Moteur'!$D$284:$O$284)=99,0,IF(MIN('3b Moteur'!$D$285:$O$285)=99,99,6*(MIN('3b Moteur'!$D$285:$O$285)-MIN('3b Moteur'!$D$284:$O$284))))</f>
        <v>99</v>
      </c>
      <c r="F9" s="47" t="n">
        <f aca="false">MIN('3b Moteur'!$D$277:$O$277)</f>
        <v>0.0673459198463885</v>
      </c>
      <c r="G9" s="60" t="n">
        <f aca="false">MIN('3b Moteur'!$C$279,'3b Moteur'!$D$279:$O$279)</f>
        <v>0.508626995490176</v>
      </c>
      <c r="H9" s="50" t="n">
        <f aca="false">MAX('3b Moteur'!$D$280:$O$280)</f>
        <v>1.02360935138212</v>
      </c>
      <c r="I9" s="50" t="n">
        <f aca="false">MAX('3b Moteur'!$D$282:$O$282)</f>
        <v>0.374844428976344</v>
      </c>
      <c r="J9" s="60" t="n">
        <f aca="false">SUM('3b Moteur'!$D$271:$O$271)/1000000</f>
        <v>0</v>
      </c>
      <c r="K9" s="34" t="str">
        <f aca="false">IF(MIN('3b Moteur'!$D$286:$O$286)&gt;=9999999,"-",RIGHT("0"&amp;MONTH(MIN('3b Moteur'!$D$286:$O$286)),2)&amp;"/"&amp;YEAR(MIN('3b Moteur'!$D$286:$O$286)))</f>
        <v>12/2030</v>
      </c>
      <c r="L9" s="34" t="str">
        <f aca="false">IF(OR(D9&gt;S_file_rouge,F9&lt;S_poche_rouge,G9&lt;S_couv_rouge,E9&gt;S_resorption_rouge,K9&lt;&gt;"-"),"Rouge",IF(OR(C9&gt;0,F9&lt;Liq_min,G9&lt;S_couv_vert,H9&gt;S_sureng_orange),"Orange","Vert"))</f>
        <v>Rouge</v>
      </c>
      <c r="M9" s="34" t="str">
        <f aca="false">'3b Moteur'!F$24</f>
        <v>Les cinq premiers porteurs sortent à la première date ; les autres demandent 2 % par date. Le classeur du 24/09 laissait cette demande à zéro.</v>
      </c>
    </row>
    <row r="10" customFormat="false" ht="30" hidden="false" customHeight="true" outlineLevel="0" collapsed="false">
      <c r="B10" s="34" t="str">
        <f aca="false">'3b Moteur'!G$5</f>
        <v>Distributions des fonds cibles divisées par deux et retardées d'un an</v>
      </c>
      <c r="C10" s="51" t="n">
        <f aca="false">SUM('3b Moteur'!$D$310:$O$310)</f>
        <v>0</v>
      </c>
      <c r="D10" s="47" t="n">
        <f aca="false">MAX('3b Moteur'!$D$344:$O$344)</f>
        <v>0</v>
      </c>
      <c r="E10" s="51" t="n">
        <f aca="false">IF(MIN('3b Moteur'!$D$350:$O$350)=99,0,IF(MIN('3b Moteur'!$D$351:$O$351)=99,99,6*(MIN('3b Moteur'!$D$351:$O$351)-MIN('3b Moteur'!$D$350:$O$350))))</f>
        <v>0</v>
      </c>
      <c r="F10" s="47" t="n">
        <f aca="false">MIN('3b Moteur'!$D$343:$O$343)</f>
        <v>0.108629219726154</v>
      </c>
      <c r="G10" s="60" t="n">
        <f aca="false">MIN('3b Moteur'!$C$345,'3b Moteur'!$D$345:$O$345)</f>
        <v>1.98256647356655</v>
      </c>
      <c r="H10" s="50" t="n">
        <f aca="false">MAX('3b Moteur'!$D$346:$O$346)</f>
        <v>1.00017596554494</v>
      </c>
      <c r="I10" s="50" t="n">
        <f aca="false">MAX('3b Moteur'!$D$348:$O$348)</f>
        <v>0.382316855677464</v>
      </c>
      <c r="J10" s="60" t="n">
        <f aca="false">SUM('3b Moteur'!$D$337:$O$337)/1000000</f>
        <v>0</v>
      </c>
      <c r="K10" s="34" t="str">
        <f aca="false">IF(MIN('3b Moteur'!$D$352:$O$352)&gt;=9999999,"-",RIGHT("0"&amp;MONTH(MIN('3b Moteur'!$D$352:$O$352)),2)&amp;"/"&amp;YEAR(MIN('3b Moteur'!$D$352:$O$352)))</f>
        <v>-</v>
      </c>
      <c r="L10" s="34" t="str">
        <f aca="false">IF(OR(D10&gt;S_file_rouge,F10&lt;S_poche_rouge,G10&lt;S_couv_rouge,E10&gt;S_resorption_rouge,K10&lt;&gt;"-"),"Rouge",IF(OR(C10&gt;0,F10&lt;Liq_min,G10&lt;S_couv_vert,H10&gt;S_sureng_orange),"Orange","Vert"))</f>
        <v>Orange</v>
      </c>
      <c r="M10" s="34" t="str">
        <f aca="false">'3b Moteur'!G$24</f>
        <v>Aucune distribution la première année, puis moitié.</v>
      </c>
    </row>
    <row r="11" customFormat="false" ht="30" hidden="false" customHeight="true" outlineLevel="0" collapsed="false">
      <c r="B11" s="34" t="str">
        <f aca="false">'3b Moteur'!H$5</f>
        <v>Appels de fonds accélérés, dollar + 15 %</v>
      </c>
      <c r="C11" s="51" t="n">
        <f aca="false">SUM('3b Moteur'!$D$376:$O$376)</f>
        <v>0</v>
      </c>
      <c r="D11" s="47" t="n">
        <f aca="false">MAX('3b Moteur'!$D$410:$O$410)</f>
        <v>0</v>
      </c>
      <c r="E11" s="51" t="n">
        <f aca="false">IF(MIN('3b Moteur'!$D$416:$O$416)=99,0,IF(MIN('3b Moteur'!$D$417:$O$417)=99,99,6*(MIN('3b Moteur'!$D$417:$O$417)-MIN('3b Moteur'!$D$416:$O$416))))</f>
        <v>0</v>
      </c>
      <c r="F11" s="47" t="n">
        <f aca="false">MIN('3b Moteur'!$D$409:$O$409)</f>
        <v>0.128013922775111</v>
      </c>
      <c r="G11" s="60" t="n">
        <f aca="false">MIN('3b Moteur'!$C$411,'3b Moteur'!$D$411:$O$411)</f>
        <v>1.9440243834385</v>
      </c>
      <c r="H11" s="50" t="n">
        <f aca="false">MAX('3b Moteur'!$D$412:$O$412)</f>
        <v>1.00602941639435</v>
      </c>
      <c r="I11" s="50" t="n">
        <f aca="false">MAX('3b Moteur'!$D$414:$O$414)</f>
        <v>0.388908085631805</v>
      </c>
      <c r="J11" s="60" t="n">
        <f aca="false">SUM('3b Moteur'!$D$403:$O$403)/1000000</f>
        <v>0</v>
      </c>
      <c r="K11" s="34" t="str">
        <f aca="false">IF(MIN('3b Moteur'!$D$418:$O$418)&gt;=9999999,"-",RIGHT("0"&amp;MONTH(MIN('3b Moteur'!$D$418:$O$418)),2)&amp;"/"&amp;YEAR(MIN('3b Moteur'!$D$418:$O$418)))</f>
        <v>-</v>
      </c>
      <c r="L11" s="34" t="str">
        <f aca="false">IF(OR(D11&gt;S_file_rouge,F11&lt;S_poche_rouge,G11&lt;S_couv_rouge,E11&gt;S_resorption_rouge,K11&lt;&gt;"-"),"Rouge",IF(OR(C11&gt;0,F11&lt;Liq_min,G11&lt;S_couv_vert,H11&gt;S_sureng_orange),"Orange","Vert"))</f>
        <v>Orange</v>
      </c>
      <c r="M11" s="34" t="str">
        <f aca="false">'3b Moteur'!H$24</f>
        <v>Moitié du non-appelé tirée la première année, renchérie par le dollar.</v>
      </c>
    </row>
    <row r="12" customFormat="false" ht="30" hidden="false" customHeight="true" outlineLevel="0" collapsed="false">
      <c r="B12" s="34" t="str">
        <f aca="false">'3b Moteur'!I$5</f>
        <v>Valorisation - 20 % (capital), - 10 % (dette), dollar - 15 %</v>
      </c>
      <c r="C12" s="51" t="n">
        <f aca="false">SUM('3b Moteur'!$D$442:$O$442)</f>
        <v>0</v>
      </c>
      <c r="D12" s="47" t="n">
        <f aca="false">MAX('3b Moteur'!$D$476:$O$476)</f>
        <v>0</v>
      </c>
      <c r="E12" s="51" t="n">
        <f aca="false">IF(MIN('3b Moteur'!$D$482:$O$482)=99,0,IF(MIN('3b Moteur'!$D$483:$O$483)=99,99,6*(MIN('3b Moteur'!$D$483:$O$483)-MIN('3b Moteur'!$D$482:$O$482))))</f>
        <v>0</v>
      </c>
      <c r="F12" s="47" t="n">
        <f aca="false">MIN('3b Moteur'!$D$475:$O$475)</f>
        <v>0.147325171308518</v>
      </c>
      <c r="G12" s="60" t="n">
        <f aca="false">MIN('3b Moteur'!$C$477,'3b Moteur'!$D$477:$O$477)</f>
        <v>2.18119370204892</v>
      </c>
      <c r="H12" s="50" t="n">
        <f aca="false">MAX('3b Moteur'!$D$478:$O$478)</f>
        <v>0.974216364221518</v>
      </c>
      <c r="I12" s="50" t="n">
        <f aca="false">MAX('3b Moteur'!$D$480:$O$480)</f>
        <v>0.315573922612269</v>
      </c>
      <c r="J12" s="60" t="n">
        <f aca="false">SUM('3b Moteur'!$D$469:$O$469)/1000000</f>
        <v>0</v>
      </c>
      <c r="K12" s="34" t="str">
        <f aca="false">IF(MIN('3b Moteur'!$D$484:$O$484)&gt;=9999999,"-",RIGHT("0"&amp;MONTH(MIN('3b Moteur'!$D$484:$O$484)),2)&amp;"/"&amp;YEAR(MIN('3b Moteur'!$D$484:$O$484)))</f>
        <v>-</v>
      </c>
      <c r="L12" s="34" t="str">
        <f aca="false">IF(OR(D12&gt;S_file_rouge,F12&lt;S_poche_rouge,G12&lt;S_couv_rouge,E12&gt;S_resorption_rouge,K12&lt;&gt;"-"),"Rouge",IF(OR(C12&gt;0,F12&lt;Liq_min,G12&lt;S_couv_vert,H12&gt;S_sureng_orange),"Orange","Vert"))</f>
        <v>Orange</v>
      </c>
      <c r="M12" s="34" t="str">
        <f aca="false">'3b Moteur'!I$24</f>
        <v>Choc de valeur au premier trimestre.</v>
      </c>
    </row>
    <row r="13" customFormat="false" ht="30" hidden="false" customHeight="true" outlineLevel="0" collapsed="false">
      <c r="B13" s="34" t="str">
        <f aca="false">'3b Moteur'!J$5</f>
        <v>Crise combinée : chocs de passif et d'actif simultanés</v>
      </c>
      <c r="C13" s="51" t="n">
        <f aca="false">SUM('3b Moteur'!$D$508:$O$508)</f>
        <v>4</v>
      </c>
      <c r="D13" s="47" t="n">
        <f aca="false">MAX('3b Moteur'!$D$542:$O$542)</f>
        <v>0.260921027100345</v>
      </c>
      <c r="E13" s="51" t="n">
        <f aca="false">IF(MIN('3b Moteur'!$D$548:$O$548)=99,0,IF(MIN('3b Moteur'!$D$549:$O$549)=99,99,6*(MIN('3b Moteur'!$D$549:$O$549)-MIN('3b Moteur'!$D$548:$O$548))))</f>
        <v>99</v>
      </c>
      <c r="F13" s="47" t="n">
        <f aca="false">MIN('3b Moteur'!$D$541:$O$541)</f>
        <v>0</v>
      </c>
      <c r="G13" s="60" t="n">
        <f aca="false">MIN('3b Moteur'!$C$543,'3b Moteur'!$D$543:$O$543)</f>
        <v>0.11367795629284</v>
      </c>
      <c r="H13" s="50" t="n">
        <f aca="false">MAX('3b Moteur'!$D$544:$O$544)</f>
        <v>1.08027366748806</v>
      </c>
      <c r="I13" s="50" t="n">
        <f aca="false">MAX('3b Moteur'!$D$546:$O$546)</f>
        <v>0.365250240768943</v>
      </c>
      <c r="J13" s="60" t="n">
        <f aca="false">SUM('3b Moteur'!$D$535:$O$535)/1000000</f>
        <v>6.86896638938349</v>
      </c>
      <c r="K13" s="34" t="str">
        <f aca="false">IF(MIN('3b Moteur'!$D$550:$O$550)&gt;=9999999,"-",RIGHT("0"&amp;MONTH(MIN('3b Moteur'!$D$550:$O$550)),2)&amp;"/"&amp;YEAR(MIN('3b Moteur'!$D$550:$O$550)))</f>
        <v>12/2030</v>
      </c>
      <c r="L13" s="34" t="str">
        <f aca="false">IF(OR(D13&gt;S_file_rouge,F13&lt;S_poche_rouge,G13&lt;S_couv_rouge,E13&gt;S_resorption_rouge,K13&lt;&gt;"-"),"Rouge",IF(OR(C13&gt;0,F13&lt;Liq_min,G13&lt;S_couv_vert,H13&gt;S_sureng_orange),"Orange","Vert"))</f>
        <v>Rouge</v>
      </c>
      <c r="M13" s="34" t="str">
        <f aca="false">'3b Moteur'!J$24</f>
        <v>Rachats extrêmes, distributions divisées par deux et retardées, appels accélérés, fonds evergreen au prorata puis Ares fermé.</v>
      </c>
    </row>
    <row r="14" customFormat="false" ht="30" hidden="false" customHeight="true" outlineLevel="0" collapsed="false">
      <c r="B14" s="34" t="str">
        <f aca="false">'3b Moteur'!K$5</f>
        <v>Fonds evergreen au prorata</v>
      </c>
      <c r="C14" s="51" t="n">
        <f aca="false">SUM('3b Moteur'!$D$574:$O$574)</f>
        <v>0</v>
      </c>
      <c r="D14" s="47" t="n">
        <f aca="false">MAX('3b Moteur'!$D$608:$O$608)</f>
        <v>0</v>
      </c>
      <c r="E14" s="51" t="n">
        <f aca="false">IF(MIN('3b Moteur'!$D$614:$O$614)=99,0,IF(MIN('3b Moteur'!$D$615:$O$615)=99,99,6*(MIN('3b Moteur'!$D$615:$O$615)-MIN('3b Moteur'!$D$614:$O$614))))</f>
        <v>0</v>
      </c>
      <c r="F14" s="47" t="n">
        <f aca="false">MIN('3b Moteur'!$D$607:$O$607)</f>
        <v>0.0458680640861652</v>
      </c>
      <c r="G14" s="60" t="n">
        <f aca="false">MIN('3b Moteur'!$C$609,'3b Moteur'!$D$609:$O$609)</f>
        <v>1.41029874631138</v>
      </c>
      <c r="H14" s="50" t="n">
        <f aca="false">MAX('3b Moteur'!$D$610:$O$610)</f>
        <v>1.00469229089987</v>
      </c>
      <c r="I14" s="50" t="n">
        <f aca="false">MAX('3b Moteur'!$D$612:$O$612)</f>
        <v>0.344534158043837</v>
      </c>
      <c r="J14" s="60" t="n">
        <f aca="false">SUM('3b Moteur'!$D$601:$O$601)/1000000</f>
        <v>0</v>
      </c>
      <c r="K14" s="34" t="str">
        <f aca="false">IF(MIN('3b Moteur'!$D$616:$O$616)&gt;=9999999,"-",RIGHT("0"&amp;MONTH(MIN('3b Moteur'!$D$616:$O$616)),2)&amp;"/"&amp;YEAR(MIN('3b Moteur'!$D$616:$O$616)))</f>
        <v>-</v>
      </c>
      <c r="L14" s="34" t="str">
        <f aca="false">IF(OR(D14&gt;S_file_rouge,F14&lt;S_poche_rouge,G14&lt;S_couv_rouge,E14&gt;S_resorption_rouge,K14&lt;&gt;"-"),"Rouge",IF(OR(C14&gt;0,F14&lt;Liq_min,G14&lt;S_couv_vert,H14&gt;S_sureng_orange),"Orange","Vert"))</f>
        <v>Rouge</v>
      </c>
      <c r="M14" s="34" t="str">
        <f aca="false">'3b Moteur'!K$24</f>
        <v>PG NGI et Ares servent la moitié des demandes la première année ; Ares ne sert plus rien ensuite.</v>
      </c>
    </row>
    <row r="15" customFormat="false" ht="15" hidden="false" customHeight="false" outlineLevel="0" collapsed="false">
      <c r="B15" s="34" t="s">
        <v>932</v>
      </c>
      <c r="C15" s="51" t="n">
        <f aca="false">COUNTIF(L6:L14,"Vert")</f>
        <v>1</v>
      </c>
      <c r="D15" s="34"/>
      <c r="E15" s="34"/>
      <c r="F15" s="34"/>
      <c r="G15" s="34"/>
      <c r="H15" s="34"/>
      <c r="I15" s="34"/>
      <c r="J15" s="34"/>
      <c r="K15" s="34"/>
      <c r="L15" s="34"/>
      <c r="M15" s="34"/>
    </row>
    <row r="16" customFormat="false" ht="15" hidden="false" customHeight="false" outlineLevel="0" collapsed="false">
      <c r="B16" s="34" t="s">
        <v>933</v>
      </c>
      <c r="C16" s="51" t="n">
        <f aca="false">COUNTIF(L6:L14,"Orange")</f>
        <v>4</v>
      </c>
      <c r="D16" s="34"/>
      <c r="E16" s="34"/>
      <c r="F16" s="34"/>
      <c r="G16" s="34"/>
      <c r="H16" s="34"/>
      <c r="I16" s="34"/>
      <c r="J16" s="34"/>
      <c r="K16" s="34"/>
      <c r="L16" s="34"/>
      <c r="M16" s="34"/>
    </row>
    <row r="17" customFormat="false" ht="15" hidden="false" customHeight="false" outlineLevel="0" collapsed="false">
      <c r="B17" s="34" t="s">
        <v>934</v>
      </c>
      <c r="C17" s="54" t="n">
        <f aca="false">COUNTIF(L6:L14,"Rouge")</f>
        <v>4</v>
      </c>
      <c r="D17" s="34"/>
      <c r="E17" s="34"/>
      <c r="F17" s="34"/>
      <c r="G17" s="34"/>
      <c r="H17" s="34"/>
      <c r="I17" s="34"/>
      <c r="J17" s="34"/>
      <c r="K17" s="34"/>
      <c r="L17" s="34"/>
      <c r="M17" s="34"/>
    </row>
    <row r="18" customFormat="false" ht="22.35" hidden="false" customHeight="false" outlineLevel="0" collapsed="false">
      <c r="B18" s="34" t="s">
        <v>935</v>
      </c>
      <c r="C18" s="60" t="n">
        <f aca="false">('3b Moteur'!$C$76+SUM('3b Moteur'!$D$64:$G$64)+SUM('3b Moteur'!$D$60:$G$61))/(2*Gate*AN_cible)</f>
        <v>2.90448868337019</v>
      </c>
      <c r="D18" s="34"/>
      <c r="E18" s="34"/>
      <c r="F18" s="34"/>
      <c r="G18" s="34"/>
      <c r="H18" s="34"/>
      <c r="I18" s="34"/>
      <c r="J18" s="34"/>
      <c r="K18" s="34"/>
      <c r="L18" s="34"/>
      <c r="M18" s="34"/>
    </row>
    <row r="19" customFormat="false" ht="22.35" hidden="false" customHeight="false" outlineLevel="0" collapsed="false">
      <c r="B19" s="34" t="s">
        <v>936</v>
      </c>
      <c r="C19" s="60" t="n">
        <f aca="false">'3b Moteur'!$C$81</f>
        <v>2.33408721514473</v>
      </c>
      <c r="D19" s="34"/>
      <c r="E19" s="34"/>
      <c r="F19" s="34"/>
      <c r="G19" s="34"/>
      <c r="H19" s="34"/>
      <c r="I19" s="34"/>
      <c r="J19" s="34"/>
      <c r="K19" s="34"/>
      <c r="L19" s="34"/>
      <c r="M19" s="34"/>
    </row>
    <row r="20" customFormat="false" ht="15" hidden="false" customHeight="false" outlineLevel="0" collapsed="false">
      <c r="B20" s="34" t="s">
        <v>937</v>
      </c>
      <c r="C20" s="34" t="str">
        <f aca="false">IF(MIN('3b Moteur'!$D$551:$O$551)&gt;=9999999,"-",RIGHT("0"&amp;MONTH(MIN('3b Moteur'!$D$551:$O$551)),2)&amp;"/"&amp;YEAR(MIN('3b Moteur'!$D$551:$O$551)))</f>
        <v>12/2028</v>
      </c>
      <c r="D20" s="34"/>
      <c r="E20" s="34"/>
      <c r="F20" s="34"/>
      <c r="G20" s="34"/>
      <c r="H20" s="34"/>
      <c r="I20" s="34"/>
      <c r="J20" s="34"/>
      <c r="K20" s="34"/>
      <c r="L20" s="34"/>
      <c r="M20" s="34"/>
    </row>
    <row r="21" customFormat="false" ht="25.5" hidden="false" customHeight="true" outlineLevel="0" collapsed="false">
      <c r="B21" s="21" t="s">
        <v>938</v>
      </c>
      <c r="C21" s="21"/>
      <c r="D21" s="21"/>
      <c r="E21" s="21"/>
      <c r="F21" s="21"/>
      <c r="G21" s="21"/>
      <c r="H21" s="21"/>
      <c r="I21" s="21"/>
      <c r="J21" s="21"/>
      <c r="K21" s="21"/>
      <c r="L21" s="21"/>
      <c r="M21" s="21"/>
    </row>
    <row r="23" customFormat="false" ht="15" hidden="false" customHeight="false" outlineLevel="0" collapsed="false">
      <c r="B23" s="1" t="s">
        <v>939</v>
      </c>
      <c r="C23" s="2"/>
      <c r="D23" s="2"/>
      <c r="E23" s="2"/>
      <c r="F23" s="2"/>
      <c r="G23" s="2"/>
      <c r="H23" s="2"/>
      <c r="I23" s="2"/>
      <c r="J23" s="2"/>
      <c r="K23" s="2"/>
      <c r="L23" s="2"/>
      <c r="M23" s="2"/>
    </row>
    <row r="24" customFormat="false" ht="18" hidden="false" customHeight="true" outlineLevel="0" collapsed="false">
      <c r="B24" s="33" t="s">
        <v>940</v>
      </c>
      <c r="C24" s="33" t="s">
        <v>926</v>
      </c>
      <c r="D24" s="33" t="s">
        <v>192</v>
      </c>
      <c r="E24" s="33" t="s">
        <v>941</v>
      </c>
      <c r="F24" s="33" t="s">
        <v>942</v>
      </c>
      <c r="G24" s="33" t="s">
        <v>943</v>
      </c>
      <c r="H24" s="33" t="s">
        <v>944</v>
      </c>
      <c r="I24" s="33" t="s">
        <v>945</v>
      </c>
      <c r="J24" s="33"/>
      <c r="K24" s="33"/>
      <c r="L24" s="33" t="s">
        <v>26</v>
      </c>
      <c r="M24" s="33" t="s">
        <v>246</v>
      </c>
    </row>
    <row r="25" customFormat="false" ht="24" hidden="false" customHeight="true" outlineLevel="0" collapsed="false">
      <c r="B25" s="47" t="n">
        <v>0.05</v>
      </c>
      <c r="C25" s="51" t="n">
        <f aca="false">SUM('3b Moteur'!$D$640:$O$640)</f>
        <v>0</v>
      </c>
      <c r="D25" s="34" t="str">
        <f aca="false">IF(MIN('3b Moteur'!$D$682:$O$682)&gt;=9999999,"-",RIGHT("0"&amp;MONTH(MIN('3b Moteur'!$D$682:$O$682)),2)&amp;"/"&amp;YEAR(MIN('3b Moteur'!$D$682:$O$682)))</f>
        <v>-</v>
      </c>
      <c r="E25" s="47" t="n">
        <f aca="false">MIN('3b Moteur'!$D$673:$O$673)</f>
        <v>0.0206989656092005</v>
      </c>
      <c r="F25" s="60" t="n">
        <f aca="false">SUM('3b Moteur'!$D$997:$O$997)/1000000</f>
        <v>0</v>
      </c>
      <c r="G25" s="60" t="n">
        <f aca="false">SUM('3b Moteur'!$D$997:$O$997)/1000000*Decote</f>
        <v>0</v>
      </c>
      <c r="H25" s="47" t="n">
        <f aca="false">MIN('3b Moteur'!$D$1003:$O$1003)</f>
        <v>0.0206989656092005</v>
      </c>
      <c r="I25" s="61" t="n">
        <f aca="false">IF(OR(D25&lt;&gt;"-",F25&gt;0.000001),B25,9)</f>
        <v>9</v>
      </c>
      <c r="J25" s="34"/>
      <c r="K25" s="34"/>
      <c r="L25" s="34" t="str">
        <f aca="false">IF(OR(D25&lt;&gt;"-",E25&lt;S_poche_rouge),"Rouge",IF(C25&gt;0,"Orange","Vert"))</f>
        <v>Rouge</v>
      </c>
      <c r="M25" s="34" t="s">
        <v>946</v>
      </c>
    </row>
    <row r="26" customFormat="false" ht="24" hidden="false" customHeight="true" outlineLevel="0" collapsed="false">
      <c r="B26" s="47" t="n">
        <v>0.075</v>
      </c>
      <c r="C26" s="51" t="n">
        <f aca="false">SUM('3b Moteur'!$D$706:$O$706)</f>
        <v>4</v>
      </c>
      <c r="D26" s="34" t="str">
        <f aca="false">IF(MIN('3b Moteur'!$D$748:$O$748)&gt;=9999999,"-",RIGHT("0"&amp;MONTH(MIN('3b Moteur'!$D$748:$O$748)),2)&amp;"/"&amp;YEAR(MIN('3b Moteur'!$D$748:$O$748)))</f>
        <v>12/2030</v>
      </c>
      <c r="E26" s="47" t="n">
        <f aca="false">MIN('3b Moteur'!$D$739:$O$739)</f>
        <v>0.0673459198463885</v>
      </c>
      <c r="F26" s="60" t="n">
        <f aca="false">SUM('3b Moteur'!$D$1063:$O$1063)/1000000</f>
        <v>5.8359763474683</v>
      </c>
      <c r="G26" s="60" t="n">
        <f aca="false">SUM('3b Moteur'!$D$1063:$O$1063)/1000000*Decote</f>
        <v>0.58359763474683</v>
      </c>
      <c r="H26" s="47" t="n">
        <f aca="false">MIN('3b Moteur'!$D$1069:$O$1069)</f>
        <v>0</v>
      </c>
      <c r="I26" s="61" t="n">
        <f aca="false">IF(OR(D26&lt;&gt;"-",F26&gt;0.000001),B26,9)</f>
        <v>0.075</v>
      </c>
      <c r="J26" s="34"/>
      <c r="K26" s="34"/>
      <c r="L26" s="34" t="str">
        <f aca="false">IF(OR(D26&lt;&gt;"-",E26&lt;S_poche_rouge),"Rouge",IF(C26&gt;0,"Orange","Vert"))</f>
        <v>Rouge</v>
      </c>
      <c r="M26" s="34"/>
    </row>
    <row r="27" customFormat="false" ht="24" hidden="false" customHeight="true" outlineLevel="0" collapsed="false">
      <c r="B27" s="47" t="n">
        <v>0.1</v>
      </c>
      <c r="C27" s="51" t="n">
        <f aca="false">SUM('3b Moteur'!$D$772:$O$772)</f>
        <v>4</v>
      </c>
      <c r="D27" s="34" t="str">
        <f aca="false">IF(MIN('3b Moteur'!$D$814:$O$814)&gt;=9999999,"-",RIGHT("0"&amp;MONTH(MIN('3b Moteur'!$D$814:$O$814)),2)&amp;"/"&amp;YEAR(MIN('3b Moteur'!$D$814:$O$814)))</f>
        <v>12/2030</v>
      </c>
      <c r="E27" s="47" t="n">
        <f aca="false">MIN('3b Moteur'!$D$805:$O$805)</f>
        <v>0.0673459198463885</v>
      </c>
      <c r="F27" s="60" t="n">
        <f aca="false">SUM('3b Moteur'!$D$1129:$O$1129)/1000000</f>
        <v>12.2397942994197</v>
      </c>
      <c r="G27" s="60" t="n">
        <f aca="false">SUM('3b Moteur'!$D$1129:$O$1129)/1000000*Decote</f>
        <v>1.22397942994197</v>
      </c>
      <c r="H27" s="47" t="n">
        <f aca="false">MIN('3b Moteur'!$D$1135:$O$1135)</f>
        <v>0</v>
      </c>
      <c r="I27" s="61" t="n">
        <f aca="false">IF(OR(D27&lt;&gt;"-",F27&gt;0.000001),B27,9)</f>
        <v>0.1</v>
      </c>
      <c r="J27" s="34"/>
      <c r="K27" s="34"/>
      <c r="L27" s="34" t="str">
        <f aca="false">IF(OR(D27&lt;&gt;"-",E27&lt;S_poche_rouge),"Rouge",IF(C27&gt;0,"Orange","Vert"))</f>
        <v>Rouge</v>
      </c>
      <c r="M27" s="34"/>
    </row>
    <row r="28" customFormat="false" ht="24" hidden="false" customHeight="true" outlineLevel="0" collapsed="false">
      <c r="B28" s="47" t="n">
        <v>0.125</v>
      </c>
      <c r="C28" s="51" t="n">
        <f aca="false">SUM('3b Moteur'!$D$838:$O$838)</f>
        <v>4</v>
      </c>
      <c r="D28" s="34" t="str">
        <f aca="false">IF(MIN('3b Moteur'!$D$880:$O$880)&gt;=9999999,"-",RIGHT("0"&amp;MONTH(MIN('3b Moteur'!$D$880:$O$880)),2)&amp;"/"&amp;YEAR(MIN('3b Moteur'!$D$880:$O$880)))</f>
        <v>12/2030</v>
      </c>
      <c r="E28" s="47" t="n">
        <f aca="false">MIN('3b Moteur'!$D$871:$O$871)</f>
        <v>0.0673459198463885</v>
      </c>
      <c r="F28" s="60" t="n">
        <f aca="false">SUM('3b Moteur'!$D$1195:$O$1195)/1000000</f>
        <v>17.9359215500311</v>
      </c>
      <c r="G28" s="60" t="n">
        <f aca="false">SUM('3b Moteur'!$D$1195:$O$1195)/1000000*Decote</f>
        <v>1.79359215500311</v>
      </c>
      <c r="H28" s="47" t="n">
        <f aca="false">MIN('3b Moteur'!$D$1201:$O$1201)</f>
        <v>0</v>
      </c>
      <c r="I28" s="61" t="n">
        <f aca="false">IF(OR(D28&lt;&gt;"-",F28&gt;0.000001),B28,9)</f>
        <v>0.125</v>
      </c>
      <c r="J28" s="34"/>
      <c r="K28" s="34"/>
      <c r="L28" s="34" t="str">
        <f aca="false">IF(OR(D28&lt;&gt;"-",E28&lt;S_poche_rouge),"Rouge",IF(C28&gt;0,"Orange","Vert"))</f>
        <v>Rouge</v>
      </c>
      <c r="M28" s="34"/>
    </row>
    <row r="29" customFormat="false" ht="24" hidden="false" customHeight="true" outlineLevel="0" collapsed="false">
      <c r="B29" s="47" t="n">
        <v>0.15</v>
      </c>
      <c r="C29" s="51" t="n">
        <f aca="false">SUM('3b Moteur'!$D$904:$O$904)</f>
        <v>4</v>
      </c>
      <c r="D29" s="34" t="str">
        <f aca="false">IF(MIN('3b Moteur'!$D$946:$O$946)&gt;=9999999,"-",RIGHT("0"&amp;MONTH(MIN('3b Moteur'!$D$946:$O$946)),2)&amp;"/"&amp;YEAR(MIN('3b Moteur'!$D$946:$O$946)))</f>
        <v>12/2030</v>
      </c>
      <c r="E29" s="47" t="n">
        <f aca="false">MIN('3b Moteur'!$D$937:$O$937)</f>
        <v>0.0673459198463885</v>
      </c>
      <c r="F29" s="60" t="n">
        <f aca="false">SUM('3b Moteur'!$D$1261:$O$1261)/1000000</f>
        <v>22.9343172048445</v>
      </c>
      <c r="G29" s="60" t="n">
        <f aca="false">SUM('3b Moteur'!$D$1261:$O$1261)/1000000*Decote</f>
        <v>2.29343172048445</v>
      </c>
      <c r="H29" s="47" t="n">
        <f aca="false">MIN('3b Moteur'!$D$1267:$O$1267)</f>
        <v>0</v>
      </c>
      <c r="I29" s="61" t="n">
        <f aca="false">IF(OR(D29&lt;&gt;"-",F29&gt;0.000001),B29,9)</f>
        <v>0.15</v>
      </c>
      <c r="J29" s="34"/>
      <c r="K29" s="34"/>
      <c r="L29" s="34" t="str">
        <f aca="false">IF(OR(D29&lt;&gt;"-",E29&lt;S_poche_rouge),"Rouge",IF(C29&gt;0,"Orange","Vert"))</f>
        <v>Rouge</v>
      </c>
      <c r="M29" s="34"/>
    </row>
    <row r="30" customFormat="false" ht="22.35" hidden="false" customHeight="false" outlineLevel="0" collapsed="false">
      <c r="B30" s="34" t="s">
        <v>947</v>
      </c>
      <c r="C30" s="62" t="n">
        <f aca="false">MIN(I25:I29)</f>
        <v>0.075</v>
      </c>
      <c r="D30" s="34"/>
      <c r="E30" s="34"/>
      <c r="F30" s="34"/>
      <c r="G30" s="34"/>
      <c r="H30" s="34"/>
      <c r="I30" s="34"/>
      <c r="J30" s="34"/>
      <c r="K30" s="34"/>
      <c r="L30" s="34"/>
      <c r="M30" s="34"/>
    </row>
    <row r="31" customFormat="false" ht="15" hidden="false" customHeight="false" outlineLevel="0" collapsed="false">
      <c r="B31" s="34" t="s">
        <v>948</v>
      </c>
      <c r="C31" s="60" t="n">
        <f aca="false">SUMPRODUCT((ABS(B25:B29-C30)&lt;0.00001)*F25:F29)</f>
        <v>5.8359763474683</v>
      </c>
      <c r="D31" s="34"/>
      <c r="E31" s="34"/>
      <c r="F31" s="34"/>
      <c r="G31" s="34"/>
      <c r="H31" s="34"/>
      <c r="I31" s="34"/>
      <c r="J31" s="34"/>
      <c r="K31" s="34"/>
      <c r="L31" s="34"/>
      <c r="M31" s="34"/>
    </row>
    <row r="32" customFormat="false" ht="15" hidden="false" customHeight="false" outlineLevel="0" collapsed="false">
      <c r="B32" s="34" t="s">
        <v>949</v>
      </c>
      <c r="C32" s="47" t="n">
        <f aca="false">E25</f>
        <v>0.0206989656092005</v>
      </c>
      <c r="D32" s="34"/>
      <c r="E32" s="34"/>
      <c r="F32" s="34"/>
      <c r="G32" s="34"/>
      <c r="H32" s="34"/>
      <c r="I32" s="34"/>
      <c r="J32" s="34"/>
      <c r="K32" s="34"/>
      <c r="L32" s="34"/>
      <c r="M32" s="34"/>
    </row>
    <row r="34" customFormat="false" ht="18" hidden="false" customHeight="true" outlineLevel="0" collapsed="false">
      <c r="B34" s="33" t="s">
        <v>950</v>
      </c>
      <c r="C34" s="33" t="s">
        <v>951</v>
      </c>
      <c r="D34" s="33" t="s">
        <v>292</v>
      </c>
      <c r="E34" s="33" t="s">
        <v>928</v>
      </c>
      <c r="F34" s="33" t="s">
        <v>931</v>
      </c>
      <c r="G34" s="33" t="s">
        <v>945</v>
      </c>
      <c r="H34" s="33"/>
      <c r="I34" s="33"/>
      <c r="J34" s="33"/>
      <c r="K34" s="33"/>
      <c r="L34" s="33" t="s">
        <v>26</v>
      </c>
      <c r="M34" s="33" t="s">
        <v>246</v>
      </c>
    </row>
    <row r="35" customFormat="false" ht="21.75" hidden="false" customHeight="true" outlineLevel="0" collapsed="false">
      <c r="B35" s="47" t="n">
        <v>0.075</v>
      </c>
      <c r="C35" s="50" t="n">
        <v>0.15</v>
      </c>
      <c r="D35" s="47" t="n">
        <f aca="false">MIN('3b Moteur'!$D$1333:$O$1333)</f>
        <v>0.13822612035458</v>
      </c>
      <c r="E35" s="60" t="n">
        <f aca="false">MIN('3b Moteur'!$C$1335,'3b Moteur'!$D$1335:$O$1335)</f>
        <v>2.04487878454399</v>
      </c>
      <c r="F35" s="60" t="n">
        <f aca="false">SUM('3b Moteur'!$D$1327:$O$1327)/1000000</f>
        <v>0</v>
      </c>
      <c r="G35" s="61" t="n">
        <f aca="false">IF(D35&lt;Poche_min_exec,B35,9)</f>
        <v>9</v>
      </c>
      <c r="H35" s="34"/>
      <c r="I35" s="34"/>
      <c r="J35" s="34"/>
      <c r="K35" s="34"/>
      <c r="L35" s="34" t="str">
        <f aca="false">IF(OR(D35&lt;S_poche_rouge,E35&lt;S_couv_rouge),"Rouge",IF(OR(D35&lt;Liq_min,E35&lt;S_couv_vert),"Orange","Vert"))</f>
        <v>Orange</v>
      </c>
      <c r="M35" s="34"/>
    </row>
    <row r="36" customFormat="false" ht="21.75" hidden="false" customHeight="true" outlineLevel="0" collapsed="false">
      <c r="B36" s="47" t="n">
        <v>0.125</v>
      </c>
      <c r="C36" s="50" t="n">
        <v>0.25</v>
      </c>
      <c r="D36" s="47" t="n">
        <f aca="false">MIN('3b Moteur'!$D$1399:$O$1399)</f>
        <v>0.0652692554054214</v>
      </c>
      <c r="E36" s="60" t="n">
        <f aca="false">MIN('3b Moteur'!$C$1401,'3b Moteur'!$D$1401:$O$1401)</f>
        <v>1.45182946276751</v>
      </c>
      <c r="F36" s="60" t="n">
        <f aca="false">SUM('3b Moteur'!$D$1393:$O$1393)/1000000</f>
        <v>0</v>
      </c>
      <c r="G36" s="61" t="n">
        <f aca="false">IF(D36&lt;Poche_min_exec,B36,9)</f>
        <v>0.125</v>
      </c>
      <c r="H36" s="34"/>
      <c r="I36" s="34"/>
      <c r="J36" s="34"/>
      <c r="K36" s="34"/>
      <c r="L36" s="34" t="str">
        <f aca="false">IF(OR(D36&lt;S_poche_rouge,E36&lt;S_couv_rouge),"Rouge",IF(OR(D36&lt;Liq_min,E36&lt;S_couv_vert),"Orange","Vert"))</f>
        <v>Orange</v>
      </c>
      <c r="M36" s="34"/>
    </row>
    <row r="37" customFormat="false" ht="21.75" hidden="false" customHeight="true" outlineLevel="0" collapsed="false">
      <c r="B37" s="47" t="n">
        <v>0.175</v>
      </c>
      <c r="C37" s="50" t="n">
        <v>0.35</v>
      </c>
      <c r="D37" s="47" t="n">
        <f aca="false">MIN('3b Moteur'!$D$1465:$O$1465)</f>
        <v>0</v>
      </c>
      <c r="E37" s="60" t="n">
        <f aca="false">MIN('3b Moteur'!$C$1467,'3b Moteur'!$D$1467:$O$1467)</f>
        <v>0.869434041745994</v>
      </c>
      <c r="F37" s="60" t="n">
        <f aca="false">SUM('3b Moteur'!$D$1459:$O$1459)/1000000</f>
        <v>1.28638543610818</v>
      </c>
      <c r="G37" s="61" t="n">
        <f aca="false">IF(D37&lt;Poche_min_exec,B37,9)</f>
        <v>0.175</v>
      </c>
      <c r="H37" s="34"/>
      <c r="I37" s="34"/>
      <c r="J37" s="34"/>
      <c r="K37" s="34"/>
      <c r="L37" s="34" t="str">
        <f aca="false">IF(OR(D37&lt;S_poche_rouge,E37&lt;S_couv_rouge),"Rouge",IF(OR(D37&lt;Liq_min,E37&lt;S_couv_vert),"Orange","Vert"))</f>
        <v>Rouge</v>
      </c>
      <c r="M37" s="34"/>
    </row>
    <row r="38" customFormat="false" ht="21.75" hidden="false" customHeight="true" outlineLevel="0" collapsed="false">
      <c r="B38" s="47" t="n">
        <v>0.225</v>
      </c>
      <c r="C38" s="50" t="n">
        <v>0.45</v>
      </c>
      <c r="D38" s="47" t="n">
        <f aca="false">MIN('3b Moteur'!$D$1531:$O$1531)</f>
        <v>0</v>
      </c>
      <c r="E38" s="60" t="n">
        <f aca="false">MIN('3b Moteur'!$C$1533,'3b Moteur'!$D$1533:$O$1533)</f>
        <v>0.584839301771826</v>
      </c>
      <c r="F38" s="60" t="n">
        <f aca="false">SUM('3b Moteur'!$D$1525:$O$1525)/1000000</f>
        <v>7.04460152214901</v>
      </c>
      <c r="G38" s="61" t="n">
        <f aca="false">IF(D38&lt;Poche_min_exec,B38,9)</f>
        <v>0.225</v>
      </c>
      <c r="H38" s="34"/>
      <c r="I38" s="34"/>
      <c r="J38" s="34"/>
      <c r="K38" s="34"/>
      <c r="L38" s="34" t="str">
        <f aca="false">IF(OR(D38&lt;S_poche_rouge,E38&lt;S_couv_rouge),"Rouge",IF(OR(D38&lt;Liq_min,E38&lt;S_couv_vert),"Orange","Vert"))</f>
        <v>Rouge</v>
      </c>
      <c r="M38" s="34"/>
    </row>
    <row r="39" customFormat="false" ht="21.75" hidden="false" customHeight="true" outlineLevel="0" collapsed="false">
      <c r="B39" s="47" t="n">
        <v>0.45</v>
      </c>
      <c r="C39" s="50" t="n">
        <v>0.45</v>
      </c>
      <c r="D39" s="47" t="n">
        <f aca="false">MIN('3b Moteur'!$D$1597:$O$1597)</f>
        <v>0</v>
      </c>
      <c r="E39" s="60" t="n">
        <f aca="false">MIN('3b Moteur'!$C$1599,'3b Moteur'!$D$1599:$O$1599)</f>
        <v>0.433299975201648</v>
      </c>
      <c r="F39" s="60" t="n">
        <f aca="false">SUM('3b Moteur'!$D$1591:$O$1591)/1000000</f>
        <v>12.6520097534707</v>
      </c>
      <c r="G39" s="61" t="n">
        <f aca="false">IF(D39&lt;Poche_min_exec,B39,9)</f>
        <v>0.45</v>
      </c>
      <c r="H39" s="34"/>
      <c r="I39" s="34"/>
      <c r="J39" s="34"/>
      <c r="K39" s="34"/>
      <c r="L39" s="34" t="str">
        <f aca="false">IF(OR(D39&lt;S_poche_rouge,E39&lt;S_couv_rouge),"Rouge",IF(OR(D39&lt;Liq_min,E39&lt;S_couv_vert),"Orange","Vert"))</f>
        <v>Rouge</v>
      </c>
      <c r="M39" s="34"/>
    </row>
    <row r="40" customFormat="false" ht="22.35" hidden="false" customHeight="false" outlineLevel="0" collapsed="false">
      <c r="B40" s="34" t="s">
        <v>952</v>
      </c>
      <c r="C40" s="62" t="n">
        <f aca="false">MIN(G35:G39)</f>
        <v>0.125</v>
      </c>
      <c r="D40" s="34"/>
      <c r="E40" s="34"/>
      <c r="F40" s="34"/>
      <c r="G40" s="34"/>
      <c r="H40" s="34"/>
      <c r="I40" s="34"/>
      <c r="J40" s="34"/>
      <c r="K40" s="34"/>
      <c r="L40" s="34"/>
      <c r="M40" s="34"/>
    </row>
    <row r="42" customFormat="false" ht="18" hidden="false" customHeight="true" outlineLevel="0" collapsed="false">
      <c r="B42" s="33" t="s">
        <v>953</v>
      </c>
      <c r="C42" s="33" t="s">
        <v>926</v>
      </c>
      <c r="D42" s="33" t="s">
        <v>291</v>
      </c>
      <c r="E42" s="33" t="s">
        <v>927</v>
      </c>
      <c r="F42" s="33" t="s">
        <v>292</v>
      </c>
      <c r="G42" s="33" t="s">
        <v>192</v>
      </c>
      <c r="H42" s="33" t="s">
        <v>931</v>
      </c>
      <c r="I42" s="33" t="s">
        <v>945</v>
      </c>
      <c r="J42" s="33"/>
      <c r="K42" s="33"/>
      <c r="L42" s="33" t="s">
        <v>26</v>
      </c>
      <c r="M42" s="33" t="s">
        <v>246</v>
      </c>
    </row>
    <row r="43" customFormat="false" ht="21.75" hidden="false" customHeight="true" outlineLevel="0" collapsed="false">
      <c r="B43" s="50" t="n">
        <v>0.1</v>
      </c>
      <c r="C43" s="51" t="n">
        <f aca="false">SUM('3b Moteur'!$D$1630:$O$1630)</f>
        <v>2</v>
      </c>
      <c r="D43" s="47" t="n">
        <f aca="false">MAX('3b Moteur'!$D$1664:$O$1664)</f>
        <v>0.0519743563723095</v>
      </c>
      <c r="E43" s="51" t="n">
        <f aca="false">IF(MIN('3b Moteur'!$D$1670:$O$1670)=99,0,IF(MIN('3b Moteur'!$D$1671:$O$1671)=99,99,6*(MIN('3b Moteur'!$D$1671:$O$1671)-MIN('3b Moteur'!$D$1670:$O$1670))))</f>
        <v>12</v>
      </c>
      <c r="F43" s="47" t="n">
        <f aca="false">MIN('3b Moteur'!$D$1663:$O$1663)</f>
        <v>0.0947090876851047</v>
      </c>
      <c r="G43" s="34" t="str">
        <f aca="false">IF(MIN('3b Moteur'!$D$1672:$O$1672)&gt;=9999999,"-",RIGHT("0"&amp;MONTH(MIN('3b Moteur'!$D$1672:$O$1672)),2)&amp;"/"&amp;YEAR(MIN('3b Moteur'!$D$1672:$O$1672)))</f>
        <v>-</v>
      </c>
      <c r="H43" s="60" t="n">
        <f aca="false">SUM('3b Moteur'!$D$1657:$O$1657)/1000000</f>
        <v>0</v>
      </c>
      <c r="I43" s="61" t="n">
        <f aca="false">IF(AND(G43="-",H43&lt;0.000001),B43,0)</f>
        <v>0.1</v>
      </c>
      <c r="J43" s="34"/>
      <c r="K43" s="34"/>
      <c r="L43" s="34" t="str">
        <f aca="false">IF(OR(G43&lt;&gt;"-",E43&gt;S_resorption_rouge),"Rouge",IF(C43&gt;0,"Orange","Vert"))</f>
        <v>Orange</v>
      </c>
      <c r="M43" s="34"/>
    </row>
    <row r="44" customFormat="false" ht="21.75" hidden="false" customHeight="true" outlineLevel="0" collapsed="false">
      <c r="B44" s="50" t="n">
        <v>0.15</v>
      </c>
      <c r="C44" s="51" t="n">
        <f aca="false">SUM('3b Moteur'!$D$1696:$O$1696)</f>
        <v>4</v>
      </c>
      <c r="D44" s="47" t="n">
        <f aca="false">MAX('3b Moteur'!$D$1730:$O$1730)</f>
        <v>0.103948712744619</v>
      </c>
      <c r="E44" s="51" t="n">
        <f aca="false">IF(MIN('3b Moteur'!$D$1736:$O$1736)=99,0,IF(MIN('3b Moteur'!$D$1737:$O$1737)=99,99,6*(MIN('3b Moteur'!$D$1737:$O$1737)-MIN('3b Moteur'!$D$1736:$O$1736))))</f>
        <v>24</v>
      </c>
      <c r="F44" s="47" t="n">
        <f aca="false">MIN('3b Moteur'!$D$1729:$O$1729)</f>
        <v>0.059807345099948</v>
      </c>
      <c r="G44" s="34" t="str">
        <f aca="false">IF(MIN('3b Moteur'!$D$1738:$O$1738)&gt;=9999999,"-",RIGHT("0"&amp;MONTH(MIN('3b Moteur'!$D$1738:$O$1738)),2)&amp;"/"&amp;YEAR(MIN('3b Moteur'!$D$1738:$O$1738)))</f>
        <v>-</v>
      </c>
      <c r="H44" s="60" t="n">
        <f aca="false">SUM('3b Moteur'!$D$1723:$O$1723)/1000000</f>
        <v>0</v>
      </c>
      <c r="I44" s="61" t="n">
        <f aca="false">IF(AND(G44="-",H44&lt;0.000001),B44,0)</f>
        <v>0.15</v>
      </c>
      <c r="J44" s="34"/>
      <c r="K44" s="34"/>
      <c r="L44" s="34" t="str">
        <f aca="false">IF(OR(G44&lt;&gt;"-",E44&gt;S_resorption_rouge),"Rouge",IF(C44&gt;0,"Orange","Vert"))</f>
        <v>Orange</v>
      </c>
      <c r="M44" s="34"/>
    </row>
    <row r="45" customFormat="false" ht="21.75" hidden="false" customHeight="true" outlineLevel="0" collapsed="false">
      <c r="B45" s="50" t="n">
        <v>0.2</v>
      </c>
      <c r="C45" s="51" t="n">
        <f aca="false">SUM('3b Moteur'!$D$1762:$O$1762)</f>
        <v>4</v>
      </c>
      <c r="D45" s="47" t="n">
        <f aca="false">MAX('3b Moteur'!$D$1796:$O$1796)</f>
        <v>0.155923069116928</v>
      </c>
      <c r="E45" s="51" t="n">
        <f aca="false">IF(MIN('3b Moteur'!$D$1802:$O$1802)=99,0,IF(MIN('3b Moteur'!$D$1803:$O$1803)=99,99,6*(MIN('3b Moteur'!$D$1803:$O$1803)-MIN('3b Moteur'!$D$1802:$O$1802))))</f>
        <v>99</v>
      </c>
      <c r="F45" s="47" t="n">
        <f aca="false">MIN('3b Moteur'!$D$1795:$O$1795)</f>
        <v>0.0673459198463885</v>
      </c>
      <c r="G45" s="34" t="str">
        <f aca="false">IF(MIN('3b Moteur'!$D$1804:$O$1804)&gt;=9999999,"-",RIGHT("0"&amp;MONTH(MIN('3b Moteur'!$D$1804:$O$1804)),2)&amp;"/"&amp;YEAR(MIN('3b Moteur'!$D$1804:$O$1804)))</f>
        <v>12/2030</v>
      </c>
      <c r="H45" s="60" t="n">
        <f aca="false">SUM('3b Moteur'!$D$1789:$O$1789)/1000000</f>
        <v>0</v>
      </c>
      <c r="I45" s="61" t="n">
        <f aca="false">IF(AND(G45="-",H45&lt;0.000001),B45,0)</f>
        <v>0</v>
      </c>
      <c r="J45" s="34"/>
      <c r="K45" s="34"/>
      <c r="L45" s="34" t="str">
        <f aca="false">IF(OR(G45&lt;&gt;"-",E45&gt;S_resorption_rouge),"Rouge",IF(C45&gt;0,"Orange","Vert"))</f>
        <v>Rouge</v>
      </c>
      <c r="M45" s="34"/>
    </row>
    <row r="46" customFormat="false" ht="21.75" hidden="false" customHeight="true" outlineLevel="0" collapsed="false">
      <c r="B46" s="50" t="n">
        <v>0.25</v>
      </c>
      <c r="C46" s="51" t="n">
        <f aca="false">SUM('3b Moteur'!$D$1828:$O$1828)</f>
        <v>4</v>
      </c>
      <c r="D46" s="47" t="n">
        <f aca="false">MAX('3b Moteur'!$D$1862:$O$1862)</f>
        <v>0.207897425489238</v>
      </c>
      <c r="E46" s="51" t="n">
        <f aca="false">IF(MIN('3b Moteur'!$D$1868:$O$1868)=99,0,IF(MIN('3b Moteur'!$D$1869:$O$1869)=99,99,6*(MIN('3b Moteur'!$D$1869:$O$1869)-MIN('3b Moteur'!$D$1868:$O$1868))))</f>
        <v>99</v>
      </c>
      <c r="F46" s="47" t="n">
        <f aca="false">MIN('3b Moteur'!$D$1861:$O$1861)</f>
        <v>0.0673459198463885</v>
      </c>
      <c r="G46" s="34" t="str">
        <f aca="false">IF(MIN('3b Moteur'!$D$1870:$O$1870)&gt;=9999999,"-",RIGHT("0"&amp;MONTH(MIN('3b Moteur'!$D$1870:$O$1870)),2)&amp;"/"&amp;YEAR(MIN('3b Moteur'!$D$1870:$O$1870)))</f>
        <v>12/2030</v>
      </c>
      <c r="H46" s="60" t="n">
        <f aca="false">SUM('3b Moteur'!$D$1855:$O$1855)/1000000</f>
        <v>0</v>
      </c>
      <c r="I46" s="61" t="n">
        <f aca="false">IF(AND(G46="-",H46&lt;0.000001),B46,0)</f>
        <v>0</v>
      </c>
      <c r="J46" s="34"/>
      <c r="K46" s="34"/>
      <c r="L46" s="34" t="str">
        <f aca="false">IF(OR(G46&lt;&gt;"-",E46&gt;S_resorption_rouge),"Rouge",IF(C46&gt;0,"Orange","Vert"))</f>
        <v>Rouge</v>
      </c>
      <c r="M46" s="34"/>
    </row>
    <row r="47" customFormat="false" ht="15" hidden="false" customHeight="false" outlineLevel="0" collapsed="false">
      <c r="B47" s="34" t="s">
        <v>954</v>
      </c>
      <c r="C47" s="63" t="n">
        <f aca="false">MAX(I43:I46)</f>
        <v>0.15</v>
      </c>
      <c r="D47" s="34"/>
      <c r="E47" s="34"/>
      <c r="F47" s="34"/>
      <c r="G47" s="34"/>
      <c r="H47" s="34"/>
      <c r="I47" s="34"/>
      <c r="J47" s="34"/>
      <c r="K47" s="34"/>
      <c r="L47" s="34"/>
      <c r="M47" s="34"/>
    </row>
    <row r="49" customFormat="false" ht="39" hidden="false" customHeight="true" outlineLevel="0" collapsed="false">
      <c r="B49" s="21" t="s">
        <v>955</v>
      </c>
      <c r="C49" s="21"/>
      <c r="D49" s="21"/>
      <c r="E49" s="21"/>
      <c r="F49" s="21"/>
      <c r="G49" s="21"/>
      <c r="H49" s="21"/>
      <c r="I49" s="21"/>
      <c r="J49" s="21"/>
      <c r="K49" s="21"/>
      <c r="L49" s="21"/>
      <c r="M49" s="21"/>
    </row>
  </sheetData>
  <mergeCells count="2">
    <mergeCell ref="B21:M21"/>
    <mergeCell ref="B49:M49"/>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D18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0" min="3" style="0" width="11"/>
  </cols>
  <sheetData>
    <row r="2" customFormat="false" ht="15" hidden="false" customHeight="false" outlineLevel="0" collapsed="false">
      <c r="B2" s="31" t="s">
        <v>956</v>
      </c>
    </row>
    <row r="3" customFormat="false" ht="15" hidden="false" customHeight="false" outlineLevel="0" collapsed="false">
      <c r="B3" s="32" t="s">
        <v>957</v>
      </c>
    </row>
    <row r="5" customFormat="false" ht="60" hidden="false" customHeight="true" outlineLevel="0" collapsed="false">
      <c r="B5" s="64" t="s">
        <v>958</v>
      </c>
      <c r="C5" s="33" t="s">
        <v>959</v>
      </c>
      <c r="D5" s="33" t="s">
        <v>960</v>
      </c>
      <c r="E5" s="33" t="s">
        <v>961</v>
      </c>
      <c r="F5" s="33" t="s">
        <v>962</v>
      </c>
      <c r="G5" s="33" t="s">
        <v>963</v>
      </c>
      <c r="H5" s="33" t="s">
        <v>964</v>
      </c>
      <c r="I5" s="33" t="s">
        <v>965</v>
      </c>
      <c r="J5" s="33" t="s">
        <v>966</v>
      </c>
      <c r="K5" s="33" t="s">
        <v>967</v>
      </c>
      <c r="L5" s="33" t="s">
        <v>968</v>
      </c>
      <c r="M5" s="33" t="s">
        <v>969</v>
      </c>
      <c r="N5" s="33" t="s">
        <v>970</v>
      </c>
      <c r="O5" s="33" t="s">
        <v>971</v>
      </c>
      <c r="P5" s="33" t="s">
        <v>972</v>
      </c>
      <c r="Q5" s="33" t="s">
        <v>973</v>
      </c>
      <c r="R5" s="33" t="s">
        <v>974</v>
      </c>
      <c r="S5" s="33" t="s">
        <v>975</v>
      </c>
      <c r="T5" s="33" t="s">
        <v>976</v>
      </c>
      <c r="U5" s="33" t="s">
        <v>977</v>
      </c>
      <c r="V5" s="33" t="s">
        <v>978</v>
      </c>
      <c r="W5" s="33" t="s">
        <v>979</v>
      </c>
      <c r="X5" s="33" t="s">
        <v>980</v>
      </c>
      <c r="Y5" s="33" t="s">
        <v>981</v>
      </c>
      <c r="Z5" s="33" t="s">
        <v>982</v>
      </c>
      <c r="AA5" s="33" t="s">
        <v>983</v>
      </c>
      <c r="AB5" s="33" t="s">
        <v>984</v>
      </c>
      <c r="AC5" s="33" t="s">
        <v>985</v>
      </c>
      <c r="AD5" s="33" t="s">
        <v>986</v>
      </c>
    </row>
    <row r="6" customFormat="false" ht="15" hidden="false" customHeight="false" outlineLevel="0" collapsed="false">
      <c r="B6" s="65" t="s">
        <v>987</v>
      </c>
      <c r="C6" s="66" t="n">
        <f aca="false">Rachats_norm</f>
        <v>0.02</v>
      </c>
      <c r="D6" s="66" t="n">
        <v>0.1</v>
      </c>
      <c r="E6" s="66" t="n">
        <v>0.15</v>
      </c>
      <c r="F6" s="66" t="n">
        <f aca="false">Top5+Rachats_norm</f>
        <v>0.37</v>
      </c>
      <c r="G6" s="66" t="n">
        <f aca="false">Rachats_norm</f>
        <v>0.02</v>
      </c>
      <c r="H6" s="66" t="n">
        <f aca="false">Rachats_norm</f>
        <v>0.02</v>
      </c>
      <c r="I6" s="66" t="n">
        <f aca="false">Rachats_norm</f>
        <v>0.02</v>
      </c>
      <c r="J6" s="66" t="n">
        <v>0.15</v>
      </c>
      <c r="K6" s="66" t="n">
        <f aca="false">Rachats_norm</f>
        <v>0.02</v>
      </c>
      <c r="L6" s="66" t="n">
        <v>0.05</v>
      </c>
      <c r="M6" s="66" t="n">
        <v>0.075</v>
      </c>
      <c r="N6" s="66" t="n">
        <v>0.1</v>
      </c>
      <c r="O6" s="66" t="n">
        <v>0.125</v>
      </c>
      <c r="P6" s="66" t="n">
        <v>0.15</v>
      </c>
      <c r="Q6" s="66" t="n">
        <v>0.05</v>
      </c>
      <c r="R6" s="66" t="n">
        <v>0.075</v>
      </c>
      <c r="S6" s="66" t="n">
        <v>0.1</v>
      </c>
      <c r="T6" s="66" t="n">
        <v>0.125</v>
      </c>
      <c r="U6" s="66" t="n">
        <v>0.15</v>
      </c>
      <c r="V6" s="66" t="n">
        <f aca="false">Rachats_norm</f>
        <v>0.02</v>
      </c>
      <c r="W6" s="66" t="n">
        <f aca="false">Rachats_norm</f>
        <v>0.02</v>
      </c>
      <c r="X6" s="66" t="n">
        <f aca="false">Rachats_norm</f>
        <v>0.02</v>
      </c>
      <c r="Y6" s="66" t="n">
        <f aca="false">Rachats_norm</f>
        <v>0.02</v>
      </c>
      <c r="Z6" s="66" t="n">
        <f aca="false">Rachats_norm</f>
        <v>0.02</v>
      </c>
      <c r="AA6" s="66" t="n">
        <v>0.1</v>
      </c>
      <c r="AB6" s="66" t="n">
        <v>0.15</v>
      </c>
      <c r="AC6" s="66" t="n">
        <v>0.2</v>
      </c>
      <c r="AD6" s="66" t="n">
        <v>0.25</v>
      </c>
    </row>
    <row r="7" customFormat="false" ht="15" hidden="false" customHeight="false" outlineLevel="0" collapsed="false">
      <c r="B7" s="65" t="s">
        <v>988</v>
      </c>
      <c r="C7" s="66" t="n">
        <f aca="false">Rachats_norm</f>
        <v>0.02</v>
      </c>
      <c r="D7" s="66" t="n">
        <v>0.1</v>
      </c>
      <c r="E7" s="66" t="n">
        <v>0.2</v>
      </c>
      <c r="F7" s="66" t="n">
        <f aca="false">Rachats_norm</f>
        <v>0.02</v>
      </c>
      <c r="G7" s="66" t="n">
        <f aca="false">Rachats_norm</f>
        <v>0.02</v>
      </c>
      <c r="H7" s="66" t="n">
        <f aca="false">Rachats_norm</f>
        <v>0.02</v>
      </c>
      <c r="I7" s="66" t="n">
        <f aca="false">Rachats_norm</f>
        <v>0.02</v>
      </c>
      <c r="J7" s="66" t="n">
        <v>0.2</v>
      </c>
      <c r="K7" s="66" t="n">
        <f aca="false">Rachats_norm</f>
        <v>0.02</v>
      </c>
      <c r="L7" s="66" t="n">
        <v>0.05</v>
      </c>
      <c r="M7" s="66" t="n">
        <v>0.075</v>
      </c>
      <c r="N7" s="66" t="n">
        <v>0.1</v>
      </c>
      <c r="O7" s="66" t="n">
        <v>0.125</v>
      </c>
      <c r="P7" s="66" t="n">
        <v>0.15</v>
      </c>
      <c r="Q7" s="66" t="n">
        <v>0.05</v>
      </c>
      <c r="R7" s="66" t="n">
        <v>0.075</v>
      </c>
      <c r="S7" s="66" t="n">
        <v>0.1</v>
      </c>
      <c r="T7" s="66" t="n">
        <v>0.125</v>
      </c>
      <c r="U7" s="66" t="n">
        <v>0.15</v>
      </c>
      <c r="V7" s="66" t="n">
        <f aca="false">Rachats_norm</f>
        <v>0.02</v>
      </c>
      <c r="W7" s="66" t="n">
        <f aca="false">Rachats_norm</f>
        <v>0.02</v>
      </c>
      <c r="X7" s="66" t="n">
        <f aca="false">Rachats_norm</f>
        <v>0.02</v>
      </c>
      <c r="Y7" s="66" t="n">
        <f aca="false">Rachats_norm</f>
        <v>0.02</v>
      </c>
      <c r="Z7" s="66" t="n">
        <f aca="false">Rachats_norm</f>
        <v>0.02</v>
      </c>
      <c r="AA7" s="66" t="n">
        <f aca="false">Rachats_norm</f>
        <v>0.02</v>
      </c>
      <c r="AB7" s="66" t="n">
        <f aca="false">Rachats_norm</f>
        <v>0.02</v>
      </c>
      <c r="AC7" s="66" t="n">
        <f aca="false">Rachats_norm</f>
        <v>0.02</v>
      </c>
      <c r="AD7" s="66" t="n">
        <f aca="false">Rachats_norm</f>
        <v>0.02</v>
      </c>
    </row>
    <row r="8" customFormat="false" ht="15" hidden="false" customHeight="false" outlineLevel="0" collapsed="false">
      <c r="B8" s="65" t="s">
        <v>989</v>
      </c>
      <c r="C8" s="66" t="n">
        <f aca="false">Rachats_norm</f>
        <v>0.02</v>
      </c>
      <c r="D8" s="66" t="n">
        <v>0</v>
      </c>
      <c r="E8" s="66" t="n">
        <v>0</v>
      </c>
      <c r="F8" s="66" t="n">
        <f aca="false">Rachats_norm</f>
        <v>0.02</v>
      </c>
      <c r="G8" s="66" t="n">
        <f aca="false">Rachats_norm</f>
        <v>0.02</v>
      </c>
      <c r="H8" s="66" t="n">
        <f aca="false">Rachats_norm</f>
        <v>0.02</v>
      </c>
      <c r="I8" s="66" t="n">
        <f aca="false">Rachats_norm</f>
        <v>0.02</v>
      </c>
      <c r="J8" s="66" t="n">
        <v>0</v>
      </c>
      <c r="K8" s="66" t="n">
        <f aca="false">Rachats_norm</f>
        <v>0.02</v>
      </c>
      <c r="L8" s="66" t="n">
        <v>0.05</v>
      </c>
      <c r="M8" s="66" t="n">
        <v>0.075</v>
      </c>
      <c r="N8" s="66" t="n">
        <v>0.1</v>
      </c>
      <c r="O8" s="66" t="n">
        <v>0.125</v>
      </c>
      <c r="P8" s="66" t="n">
        <v>0.15</v>
      </c>
      <c r="Q8" s="66" t="n">
        <v>0.05</v>
      </c>
      <c r="R8" s="66" t="n">
        <v>0.075</v>
      </c>
      <c r="S8" s="66" t="n">
        <v>0.1</v>
      </c>
      <c r="T8" s="66" t="n">
        <v>0.125</v>
      </c>
      <c r="U8" s="66" t="n">
        <v>0.15</v>
      </c>
      <c r="V8" s="66" t="n">
        <f aca="false">Rachats_norm</f>
        <v>0.02</v>
      </c>
      <c r="W8" s="66" t="n">
        <f aca="false">Rachats_norm</f>
        <v>0.02</v>
      </c>
      <c r="X8" s="66" t="n">
        <f aca="false">Rachats_norm</f>
        <v>0.02</v>
      </c>
      <c r="Y8" s="66" t="n">
        <f aca="false">Rachats_norm</f>
        <v>0.02</v>
      </c>
      <c r="Z8" s="66" t="n">
        <f aca="false">Rachats_norm</f>
        <v>0.02</v>
      </c>
      <c r="AA8" s="66" t="n">
        <f aca="false">Rachats_norm</f>
        <v>0.02</v>
      </c>
      <c r="AB8" s="66" t="n">
        <f aca="false">Rachats_norm</f>
        <v>0.02</v>
      </c>
      <c r="AC8" s="66" t="n">
        <f aca="false">Rachats_norm</f>
        <v>0.02</v>
      </c>
      <c r="AD8" s="66" t="n">
        <f aca="false">Rachats_norm</f>
        <v>0.02</v>
      </c>
    </row>
    <row r="9" customFormat="false" ht="15" hidden="false" customHeight="false" outlineLevel="0" collapsed="false">
      <c r="B9" s="65" t="s">
        <v>990</v>
      </c>
      <c r="C9" s="66" t="n">
        <f aca="false">Collecte_norm</f>
        <v>0.05</v>
      </c>
      <c r="D9" s="66" t="n">
        <v>0</v>
      </c>
      <c r="E9" s="66" t="n">
        <v>0</v>
      </c>
      <c r="F9" s="66" t="n">
        <v>0</v>
      </c>
      <c r="G9" s="66" t="n">
        <v>0</v>
      </c>
      <c r="H9" s="66" t="n">
        <v>0</v>
      </c>
      <c r="I9" s="66" t="n">
        <v>0</v>
      </c>
      <c r="J9" s="66" t="n">
        <v>0</v>
      </c>
      <c r="K9" s="66" t="n">
        <v>0</v>
      </c>
      <c r="L9" s="66" t="n">
        <v>0</v>
      </c>
      <c r="M9" s="66" t="n">
        <v>0</v>
      </c>
      <c r="N9" s="66" t="n">
        <v>0</v>
      </c>
      <c r="O9" s="66" t="n">
        <v>0</v>
      </c>
      <c r="P9" s="66" t="n">
        <v>0</v>
      </c>
      <c r="Q9" s="66" t="n">
        <v>0</v>
      </c>
      <c r="R9" s="66" t="n">
        <v>0</v>
      </c>
      <c r="S9" s="66" t="n">
        <v>0</v>
      </c>
      <c r="T9" s="66" t="n">
        <v>0</v>
      </c>
      <c r="U9" s="66" t="n">
        <v>0</v>
      </c>
      <c r="V9" s="66" t="n">
        <v>0</v>
      </c>
      <c r="W9" s="66" t="n">
        <v>0</v>
      </c>
      <c r="X9" s="66" t="n">
        <v>0</v>
      </c>
      <c r="Y9" s="66" t="n">
        <v>0</v>
      </c>
      <c r="Z9" s="66" t="n">
        <v>0</v>
      </c>
      <c r="AA9" s="66" t="n">
        <v>0</v>
      </c>
      <c r="AB9" s="66" t="n">
        <v>0</v>
      </c>
      <c r="AC9" s="66" t="n">
        <v>0</v>
      </c>
      <c r="AD9" s="66" t="n">
        <v>0</v>
      </c>
    </row>
    <row r="10" customFormat="false" ht="15" hidden="false" customHeight="false" outlineLevel="0" collapsed="false">
      <c r="B10" s="65" t="s">
        <v>991</v>
      </c>
      <c r="C10" s="67" t="n">
        <v>1</v>
      </c>
      <c r="D10" s="67" t="n">
        <v>1</v>
      </c>
      <c r="E10" s="67" t="n">
        <v>1</v>
      </c>
      <c r="F10" s="67" t="n">
        <v>1</v>
      </c>
      <c r="G10" s="67" t="n">
        <v>0.5</v>
      </c>
      <c r="H10" s="67" t="n">
        <v>1</v>
      </c>
      <c r="I10" s="67" t="n">
        <v>1</v>
      </c>
      <c r="J10" s="67" t="n">
        <v>0.5</v>
      </c>
      <c r="K10" s="67" t="n">
        <v>1</v>
      </c>
      <c r="L10" s="67" t="n">
        <v>1</v>
      </c>
      <c r="M10" s="67" t="n">
        <v>1</v>
      </c>
      <c r="N10" s="67" t="n">
        <v>1</v>
      </c>
      <c r="O10" s="67" t="n">
        <v>1</v>
      </c>
      <c r="P10" s="67" t="n">
        <v>1</v>
      </c>
      <c r="Q10" s="67" t="n">
        <v>1</v>
      </c>
      <c r="R10" s="67" t="n">
        <v>1</v>
      </c>
      <c r="S10" s="67" t="n">
        <v>1</v>
      </c>
      <c r="T10" s="67" t="n">
        <v>1</v>
      </c>
      <c r="U10" s="67" t="n">
        <v>1</v>
      </c>
      <c r="V10" s="67" t="n">
        <v>1</v>
      </c>
      <c r="W10" s="67" t="n">
        <v>1</v>
      </c>
      <c r="X10" s="67" t="n">
        <v>1</v>
      </c>
      <c r="Y10" s="67" t="n">
        <v>1</v>
      </c>
      <c r="Z10" s="67" t="n">
        <v>1</v>
      </c>
      <c r="AA10" s="67" t="n">
        <v>1</v>
      </c>
      <c r="AB10" s="67" t="n">
        <v>1</v>
      </c>
      <c r="AC10" s="67" t="n">
        <v>1</v>
      </c>
      <c r="AD10" s="67" t="n">
        <v>1</v>
      </c>
    </row>
    <row r="11" customFormat="false" ht="15" hidden="false" customHeight="false" outlineLevel="0" collapsed="false">
      <c r="B11" s="65" t="s">
        <v>992</v>
      </c>
      <c r="C11" s="67" t="n">
        <v>0</v>
      </c>
      <c r="D11" s="67" t="n">
        <v>0</v>
      </c>
      <c r="E11" s="67" t="n">
        <v>0</v>
      </c>
      <c r="F11" s="67" t="n">
        <v>0</v>
      </c>
      <c r="G11" s="67" t="n">
        <v>4</v>
      </c>
      <c r="H11" s="67" t="n">
        <v>0</v>
      </c>
      <c r="I11" s="67" t="n">
        <v>0</v>
      </c>
      <c r="J11" s="67" t="n">
        <v>4</v>
      </c>
      <c r="K11" s="67" t="n">
        <v>0</v>
      </c>
      <c r="L11" s="67" t="n">
        <v>0</v>
      </c>
      <c r="M11" s="67" t="n">
        <v>0</v>
      </c>
      <c r="N11" s="67" t="n">
        <v>0</v>
      </c>
      <c r="O11" s="67" t="n">
        <v>0</v>
      </c>
      <c r="P11" s="67" t="n">
        <v>0</v>
      </c>
      <c r="Q11" s="67" t="n">
        <v>0</v>
      </c>
      <c r="R11" s="67" t="n">
        <v>0</v>
      </c>
      <c r="S11" s="67" t="n">
        <v>0</v>
      </c>
      <c r="T11" s="67" t="n">
        <v>0</v>
      </c>
      <c r="U11" s="67" t="n">
        <v>0</v>
      </c>
      <c r="V11" s="67" t="n">
        <v>0</v>
      </c>
      <c r="W11" s="67" t="n">
        <v>0</v>
      </c>
      <c r="X11" s="67" t="n">
        <v>0</v>
      </c>
      <c r="Y11" s="67" t="n">
        <v>0</v>
      </c>
      <c r="Z11" s="67" t="n">
        <v>0</v>
      </c>
      <c r="AA11" s="67" t="n">
        <v>0</v>
      </c>
      <c r="AB11" s="67" t="n">
        <v>0</v>
      </c>
      <c r="AC11" s="67" t="n">
        <v>0</v>
      </c>
      <c r="AD11" s="67" t="n">
        <v>0</v>
      </c>
    </row>
    <row r="12" customFormat="false" ht="15" hidden="false" customHeight="false" outlineLevel="0" collapsed="false">
      <c r="B12" s="65" t="s">
        <v>993</v>
      </c>
      <c r="C12" s="66" t="n">
        <f aca="false">NA_depart</f>
        <v>0.15</v>
      </c>
      <c r="D12" s="66" t="n">
        <f aca="false">NA_depart</f>
        <v>0.15</v>
      </c>
      <c r="E12" s="66" t="n">
        <f aca="false">NA_depart</f>
        <v>0.15</v>
      </c>
      <c r="F12" s="66" t="n">
        <f aca="false">NA_depart</f>
        <v>0.15</v>
      </c>
      <c r="G12" s="66" t="n">
        <f aca="false">NA_depart</f>
        <v>0.15</v>
      </c>
      <c r="H12" s="66" t="n">
        <f aca="false">NA_depart</f>
        <v>0.15</v>
      </c>
      <c r="I12" s="66" t="n">
        <f aca="false">NA_depart</f>
        <v>0.15</v>
      </c>
      <c r="J12" s="66" t="n">
        <f aca="false">NA_depart</f>
        <v>0.15</v>
      </c>
      <c r="K12" s="66" t="n">
        <f aca="false">NA_depart</f>
        <v>0.15</v>
      </c>
      <c r="L12" s="66" t="n">
        <f aca="false">NA_depart</f>
        <v>0.15</v>
      </c>
      <c r="M12" s="66" t="n">
        <f aca="false">NA_depart</f>
        <v>0.15</v>
      </c>
      <c r="N12" s="66" t="n">
        <f aca="false">NA_depart</f>
        <v>0.15</v>
      </c>
      <c r="O12" s="66" t="n">
        <f aca="false">NA_depart</f>
        <v>0.15</v>
      </c>
      <c r="P12" s="66" t="n">
        <f aca="false">NA_depart</f>
        <v>0.15</v>
      </c>
      <c r="Q12" s="66" t="n">
        <f aca="false">NA_depart</f>
        <v>0.15</v>
      </c>
      <c r="R12" s="66" t="n">
        <f aca="false">NA_depart</f>
        <v>0.15</v>
      </c>
      <c r="S12" s="66" t="n">
        <f aca="false">NA_depart</f>
        <v>0.15</v>
      </c>
      <c r="T12" s="66" t="n">
        <f aca="false">NA_depart</f>
        <v>0.15</v>
      </c>
      <c r="U12" s="66" t="n">
        <f aca="false">NA_depart</f>
        <v>0.15</v>
      </c>
      <c r="V12" s="66" t="n">
        <v>0.15</v>
      </c>
      <c r="W12" s="66" t="n">
        <v>0.25</v>
      </c>
      <c r="X12" s="66" t="n">
        <v>0.35</v>
      </c>
      <c r="Y12" s="66" t="n">
        <v>0.45</v>
      </c>
      <c r="Z12" s="66" t="n">
        <v>0.45</v>
      </c>
      <c r="AA12" s="66" t="n">
        <f aca="false">NA_depart</f>
        <v>0.15</v>
      </c>
      <c r="AB12" s="66" t="n">
        <f aca="false">NA_depart</f>
        <v>0.15</v>
      </c>
      <c r="AC12" s="66" t="n">
        <f aca="false">NA_depart</f>
        <v>0.15</v>
      </c>
      <c r="AD12" s="66" t="n">
        <f aca="false">NA_depart</f>
        <v>0.15</v>
      </c>
    </row>
    <row r="13" customFormat="false" ht="15" hidden="false" customHeight="false" outlineLevel="0" collapsed="false">
      <c r="B13" s="65" t="s">
        <v>994</v>
      </c>
      <c r="C13" s="68" t="n">
        <f aca="false">1/3</f>
        <v>0.333333333333333</v>
      </c>
      <c r="D13" s="68" t="n">
        <f aca="false">1/3</f>
        <v>0.333333333333333</v>
      </c>
      <c r="E13" s="68" t="n">
        <f aca="false">1/3</f>
        <v>0.333333333333333</v>
      </c>
      <c r="F13" s="68" t="n">
        <f aca="false">1/3</f>
        <v>0.333333333333333</v>
      </c>
      <c r="G13" s="68" t="n">
        <f aca="false">1/3</f>
        <v>0.333333333333333</v>
      </c>
      <c r="H13" s="68" t="n">
        <v>0.5</v>
      </c>
      <c r="I13" s="68" t="n">
        <f aca="false">1/3</f>
        <v>0.333333333333333</v>
      </c>
      <c r="J13" s="68" t="n">
        <v>0.5</v>
      </c>
      <c r="K13" s="68" t="n">
        <f aca="false">1/3</f>
        <v>0.333333333333333</v>
      </c>
      <c r="L13" s="68" t="n">
        <f aca="false">1/3</f>
        <v>0.333333333333333</v>
      </c>
      <c r="M13" s="68" t="n">
        <f aca="false">1/3</f>
        <v>0.333333333333333</v>
      </c>
      <c r="N13" s="68" t="n">
        <f aca="false">1/3</f>
        <v>0.333333333333333</v>
      </c>
      <c r="O13" s="68" t="n">
        <f aca="false">1/3</f>
        <v>0.333333333333333</v>
      </c>
      <c r="P13" s="68" t="n">
        <f aca="false">1/3</f>
        <v>0.333333333333333</v>
      </c>
      <c r="Q13" s="68" t="n">
        <f aca="false">1/3</f>
        <v>0.333333333333333</v>
      </c>
      <c r="R13" s="68" t="n">
        <f aca="false">1/3</f>
        <v>0.333333333333333</v>
      </c>
      <c r="S13" s="68" t="n">
        <f aca="false">1/3</f>
        <v>0.333333333333333</v>
      </c>
      <c r="T13" s="68" t="n">
        <f aca="false">1/3</f>
        <v>0.333333333333333</v>
      </c>
      <c r="U13" s="68" t="n">
        <f aca="false">1/3</f>
        <v>0.333333333333333</v>
      </c>
      <c r="V13" s="68" t="n">
        <v>0.5</v>
      </c>
      <c r="W13" s="68" t="n">
        <v>0.5</v>
      </c>
      <c r="X13" s="68" t="n">
        <v>0.5</v>
      </c>
      <c r="Y13" s="68" t="n">
        <v>0.5</v>
      </c>
      <c r="Z13" s="68" t="n">
        <v>1</v>
      </c>
      <c r="AA13" s="68" t="n">
        <f aca="false">1/3</f>
        <v>0.333333333333333</v>
      </c>
      <c r="AB13" s="68" t="n">
        <f aca="false">1/3</f>
        <v>0.333333333333333</v>
      </c>
      <c r="AC13" s="68" t="n">
        <f aca="false">1/3</f>
        <v>0.333333333333333</v>
      </c>
      <c r="AD13" s="68" t="n">
        <f aca="false">1/3</f>
        <v>0.333333333333333</v>
      </c>
    </row>
    <row r="14" customFormat="false" ht="15" hidden="false" customHeight="false" outlineLevel="0" collapsed="false">
      <c r="B14" s="65" t="s">
        <v>995</v>
      </c>
      <c r="C14" s="66" t="n">
        <v>0</v>
      </c>
      <c r="D14" s="66" t="n">
        <v>0</v>
      </c>
      <c r="E14" s="66" t="n">
        <v>0</v>
      </c>
      <c r="F14" s="66" t="n">
        <v>0</v>
      </c>
      <c r="G14" s="66" t="n">
        <v>0</v>
      </c>
      <c r="H14" s="66" t="n">
        <f aca="false">Choc_usd</f>
        <v>0.15</v>
      </c>
      <c r="I14" s="66" t="n">
        <f aca="false">-Choc_usd</f>
        <v>-0.15</v>
      </c>
      <c r="J14" s="66" t="n">
        <v>0</v>
      </c>
      <c r="K14" s="66" t="n">
        <v>0</v>
      </c>
      <c r="L14" s="66" t="n">
        <v>0</v>
      </c>
      <c r="M14" s="66" t="n">
        <v>0</v>
      </c>
      <c r="N14" s="66" t="n">
        <v>0</v>
      </c>
      <c r="O14" s="66" t="n">
        <v>0</v>
      </c>
      <c r="P14" s="66" t="n">
        <v>0</v>
      </c>
      <c r="Q14" s="66" t="n">
        <v>0</v>
      </c>
      <c r="R14" s="66" t="n">
        <v>0</v>
      </c>
      <c r="S14" s="66" t="n">
        <v>0</v>
      </c>
      <c r="T14" s="66" t="n">
        <v>0</v>
      </c>
      <c r="U14" s="66" t="n">
        <v>0</v>
      </c>
      <c r="V14" s="66" t="n">
        <v>0</v>
      </c>
      <c r="W14" s="66" t="n">
        <v>0</v>
      </c>
      <c r="X14" s="66" t="n">
        <v>0</v>
      </c>
      <c r="Y14" s="66" t="n">
        <v>0</v>
      </c>
      <c r="Z14" s="66" t="n">
        <v>0</v>
      </c>
      <c r="AA14" s="66" t="n">
        <v>0</v>
      </c>
      <c r="AB14" s="66" t="n">
        <v>0</v>
      </c>
      <c r="AC14" s="66" t="n">
        <v>0</v>
      </c>
      <c r="AD14" s="66" t="n">
        <v>0</v>
      </c>
    </row>
    <row r="15" customFormat="false" ht="15" hidden="false" customHeight="false" outlineLevel="0" collapsed="false">
      <c r="B15" s="65" t="s">
        <v>996</v>
      </c>
      <c r="C15" s="66" t="n">
        <v>0</v>
      </c>
      <c r="D15" s="66" t="n">
        <v>0</v>
      </c>
      <c r="E15" s="66" t="n">
        <v>0</v>
      </c>
      <c r="F15" s="66" t="n">
        <v>0</v>
      </c>
      <c r="G15" s="66" t="n">
        <v>0</v>
      </c>
      <c r="H15" s="66" t="n">
        <v>0</v>
      </c>
      <c r="I15" s="66" t="n">
        <f aca="false">Choc_cap</f>
        <v>0.2</v>
      </c>
      <c r="J15" s="66" t="n">
        <v>0</v>
      </c>
      <c r="K15" s="66" t="n">
        <v>0</v>
      </c>
      <c r="L15" s="66" t="n">
        <v>0</v>
      </c>
      <c r="M15" s="66" t="n">
        <v>0</v>
      </c>
      <c r="N15" s="66" t="n">
        <v>0</v>
      </c>
      <c r="O15" s="66" t="n">
        <v>0</v>
      </c>
      <c r="P15" s="66" t="n">
        <v>0</v>
      </c>
      <c r="Q15" s="66" t="n">
        <v>0</v>
      </c>
      <c r="R15" s="66" t="n">
        <v>0</v>
      </c>
      <c r="S15" s="66" t="n">
        <v>0</v>
      </c>
      <c r="T15" s="66" t="n">
        <v>0</v>
      </c>
      <c r="U15" s="66" t="n">
        <v>0</v>
      </c>
      <c r="V15" s="66" t="n">
        <v>0</v>
      </c>
      <c r="W15" s="66" t="n">
        <v>0</v>
      </c>
      <c r="X15" s="66" t="n">
        <v>0</v>
      </c>
      <c r="Y15" s="66" t="n">
        <v>0</v>
      </c>
      <c r="Z15" s="66" t="n">
        <v>0</v>
      </c>
      <c r="AA15" s="66" t="n">
        <v>0</v>
      </c>
      <c r="AB15" s="66" t="n">
        <v>0</v>
      </c>
      <c r="AC15" s="66" t="n">
        <v>0</v>
      </c>
      <c r="AD15" s="66" t="n">
        <v>0</v>
      </c>
    </row>
    <row r="16" customFormat="false" ht="15" hidden="false" customHeight="false" outlineLevel="0" collapsed="false">
      <c r="B16" s="65" t="s">
        <v>997</v>
      </c>
      <c r="C16" s="66" t="n">
        <v>0</v>
      </c>
      <c r="D16" s="66" t="n">
        <v>0</v>
      </c>
      <c r="E16" s="66" t="n">
        <v>0</v>
      </c>
      <c r="F16" s="66" t="n">
        <v>0</v>
      </c>
      <c r="G16" s="66" t="n">
        <v>0</v>
      </c>
      <c r="H16" s="66" t="n">
        <v>0</v>
      </c>
      <c r="I16" s="66" t="n">
        <f aca="false">Choc_dette</f>
        <v>0.1</v>
      </c>
      <c r="J16" s="66" t="n">
        <v>0</v>
      </c>
      <c r="K16" s="66" t="n">
        <v>0</v>
      </c>
      <c r="L16" s="66" t="n">
        <v>0</v>
      </c>
      <c r="M16" s="66" t="n">
        <v>0</v>
      </c>
      <c r="N16" s="66" t="n">
        <v>0</v>
      </c>
      <c r="O16" s="66" t="n">
        <v>0</v>
      </c>
      <c r="P16" s="66" t="n">
        <v>0</v>
      </c>
      <c r="Q16" s="66" t="n">
        <v>0</v>
      </c>
      <c r="R16" s="66" t="n">
        <v>0</v>
      </c>
      <c r="S16" s="66" t="n">
        <v>0</v>
      </c>
      <c r="T16" s="66" t="n">
        <v>0</v>
      </c>
      <c r="U16" s="66" t="n">
        <v>0</v>
      </c>
      <c r="V16" s="66" t="n">
        <v>0</v>
      </c>
      <c r="W16" s="66" t="n">
        <v>0</v>
      </c>
      <c r="X16" s="66" t="n">
        <v>0</v>
      </c>
      <c r="Y16" s="66" t="n">
        <v>0</v>
      </c>
      <c r="Z16" s="66" t="n">
        <v>0</v>
      </c>
      <c r="AA16" s="66" t="n">
        <v>0</v>
      </c>
      <c r="AB16" s="66" t="n">
        <v>0</v>
      </c>
      <c r="AC16" s="66" t="n">
        <v>0</v>
      </c>
      <c r="AD16" s="66" t="n">
        <v>0</v>
      </c>
    </row>
    <row r="17" customFormat="false" ht="15" hidden="false" customHeight="false" outlineLevel="0" collapsed="false">
      <c r="B17" s="65" t="s">
        <v>998</v>
      </c>
      <c r="C17" s="67" t="n">
        <v>1</v>
      </c>
      <c r="D17" s="67" t="n">
        <v>1</v>
      </c>
      <c r="E17" s="67" t="n">
        <v>1</v>
      </c>
      <c r="F17" s="67" t="n">
        <v>1</v>
      </c>
      <c r="G17" s="67" t="n">
        <v>1</v>
      </c>
      <c r="H17" s="67" t="n">
        <v>1</v>
      </c>
      <c r="I17" s="67" t="n">
        <v>1</v>
      </c>
      <c r="J17" s="67" t="n">
        <v>0.5</v>
      </c>
      <c r="K17" s="67" t="n">
        <v>0.5</v>
      </c>
      <c r="L17" s="67" t="n">
        <v>1</v>
      </c>
      <c r="M17" s="67" t="n">
        <v>1</v>
      </c>
      <c r="N17" s="67" t="n">
        <v>1</v>
      </c>
      <c r="O17" s="67" t="n">
        <v>1</v>
      </c>
      <c r="P17" s="67" t="n">
        <v>1</v>
      </c>
      <c r="Q17" s="67" t="n">
        <v>1</v>
      </c>
      <c r="R17" s="67" t="n">
        <v>1</v>
      </c>
      <c r="S17" s="67" t="n">
        <v>1</v>
      </c>
      <c r="T17" s="67" t="n">
        <v>1</v>
      </c>
      <c r="U17" s="67" t="n">
        <v>1</v>
      </c>
      <c r="V17" s="67" t="n">
        <v>1</v>
      </c>
      <c r="W17" s="67" t="n">
        <v>1</v>
      </c>
      <c r="X17" s="67" t="n">
        <v>1</v>
      </c>
      <c r="Y17" s="67" t="n">
        <v>1</v>
      </c>
      <c r="Z17" s="67" t="n">
        <v>1</v>
      </c>
      <c r="AA17" s="67" t="n">
        <v>1</v>
      </c>
      <c r="AB17" s="67" t="n">
        <v>1</v>
      </c>
      <c r="AC17" s="67" t="n">
        <v>1</v>
      </c>
      <c r="AD17" s="67" t="n">
        <v>1</v>
      </c>
    </row>
    <row r="18" customFormat="false" ht="15" hidden="false" customHeight="false" outlineLevel="0" collapsed="false">
      <c r="B18" s="65" t="s">
        <v>999</v>
      </c>
      <c r="C18" s="67" t="n">
        <v>1</v>
      </c>
      <c r="D18" s="67" t="n">
        <v>1</v>
      </c>
      <c r="E18" s="67" t="n">
        <v>1</v>
      </c>
      <c r="F18" s="67" t="n">
        <v>1</v>
      </c>
      <c r="G18" s="67" t="n">
        <v>1</v>
      </c>
      <c r="H18" s="67" t="n">
        <v>1</v>
      </c>
      <c r="I18" s="67" t="n">
        <v>1</v>
      </c>
      <c r="J18" s="67" t="n">
        <v>0.5</v>
      </c>
      <c r="K18" s="67" t="n">
        <v>0.5</v>
      </c>
      <c r="L18" s="67" t="n">
        <v>1</v>
      </c>
      <c r="M18" s="67" t="n">
        <v>1</v>
      </c>
      <c r="N18" s="67" t="n">
        <v>1</v>
      </c>
      <c r="O18" s="67" t="n">
        <v>1</v>
      </c>
      <c r="P18" s="67" t="n">
        <v>1</v>
      </c>
      <c r="Q18" s="67" t="n">
        <v>1</v>
      </c>
      <c r="R18" s="67" t="n">
        <v>1</v>
      </c>
      <c r="S18" s="67" t="n">
        <v>1</v>
      </c>
      <c r="T18" s="67" t="n">
        <v>1</v>
      </c>
      <c r="U18" s="67" t="n">
        <v>1</v>
      </c>
      <c r="V18" s="67" t="n">
        <v>1</v>
      </c>
      <c r="W18" s="67" t="n">
        <v>1</v>
      </c>
      <c r="X18" s="67" t="n">
        <v>1</v>
      </c>
      <c r="Y18" s="67" t="n">
        <v>1</v>
      </c>
      <c r="Z18" s="67" t="n">
        <v>1</v>
      </c>
      <c r="AA18" s="67" t="n">
        <v>1</v>
      </c>
      <c r="AB18" s="67" t="n">
        <v>1</v>
      </c>
      <c r="AC18" s="67" t="n">
        <v>1</v>
      </c>
      <c r="AD18" s="67" t="n">
        <v>1</v>
      </c>
    </row>
    <row r="19" customFormat="false" ht="15" hidden="false" customHeight="false" outlineLevel="0" collapsed="false">
      <c r="B19" s="65" t="s">
        <v>1000</v>
      </c>
      <c r="C19" s="67" t="n">
        <v>1</v>
      </c>
      <c r="D19" s="67" t="n">
        <v>1</v>
      </c>
      <c r="E19" s="67" t="n">
        <v>1</v>
      </c>
      <c r="F19" s="67" t="n">
        <v>1</v>
      </c>
      <c r="G19" s="67" t="n">
        <v>1</v>
      </c>
      <c r="H19" s="67" t="n">
        <v>1</v>
      </c>
      <c r="I19" s="67" t="n">
        <v>1</v>
      </c>
      <c r="J19" s="67" t="n">
        <v>0</v>
      </c>
      <c r="K19" s="67" t="n">
        <v>0</v>
      </c>
      <c r="L19" s="67" t="n">
        <v>1</v>
      </c>
      <c r="M19" s="67" t="n">
        <v>1</v>
      </c>
      <c r="N19" s="67" t="n">
        <v>1</v>
      </c>
      <c r="O19" s="67" t="n">
        <v>1</v>
      </c>
      <c r="P19" s="67" t="n">
        <v>1</v>
      </c>
      <c r="Q19" s="67" t="n">
        <v>1</v>
      </c>
      <c r="R19" s="67" t="n">
        <v>1</v>
      </c>
      <c r="S19" s="67" t="n">
        <v>1</v>
      </c>
      <c r="T19" s="67" t="n">
        <v>1</v>
      </c>
      <c r="U19" s="67" t="n">
        <v>1</v>
      </c>
      <c r="V19" s="67" t="n">
        <v>1</v>
      </c>
      <c r="W19" s="67" t="n">
        <v>1</v>
      </c>
      <c r="X19" s="67" t="n">
        <v>1</v>
      </c>
      <c r="Y19" s="67" t="n">
        <v>1</v>
      </c>
      <c r="Z19" s="67" t="n">
        <v>1</v>
      </c>
      <c r="AA19" s="67" t="n">
        <v>1</v>
      </c>
      <c r="AB19" s="67" t="n">
        <v>1</v>
      </c>
      <c r="AC19" s="67" t="n">
        <v>1</v>
      </c>
      <c r="AD19" s="67" t="n">
        <v>1</v>
      </c>
    </row>
    <row r="20" customFormat="false" ht="15" hidden="false" customHeight="false" outlineLevel="0" collapsed="false">
      <c r="B20" s="65" t="s">
        <v>1001</v>
      </c>
      <c r="C20" s="66" t="n">
        <v>0</v>
      </c>
      <c r="D20" s="66" t="n">
        <v>0</v>
      </c>
      <c r="E20" s="66" t="n">
        <v>0</v>
      </c>
      <c r="F20" s="66" t="n">
        <v>0</v>
      </c>
      <c r="G20" s="66" t="n">
        <v>0</v>
      </c>
      <c r="H20" s="66" t="n">
        <v>0</v>
      </c>
      <c r="I20" s="66" t="n">
        <v>0</v>
      </c>
      <c r="J20" s="66" t="n">
        <v>0</v>
      </c>
      <c r="K20" s="66" t="n">
        <v>0</v>
      </c>
      <c r="L20" s="66" t="n">
        <v>0</v>
      </c>
      <c r="M20" s="66" t="n">
        <v>0</v>
      </c>
      <c r="N20" s="66" t="n">
        <v>0</v>
      </c>
      <c r="O20" s="66" t="n">
        <v>0</v>
      </c>
      <c r="P20" s="66" t="n">
        <v>0</v>
      </c>
      <c r="Q20" s="66" t="n">
        <v>0</v>
      </c>
      <c r="R20" s="66" t="n">
        <v>0</v>
      </c>
      <c r="S20" s="66" t="n">
        <v>0</v>
      </c>
      <c r="T20" s="66" t="n">
        <v>0</v>
      </c>
      <c r="U20" s="66" t="n">
        <v>0</v>
      </c>
      <c r="V20" s="66" t="n">
        <v>0</v>
      </c>
      <c r="W20" s="66" t="n">
        <v>0</v>
      </c>
      <c r="X20" s="66" t="n">
        <v>0</v>
      </c>
      <c r="Y20" s="66" t="n">
        <v>0</v>
      </c>
      <c r="Z20" s="66" t="n">
        <v>0</v>
      </c>
      <c r="AA20" s="66" t="n">
        <v>0</v>
      </c>
      <c r="AB20" s="66" t="n">
        <v>0</v>
      </c>
      <c r="AC20" s="66" t="n">
        <v>0</v>
      </c>
      <c r="AD20" s="66" t="n">
        <v>0</v>
      </c>
    </row>
    <row r="21" customFormat="false" ht="15" hidden="false" customHeight="false" outlineLevel="0" collapsed="false">
      <c r="B21" s="65" t="s">
        <v>1002</v>
      </c>
      <c r="C21" s="67" t="n">
        <v>1</v>
      </c>
      <c r="D21" s="67" t="n">
        <v>1</v>
      </c>
      <c r="E21" s="67" t="n">
        <v>1</v>
      </c>
      <c r="F21" s="67" t="n">
        <v>1</v>
      </c>
      <c r="G21" s="67" t="n">
        <v>1</v>
      </c>
      <c r="H21" s="67" t="n">
        <v>1</v>
      </c>
      <c r="I21" s="67" t="n">
        <v>1</v>
      </c>
      <c r="J21" s="67" t="n">
        <v>1</v>
      </c>
      <c r="K21" s="67" t="n">
        <v>1</v>
      </c>
      <c r="L21" s="67" t="n">
        <v>1</v>
      </c>
      <c r="M21" s="67" t="n">
        <v>1</v>
      </c>
      <c r="N21" s="67" t="n">
        <v>1</v>
      </c>
      <c r="O21" s="67" t="n">
        <v>1</v>
      </c>
      <c r="P21" s="67" t="n">
        <v>1</v>
      </c>
      <c r="Q21" s="67" t="n">
        <v>0</v>
      </c>
      <c r="R21" s="67" t="n">
        <v>0</v>
      </c>
      <c r="S21" s="67" t="n">
        <v>0</v>
      </c>
      <c r="T21" s="67" t="n">
        <v>0</v>
      </c>
      <c r="U21" s="67" t="n">
        <v>0</v>
      </c>
      <c r="V21" s="67" t="n">
        <v>1</v>
      </c>
      <c r="W21" s="67" t="n">
        <v>1</v>
      </c>
      <c r="X21" s="67" t="n">
        <v>1</v>
      </c>
      <c r="Y21" s="67" t="n">
        <v>1</v>
      </c>
      <c r="Z21" s="67" t="n">
        <v>1</v>
      </c>
      <c r="AA21" s="67" t="n">
        <v>1</v>
      </c>
      <c r="AB21" s="67" t="n">
        <v>1</v>
      </c>
      <c r="AC21" s="67" t="n">
        <v>1</v>
      </c>
      <c r="AD21" s="67" t="n">
        <v>1</v>
      </c>
    </row>
    <row r="22" customFormat="false" ht="15" hidden="false" customHeight="false" outlineLevel="0" collapsed="false">
      <c r="B22" s="65" t="s">
        <v>1003</v>
      </c>
      <c r="C22" s="67" t="n">
        <v>1</v>
      </c>
      <c r="D22" s="67" t="n">
        <v>1</v>
      </c>
      <c r="E22" s="67" t="n">
        <v>1</v>
      </c>
      <c r="F22" s="67" t="n">
        <v>1</v>
      </c>
      <c r="G22" s="67" t="n">
        <v>1</v>
      </c>
      <c r="H22" s="67" t="n">
        <v>1</v>
      </c>
      <c r="I22" s="67" t="n">
        <v>1</v>
      </c>
      <c r="J22" s="67" t="n">
        <v>1</v>
      </c>
      <c r="K22" s="67" t="n">
        <v>1</v>
      </c>
      <c r="L22" s="67" t="n">
        <v>1</v>
      </c>
      <c r="M22" s="67" t="n">
        <v>1</v>
      </c>
      <c r="N22" s="67" t="n">
        <v>1</v>
      </c>
      <c r="O22" s="67" t="n">
        <v>1</v>
      </c>
      <c r="P22" s="67" t="n">
        <v>1</v>
      </c>
      <c r="Q22" s="67" t="n">
        <v>0</v>
      </c>
      <c r="R22" s="67" t="n">
        <v>0</v>
      </c>
      <c r="S22" s="67" t="n">
        <v>0</v>
      </c>
      <c r="T22" s="67" t="n">
        <v>0</v>
      </c>
      <c r="U22" s="67" t="n">
        <v>0</v>
      </c>
      <c r="V22" s="67" t="n">
        <v>1</v>
      </c>
      <c r="W22" s="67" t="n">
        <v>1</v>
      </c>
      <c r="X22" s="67" t="n">
        <v>1</v>
      </c>
      <c r="Y22" s="67" t="n">
        <v>1</v>
      </c>
      <c r="Z22" s="67" t="n">
        <v>1</v>
      </c>
      <c r="AA22" s="67" t="n">
        <v>1</v>
      </c>
      <c r="AB22" s="67" t="n">
        <v>1</v>
      </c>
      <c r="AC22" s="67" t="n">
        <v>1</v>
      </c>
      <c r="AD22" s="67" t="n">
        <v>1</v>
      </c>
    </row>
    <row r="23" customFormat="false" ht="15" hidden="false" customHeight="false" outlineLevel="0" collapsed="false">
      <c r="B23" s="69" t="s">
        <v>1004</v>
      </c>
      <c r="C23" s="70" t="s">
        <v>1005</v>
      </c>
      <c r="D23" s="70" t="s">
        <v>1005</v>
      </c>
      <c r="E23" s="70" t="s">
        <v>1005</v>
      </c>
      <c r="F23" s="70" t="s">
        <v>1005</v>
      </c>
      <c r="G23" s="70" t="s">
        <v>1006</v>
      </c>
      <c r="H23" s="70" t="s">
        <v>1006</v>
      </c>
      <c r="I23" s="70" t="s">
        <v>1006</v>
      </c>
      <c r="J23" s="70" t="s">
        <v>1007</v>
      </c>
      <c r="K23" s="70" t="s">
        <v>1006</v>
      </c>
      <c r="L23" s="70" t="s">
        <v>1008</v>
      </c>
      <c r="M23" s="70" t="s">
        <v>1008</v>
      </c>
      <c r="N23" s="70" t="s">
        <v>1008</v>
      </c>
      <c r="O23" s="70" t="s">
        <v>1008</v>
      </c>
      <c r="P23" s="70" t="s">
        <v>1008</v>
      </c>
      <c r="Q23" s="70" t="s">
        <v>1008</v>
      </c>
      <c r="R23" s="70" t="s">
        <v>1008</v>
      </c>
      <c r="S23" s="70" t="s">
        <v>1008</v>
      </c>
      <c r="T23" s="70" t="s">
        <v>1008</v>
      </c>
      <c r="U23" s="70" t="s">
        <v>1008</v>
      </c>
      <c r="V23" s="70" t="s">
        <v>1008</v>
      </c>
      <c r="W23" s="70" t="s">
        <v>1008</v>
      </c>
      <c r="X23" s="70" t="s">
        <v>1008</v>
      </c>
      <c r="Y23" s="70" t="s">
        <v>1008</v>
      </c>
      <c r="Z23" s="70" t="s">
        <v>1008</v>
      </c>
      <c r="AA23" s="70" t="s">
        <v>1009</v>
      </c>
      <c r="AB23" s="70" t="s">
        <v>1009</v>
      </c>
      <c r="AC23" s="70" t="s">
        <v>1009</v>
      </c>
      <c r="AD23" s="70" t="s">
        <v>1009</v>
      </c>
    </row>
    <row r="24" customFormat="false" ht="51.75" hidden="false" customHeight="true" outlineLevel="0" collapsed="false">
      <c r="B24" s="69" t="s">
        <v>246</v>
      </c>
      <c r="C24" s="18" t="s">
        <v>1010</v>
      </c>
      <c r="D24" s="18" t="s">
        <v>1011</v>
      </c>
      <c r="E24" s="18" t="s">
        <v>1012</v>
      </c>
      <c r="F24" s="18" t="s">
        <v>1013</v>
      </c>
      <c r="G24" s="18" t="s">
        <v>1014</v>
      </c>
      <c r="H24" s="18" t="s">
        <v>1015</v>
      </c>
      <c r="I24" s="18" t="s">
        <v>1016</v>
      </c>
      <c r="J24" s="18" t="s">
        <v>1017</v>
      </c>
      <c r="K24" s="18" t="s">
        <v>1018</v>
      </c>
      <c r="L24" s="18"/>
      <c r="M24" s="18"/>
      <c r="N24" s="18"/>
      <c r="O24" s="18"/>
      <c r="P24" s="18"/>
      <c r="Q24" s="18"/>
      <c r="R24" s="18"/>
      <c r="S24" s="18"/>
      <c r="T24" s="18"/>
      <c r="U24" s="18"/>
      <c r="V24" s="18"/>
      <c r="W24" s="18"/>
      <c r="X24" s="18"/>
      <c r="Y24" s="18"/>
      <c r="Z24" s="18"/>
      <c r="AA24" s="18"/>
      <c r="AB24" s="18"/>
      <c r="AC24" s="18"/>
      <c r="AD24" s="18"/>
    </row>
    <row r="28" customFormat="false" ht="15" hidden="false" customHeight="false" outlineLevel="0" collapsed="false">
      <c r="B28" s="45" t="str">
        <f aca="false">C$5</f>
        <v>Base : rachats 2 % par date, collecte 5 % par trimestre</v>
      </c>
      <c r="C28" s="45" t="s">
        <v>55</v>
      </c>
      <c r="D28" s="45" t="n">
        <v>1</v>
      </c>
      <c r="E28" s="2"/>
      <c r="F28" s="2"/>
      <c r="G28" s="2"/>
      <c r="H28" s="2"/>
      <c r="I28" s="2"/>
      <c r="J28" s="2"/>
      <c r="K28" s="2"/>
      <c r="L28" s="2"/>
      <c r="M28" s="2"/>
      <c r="N28" s="2"/>
      <c r="O28" s="2"/>
    </row>
    <row r="29" customFormat="false" ht="15" hidden="false" customHeight="false" outlineLevel="0" collapsed="false">
      <c r="B29" s="65" t="s">
        <v>1019</v>
      </c>
      <c r="C29" s="65" t="n">
        <v>0</v>
      </c>
      <c r="D29" s="65" t="n">
        <v>1</v>
      </c>
      <c r="E29" s="65" t="n">
        <v>2</v>
      </c>
      <c r="F29" s="65" t="n">
        <v>3</v>
      </c>
      <c r="G29" s="65" t="n">
        <v>4</v>
      </c>
      <c r="H29" s="65" t="n">
        <v>5</v>
      </c>
      <c r="I29" s="65" t="n">
        <v>6</v>
      </c>
      <c r="J29" s="65" t="n">
        <v>7</v>
      </c>
      <c r="K29" s="65" t="n">
        <v>8</v>
      </c>
      <c r="L29" s="65" t="n">
        <v>9</v>
      </c>
      <c r="M29" s="65" t="n">
        <v>10</v>
      </c>
      <c r="N29" s="65" t="n">
        <v>11</v>
      </c>
      <c r="O29" s="65" t="n">
        <v>12</v>
      </c>
    </row>
    <row r="30" customFormat="false" ht="15" hidden="false" customHeight="false" outlineLevel="0" collapsed="false">
      <c r="B30" s="65" t="s">
        <v>209</v>
      </c>
      <c r="C30" s="71" t="n">
        <f aca="false">Date_depart</f>
        <v>47026</v>
      </c>
      <c r="D30" s="71" t="n">
        <f aca="false">EOMONTH(Date_depart,3*D29)</f>
        <v>47118</v>
      </c>
      <c r="E30" s="71" t="n">
        <f aca="false">EOMONTH(Date_depart,3*E29)</f>
        <v>47208</v>
      </c>
      <c r="F30" s="71" t="n">
        <f aca="false">EOMONTH(Date_depart,3*F29)</f>
        <v>47299</v>
      </c>
      <c r="G30" s="71" t="n">
        <f aca="false">EOMONTH(Date_depart,3*G29)</f>
        <v>47391</v>
      </c>
      <c r="H30" s="71" t="n">
        <f aca="false">EOMONTH(Date_depart,3*H29)</f>
        <v>47483</v>
      </c>
      <c r="I30" s="71" t="n">
        <f aca="false">EOMONTH(Date_depart,3*I29)</f>
        <v>47573</v>
      </c>
      <c r="J30" s="71" t="n">
        <f aca="false">EOMONTH(Date_depart,3*J29)</f>
        <v>47664</v>
      </c>
      <c r="K30" s="71" t="n">
        <f aca="false">EOMONTH(Date_depart,3*K29)</f>
        <v>47756</v>
      </c>
      <c r="L30" s="71" t="n">
        <f aca="false">EOMONTH(Date_depart,3*L29)</f>
        <v>47848</v>
      </c>
      <c r="M30" s="71" t="n">
        <f aca="false">EOMONTH(Date_depart,3*M29)</f>
        <v>47938</v>
      </c>
      <c r="N30" s="71" t="n">
        <f aca="false">EOMONTH(Date_depart,3*N29)</f>
        <v>48029</v>
      </c>
      <c r="O30" s="71" t="n">
        <f aca="false">EOMONTH(Date_depart,3*O29)</f>
        <v>48121</v>
      </c>
    </row>
    <row r="31" customFormat="false" ht="15" hidden="false" customHeight="false" outlineLevel="0" collapsed="false">
      <c r="B31" s="65" t="s">
        <v>1020</v>
      </c>
      <c r="C31" s="65" t="n">
        <v>0</v>
      </c>
      <c r="D31" s="65" t="n">
        <f aca="false">IF(OR(MONTH(D30)=6,MONTH(D30)=12),1,0)</f>
        <v>1</v>
      </c>
      <c r="E31" s="65" t="n">
        <f aca="false">IF(OR(MONTH(E30)=6,MONTH(E30)=12),1,0)</f>
        <v>0</v>
      </c>
      <c r="F31" s="65" t="n">
        <f aca="false">IF(OR(MONTH(F30)=6,MONTH(F30)=12),1,0)</f>
        <v>1</v>
      </c>
      <c r="G31" s="65" t="n">
        <f aca="false">IF(OR(MONTH(G30)=6,MONTH(G30)=12),1,0)</f>
        <v>0</v>
      </c>
      <c r="H31" s="65" t="n">
        <f aca="false">IF(OR(MONTH(H30)=6,MONTH(H30)=12),1,0)</f>
        <v>1</v>
      </c>
      <c r="I31" s="65" t="n">
        <f aca="false">IF(OR(MONTH(I30)=6,MONTH(I30)=12),1,0)</f>
        <v>0</v>
      </c>
      <c r="J31" s="65" t="n">
        <f aca="false">IF(OR(MONTH(J30)=6,MONTH(J30)=12),1,0)</f>
        <v>1</v>
      </c>
      <c r="K31" s="65" t="n">
        <f aca="false">IF(OR(MONTH(K30)=6,MONTH(K30)=12),1,0)</f>
        <v>0</v>
      </c>
      <c r="L31" s="65" t="n">
        <f aca="false">IF(OR(MONTH(L30)=6,MONTH(L30)=12),1,0)</f>
        <v>1</v>
      </c>
      <c r="M31" s="65" t="n">
        <f aca="false">IF(OR(MONTH(M30)=6,MONTH(M30)=12),1,0)</f>
        <v>0</v>
      </c>
      <c r="N31" s="65" t="n">
        <f aca="false">IF(OR(MONTH(N30)=6,MONTH(N30)=12),1,0)</f>
        <v>1</v>
      </c>
      <c r="O31" s="65" t="n">
        <f aca="false">IF(OR(MONTH(O30)=6,MONTH(O30)=12),1,0)</f>
        <v>0</v>
      </c>
    </row>
    <row r="32" customFormat="false" ht="15" hidden="false" customHeight="false" outlineLevel="0" collapsed="false">
      <c r="B32" s="65" t="s">
        <v>1021</v>
      </c>
      <c r="C32" s="65" t="n">
        <v>0</v>
      </c>
      <c r="D32" s="65" t="n">
        <f aca="false">C32+D31</f>
        <v>1</v>
      </c>
      <c r="E32" s="65" t="n">
        <f aca="false">D32+E31</f>
        <v>1</v>
      </c>
      <c r="F32" s="65" t="n">
        <f aca="false">E32+F31</f>
        <v>2</v>
      </c>
      <c r="G32" s="65" t="n">
        <f aca="false">F32+G31</f>
        <v>2</v>
      </c>
      <c r="H32" s="65" t="n">
        <f aca="false">G32+H31</f>
        <v>3</v>
      </c>
      <c r="I32" s="65" t="n">
        <f aca="false">H32+I31</f>
        <v>3</v>
      </c>
      <c r="J32" s="65" t="n">
        <f aca="false">I32+J31</f>
        <v>4</v>
      </c>
      <c r="K32" s="65" t="n">
        <f aca="false">J32+K31</f>
        <v>4</v>
      </c>
      <c r="L32" s="65" t="n">
        <f aca="false">K32+L31</f>
        <v>5</v>
      </c>
      <c r="M32" s="65" t="n">
        <f aca="false">L32+M31</f>
        <v>5</v>
      </c>
      <c r="N32" s="65" t="n">
        <f aca="false">M32+N31</f>
        <v>6</v>
      </c>
      <c r="O32" s="65" t="n">
        <f aca="false">N32+O31</f>
        <v>6</v>
      </c>
    </row>
    <row r="33" customFormat="false" ht="15" hidden="false" customHeight="false" outlineLevel="0" collapsed="false">
      <c r="B33" s="65" t="s">
        <v>1022</v>
      </c>
      <c r="C33" s="25"/>
      <c r="D33" s="72" t="n">
        <f aca="false">IF(D31=1,IF(C43=1,0,IF(D32=1,$C$6,IF(D32=2,$C$7,$C$8))),0)</f>
        <v>0.02</v>
      </c>
      <c r="E33" s="72" t="n">
        <f aca="false">IF(E31=1,IF(D43=1,0,IF(E32=1,$C$6,IF(E32=2,$C$7,$C$8))),0)</f>
        <v>0</v>
      </c>
      <c r="F33" s="72" t="n">
        <f aca="false">IF(F31=1,IF(E43=1,0,IF(F32=1,$C$6,IF(F32=2,$C$7,$C$8))),0)</f>
        <v>0.02</v>
      </c>
      <c r="G33" s="72" t="n">
        <f aca="false">IF(G31=1,IF(F43=1,0,IF(G32=1,$C$6,IF(G32=2,$C$7,$C$8))),0)</f>
        <v>0</v>
      </c>
      <c r="H33" s="72" t="n">
        <f aca="false">IF(H31=1,IF(G43=1,0,IF(H32=1,$C$6,IF(H32=2,$C$7,$C$8))),0)</f>
        <v>0.02</v>
      </c>
      <c r="I33" s="72" t="n">
        <f aca="false">IF(I31=1,IF(H43=1,0,IF(I32=1,$C$6,IF(I32=2,$C$7,$C$8))),0)</f>
        <v>0</v>
      </c>
      <c r="J33" s="72" t="n">
        <f aca="false">IF(J31=1,IF(I43=1,0,IF(J32=1,$C$6,IF(J32=2,$C$7,$C$8))),0)</f>
        <v>0.02</v>
      </c>
      <c r="K33" s="72" t="n">
        <f aca="false">IF(K31=1,IF(J43=1,0,IF(K32=1,$C$6,IF(K32=2,$C$7,$C$8))),0)</f>
        <v>0</v>
      </c>
      <c r="L33" s="72" t="n">
        <f aca="false">IF(L31=1,IF(K43=1,0,IF(L32=1,$C$6,IF(L32=2,$C$7,$C$8))),0)</f>
        <v>0.02</v>
      </c>
      <c r="M33" s="72" t="n">
        <f aca="false">IF(M31=1,IF(L43=1,0,IF(M32=1,$C$6,IF(M32=2,$C$7,$C$8))),0)</f>
        <v>0</v>
      </c>
      <c r="N33" s="72" t="n">
        <f aca="false">IF(N31=1,IF(M43=1,0,IF(N32=1,$C$6,IF(N32=2,$C$7,$C$8))),0)</f>
        <v>0.02</v>
      </c>
      <c r="O33" s="72" t="n">
        <f aca="false">IF(O31=1,IF(N43=1,0,IF(O32=1,$C$6,IF(O32=2,$C$7,$C$8))),0)</f>
        <v>0</v>
      </c>
    </row>
    <row r="34" customFormat="false" ht="15" hidden="false" customHeight="false" outlineLevel="0" collapsed="false">
      <c r="B34" s="65" t="s">
        <v>1023</v>
      </c>
      <c r="C34" s="25"/>
      <c r="D34" s="73" t="n">
        <f aca="false">C78</f>
        <v>50000000</v>
      </c>
      <c r="E34" s="73" t="n">
        <f aca="false">D78</f>
        <v>52131268.75</v>
      </c>
      <c r="F34" s="73" t="n">
        <f aca="false">E78</f>
        <v>55384505.0414063</v>
      </c>
      <c r="G34" s="73" t="n">
        <f aca="false">F78</f>
        <v>57711422.9024379</v>
      </c>
      <c r="H34" s="73" t="n">
        <f aca="false">G78</f>
        <v>61287263.4624168</v>
      </c>
      <c r="I34" s="73" t="n">
        <f aca="false">H78</f>
        <v>63863073.8350886</v>
      </c>
      <c r="J34" s="73" t="n">
        <f aca="false">I78</f>
        <v>67821099.3697041</v>
      </c>
      <c r="K34" s="73" t="n">
        <f aca="false">J78</f>
        <v>70672590.9270778</v>
      </c>
      <c r="L34" s="73" t="n">
        <f aca="false">K78</f>
        <v>75053773.5076535</v>
      </c>
      <c r="M34" s="73" t="n">
        <f aca="false">L78</f>
        <v>78210536.2240458</v>
      </c>
      <c r="N34" s="73" t="n">
        <f aca="false">M78</f>
        <v>83060249.4874864</v>
      </c>
      <c r="O34" s="73" t="n">
        <f aca="false">N78</f>
        <v>86555054.7515819</v>
      </c>
    </row>
    <row r="35" customFormat="false" ht="15" hidden="false" customHeight="false" outlineLevel="0" collapsed="false">
      <c r="B35" s="65" t="s">
        <v>177</v>
      </c>
      <c r="C35" s="25"/>
      <c r="D35" s="73" t="n">
        <f aca="false">IF(C43=1,0,$C$9*D34)</f>
        <v>2500000</v>
      </c>
      <c r="E35" s="73" t="n">
        <f aca="false">IF(D43=1,0,$C$9*E34)</f>
        <v>2606563.4375</v>
      </c>
      <c r="F35" s="73" t="n">
        <f aca="false">IF(E43=1,0,$C$9*F34)</f>
        <v>2769225.25207031</v>
      </c>
      <c r="G35" s="73" t="n">
        <f aca="false">IF(F43=1,0,$C$9*G34)</f>
        <v>2885571.1451219</v>
      </c>
      <c r="H35" s="73" t="n">
        <f aca="false">IF(G43=1,0,$C$9*H34)</f>
        <v>3064363.17312084</v>
      </c>
      <c r="I35" s="73" t="n">
        <f aca="false">IF(H43=1,0,$C$9*I34)</f>
        <v>3193153.69175443</v>
      </c>
      <c r="J35" s="73" t="n">
        <f aca="false">IF(I43=1,0,$C$9*J34)</f>
        <v>3391054.96848521</v>
      </c>
      <c r="K35" s="73" t="n">
        <f aca="false">IF(J43=1,0,$C$9*K34)</f>
        <v>3533629.54635389</v>
      </c>
      <c r="L35" s="73" t="n">
        <f aca="false">IF(K43=1,0,$C$9*L34)</f>
        <v>3752688.67538267</v>
      </c>
      <c r="M35" s="73" t="n">
        <f aca="false">IF(L43=1,0,$C$9*M34)</f>
        <v>3910526.81120229</v>
      </c>
      <c r="N35" s="73" t="n">
        <f aca="false">IF(M43=1,0,$C$9*N34)</f>
        <v>4153012.47437432</v>
      </c>
      <c r="O35" s="73" t="n">
        <f aca="false">IF(N43=1,0,$C$9*O34)</f>
        <v>4327752.7375791</v>
      </c>
    </row>
    <row r="36" customFormat="false" ht="15" hidden="false" customHeight="false" outlineLevel="0" collapsed="false">
      <c r="B36" s="65" t="s">
        <v>1024</v>
      </c>
      <c r="C36" s="25"/>
      <c r="D36" s="73" t="n">
        <f aca="false">D33*D34</f>
        <v>1000000</v>
      </c>
      <c r="E36" s="73" t="n">
        <f aca="false">E33*E34</f>
        <v>0</v>
      </c>
      <c r="F36" s="73" t="n">
        <f aca="false">F33*F34</f>
        <v>1107690.10082813</v>
      </c>
      <c r="G36" s="73" t="n">
        <f aca="false">G33*G34</f>
        <v>0</v>
      </c>
      <c r="H36" s="73" t="n">
        <f aca="false">H33*H34</f>
        <v>1225745.26924834</v>
      </c>
      <c r="I36" s="73" t="n">
        <f aca="false">I33*I34</f>
        <v>0</v>
      </c>
      <c r="J36" s="73" t="n">
        <f aca="false">J33*J34</f>
        <v>1356421.98739408</v>
      </c>
      <c r="K36" s="73" t="n">
        <f aca="false">K33*K34</f>
        <v>0</v>
      </c>
      <c r="L36" s="73" t="n">
        <f aca="false">L33*L34</f>
        <v>1501075.47015307</v>
      </c>
      <c r="M36" s="73" t="n">
        <f aca="false">M33*M34</f>
        <v>0</v>
      </c>
      <c r="N36" s="73" t="n">
        <f aca="false">N33*N34</f>
        <v>1661204.98974973</v>
      </c>
      <c r="O36" s="73" t="n">
        <f aca="false">O33*O34</f>
        <v>0</v>
      </c>
    </row>
    <row r="37" customFormat="false" ht="15" hidden="false" customHeight="false" outlineLevel="0" collapsed="false">
      <c r="B37" s="65" t="s">
        <v>1025</v>
      </c>
      <c r="C37" s="25"/>
      <c r="D37" s="73" t="n">
        <f aca="false">C45</f>
        <v>0</v>
      </c>
      <c r="E37" s="73" t="n">
        <f aca="false">D45</f>
        <v>0</v>
      </c>
      <c r="F37" s="73" t="n">
        <f aca="false">E45</f>
        <v>0</v>
      </c>
      <c r="G37" s="73" t="n">
        <f aca="false">F45</f>
        <v>0</v>
      </c>
      <c r="H37" s="73" t="n">
        <f aca="false">G45</f>
        <v>0</v>
      </c>
      <c r="I37" s="73" t="n">
        <f aca="false">H45</f>
        <v>0</v>
      </c>
      <c r="J37" s="73" t="n">
        <f aca="false">I45</f>
        <v>0</v>
      </c>
      <c r="K37" s="73" t="n">
        <f aca="false">J45</f>
        <v>0</v>
      </c>
      <c r="L37" s="73" t="n">
        <f aca="false">K45</f>
        <v>0</v>
      </c>
      <c r="M37" s="73" t="n">
        <f aca="false">L45</f>
        <v>0</v>
      </c>
      <c r="N37" s="73" t="n">
        <f aca="false">M45</f>
        <v>0</v>
      </c>
      <c r="O37" s="73" t="n">
        <f aca="false">N45</f>
        <v>0</v>
      </c>
    </row>
    <row r="38" customFormat="false" ht="15" hidden="false" customHeight="false" outlineLevel="0" collapsed="false">
      <c r="B38" s="65" t="s">
        <v>1026</v>
      </c>
      <c r="C38" s="25"/>
      <c r="D38" s="73" t="n">
        <f aca="false">D36+D37</f>
        <v>1000000</v>
      </c>
      <c r="E38" s="73" t="n">
        <f aca="false">E36+E37</f>
        <v>0</v>
      </c>
      <c r="F38" s="73" t="n">
        <f aca="false">F36+F37</f>
        <v>1107690.10082813</v>
      </c>
      <c r="G38" s="73" t="n">
        <f aca="false">G36+G37</f>
        <v>0</v>
      </c>
      <c r="H38" s="73" t="n">
        <f aca="false">H36+H37</f>
        <v>1225745.26924834</v>
      </c>
      <c r="I38" s="73" t="n">
        <f aca="false">I36+I37</f>
        <v>0</v>
      </c>
      <c r="J38" s="73" t="n">
        <f aca="false">J36+J37</f>
        <v>1356421.98739408</v>
      </c>
      <c r="K38" s="73" t="n">
        <f aca="false">K36+K37</f>
        <v>0</v>
      </c>
      <c r="L38" s="73" t="n">
        <f aca="false">L36+L37</f>
        <v>1501075.47015307</v>
      </c>
      <c r="M38" s="73" t="n">
        <f aca="false">M36+M37</f>
        <v>0</v>
      </c>
      <c r="N38" s="73" t="n">
        <f aca="false">N36+N37</f>
        <v>1661204.98974973</v>
      </c>
      <c r="O38" s="73" t="n">
        <f aca="false">O36+O37</f>
        <v>0</v>
      </c>
    </row>
    <row r="39" customFormat="false" ht="15" hidden="false" customHeight="false" outlineLevel="0" collapsed="false">
      <c r="B39" s="65" t="s">
        <v>1027</v>
      </c>
      <c r="C39" s="25"/>
      <c r="D39" s="73" t="n">
        <f aca="false">IF($C$21=1,Gate*D34+D35,D38)</f>
        <v>5000000</v>
      </c>
      <c r="E39" s="73" t="n">
        <f aca="false">IF($C$21=1,Gate*E34+E35,E38)</f>
        <v>5213126.875</v>
      </c>
      <c r="F39" s="73" t="n">
        <f aca="false">IF($C$21=1,Gate*F34+F35,F38)</f>
        <v>5538450.50414063</v>
      </c>
      <c r="G39" s="73" t="n">
        <f aca="false">IF($C$21=1,Gate*G34+G35,G38)</f>
        <v>5771142.29024379</v>
      </c>
      <c r="H39" s="73" t="n">
        <f aca="false">IF($C$21=1,Gate*H34+H35,H38)</f>
        <v>6128726.34624168</v>
      </c>
      <c r="I39" s="73" t="n">
        <f aca="false">IF($C$21=1,Gate*I34+I35,I38)</f>
        <v>6386307.38350886</v>
      </c>
      <c r="J39" s="73" t="n">
        <f aca="false">IF($C$21=1,Gate*J34+J35,J38)</f>
        <v>6782109.93697041</v>
      </c>
      <c r="K39" s="73" t="n">
        <f aca="false">IF($C$21=1,Gate*K34+K35,K38)</f>
        <v>7067259.09270778</v>
      </c>
      <c r="L39" s="73" t="n">
        <f aca="false">IF($C$21=1,Gate*L34+L35,L38)</f>
        <v>7505377.35076535</v>
      </c>
      <c r="M39" s="73" t="n">
        <f aca="false">IF($C$21=1,Gate*M34+M35,M38)</f>
        <v>7821053.62240458</v>
      </c>
      <c r="N39" s="73" t="n">
        <f aca="false">IF($C$21=1,Gate*N34+N35,N38)</f>
        <v>8306024.94874864</v>
      </c>
      <c r="O39" s="73" t="n">
        <f aca="false">IF($C$21=1,Gate*O34+O35,O38)</f>
        <v>8655505.47515819</v>
      </c>
    </row>
    <row r="40" customFormat="false" ht="15" hidden="false" customHeight="false" outlineLevel="0" collapsed="false">
      <c r="B40" s="65" t="s">
        <v>1028</v>
      </c>
      <c r="C40" s="25"/>
      <c r="D40" s="73" t="n">
        <f aca="false">IF(D31=1,MIN(D38,D39),0)</f>
        <v>1000000</v>
      </c>
      <c r="E40" s="73" t="n">
        <f aca="false">IF(E31=1,MIN(E38,E39),0)</f>
        <v>0</v>
      </c>
      <c r="F40" s="73" t="n">
        <f aca="false">IF(F31=1,MIN(F38,F39),0)</f>
        <v>1107690.10082813</v>
      </c>
      <c r="G40" s="73" t="n">
        <f aca="false">IF(G31=1,MIN(G38,G39),0)</f>
        <v>0</v>
      </c>
      <c r="H40" s="73" t="n">
        <f aca="false">IF(H31=1,MIN(H38,H39),0)</f>
        <v>1225745.26924834</v>
      </c>
      <c r="I40" s="73" t="n">
        <f aca="false">IF(I31=1,MIN(I38,I39),0)</f>
        <v>0</v>
      </c>
      <c r="J40" s="73" t="n">
        <f aca="false">IF(J31=1,MIN(J38,J39),0)</f>
        <v>1356421.98739408</v>
      </c>
      <c r="K40" s="73" t="n">
        <f aca="false">IF(K31=1,MIN(K38,K39),0)</f>
        <v>0</v>
      </c>
      <c r="L40" s="73" t="n">
        <f aca="false">IF(L31=1,MIN(L38,L39),0)</f>
        <v>1501075.47015307</v>
      </c>
      <c r="M40" s="73" t="n">
        <f aca="false">IF(M31=1,MIN(M38,M39),0)</f>
        <v>0</v>
      </c>
      <c r="N40" s="73" t="n">
        <f aca="false">IF(N31=1,MIN(N38,N39),0)</f>
        <v>1661204.98974973</v>
      </c>
      <c r="O40" s="73" t="n">
        <f aca="false">IF(O31=1,MIN(O38,O39),0)</f>
        <v>0</v>
      </c>
    </row>
    <row r="41" customFormat="false" ht="15" hidden="false" customHeight="false" outlineLevel="0" collapsed="false">
      <c r="B41" s="65" t="s">
        <v>1029</v>
      </c>
      <c r="C41" s="25"/>
      <c r="D41" s="73" t="n">
        <f aca="false">MAX(0,D69+D60+D61-Poche_min_exec*D34-D40-SUM(E66:F66)+MAX(0,MIN($C$20*AN_cible,Emprunt_max*D34)-C77))</f>
        <v>3489375</v>
      </c>
      <c r="E41" s="73" t="n">
        <f aca="false">MAX(0,E69+E60+E61-Poche_min_exec*E34-E40-SUM(F66:G66)+MAX(0,MIN($C$20*AN_cible,Emprunt_max*E34)-D77))</f>
        <v>5449444.359375</v>
      </c>
      <c r="F41" s="73" t="n">
        <f aca="false">MAX(0,F69+F60+F61-Poche_min_exec*F34-F40-SUM(G66:H66)+MAX(0,MIN($C$20*AN_cible,Emprunt_max*F34)-E77))</f>
        <v>6095007.11910664</v>
      </c>
      <c r="G41" s="73" t="n">
        <f aca="false">MAX(0,G69+G60+G61-Poche_min_exec*G34-G40-SUM(H66:I66)+MAX(0,MIN($C$20*AN_cible,Emprunt_max*G34)-F77))</f>
        <v>7788193.75316564</v>
      </c>
      <c r="H41" s="73" t="n">
        <f aca="false">MAX(0,H69+H60+H61-Poche_min_exec*H34-H40-SUM(I66:J66)+MAX(0,MIN($C$20*AN_cible,Emprunt_max*H34)-G77))</f>
        <v>7007021.73691896</v>
      </c>
      <c r="I41" s="73" t="n">
        <f aca="false">MAX(0,I69+I60+I61-Poche_min_exec*I34-I40-SUM(J66:K66)+MAX(0,MIN($C$20*AN_cible,Emprunt_max*I34)-H77))</f>
        <v>8880124.58882685</v>
      </c>
      <c r="J41" s="73" t="n">
        <f aca="false">MAX(0,J69+J60+J61-Poche_min_exec*J34-J40-SUM(K66:L66)+MAX(0,MIN($C$20*AN_cible,Emprunt_max*J34)-I77))</f>
        <v>7983031.97153788</v>
      </c>
      <c r="K41" s="73" t="n">
        <f aca="false">MAX(0,K69+K60+K61-Poche_min_exec*K34-K40-SUM(L66:M66)+MAX(0,MIN($C$20*AN_cible,Emprunt_max*K34)-J77))</f>
        <v>10059038.7131607</v>
      </c>
      <c r="L41" s="73" t="n">
        <f aca="false">MAX(0,L69+L60+L61-Poche_min_exec*L34-L40-SUM(M66:N66)+MAX(0,MIN($C$20*AN_cible,Emprunt_max*L34)-K77))</f>
        <v>9069512.42964237</v>
      </c>
      <c r="M41" s="73" t="n">
        <f aca="false">MAX(0,M69+M60+M61-Poche_min_exec*M34-M40-SUM(N66:O66)+MAX(0,MIN($C$20*AN_cible,Emprunt_max*M34)-L77))</f>
        <v>11370178.2807579</v>
      </c>
      <c r="N41" s="73" t="n">
        <f aca="false">MAX(0,N69+N60+N61-Poche_min_exec*N34-N40-SUM(O66:O66)+MAX(0,MIN($C$20*AN_cible,Emprunt_max*N34)-M77))</f>
        <v>10903382.7692189</v>
      </c>
      <c r="O41" s="73" t="n">
        <f aca="false">MAX(0,O69+O60+O61-Poche_min_exec*O34-O40-0+MAX(0,MIN($C$20*AN_cible,Emprunt_max*O34)-N77))</f>
        <v>14077798.233629</v>
      </c>
    </row>
    <row r="42" customFormat="false" ht="15" hidden="false" customHeight="false" outlineLevel="0" collapsed="false">
      <c r="B42" s="65" t="s">
        <v>1030</v>
      </c>
      <c r="C42" s="25"/>
      <c r="D42" s="73" t="n">
        <f aca="false">IF(AND(D31=1,$C$21=1,$C$22=1),MIN(D38-D40,D41),0)</f>
        <v>0</v>
      </c>
      <c r="E42" s="73" t="n">
        <f aca="false">IF(AND(E31=1,$C$21=1,$C$22=1),MIN(E38-E40,E41),0)</f>
        <v>0</v>
      </c>
      <c r="F42" s="73" t="n">
        <f aca="false">IF(AND(F31=1,$C$21=1,$C$22=1),MIN(F38-F40,F41),0)</f>
        <v>0</v>
      </c>
      <c r="G42" s="73" t="n">
        <f aca="false">IF(AND(G31=1,$C$21=1,$C$22=1),MIN(G38-G40,G41),0)</f>
        <v>0</v>
      </c>
      <c r="H42" s="73" t="n">
        <f aca="false">IF(AND(H31=1,$C$21=1,$C$22=1),MIN(H38-H40,H41),0)</f>
        <v>0</v>
      </c>
      <c r="I42" s="73" t="n">
        <f aca="false">IF(AND(I31=1,$C$21=1,$C$22=1),MIN(I38-I40,I41),0)</f>
        <v>0</v>
      </c>
      <c r="J42" s="73" t="n">
        <f aca="false">IF(AND(J31=1,$C$21=1,$C$22=1),MIN(J38-J40,J41),0)</f>
        <v>0</v>
      </c>
      <c r="K42" s="73" t="n">
        <f aca="false">IF(AND(K31=1,$C$21=1,$C$22=1),MIN(K38-K40,K41),0)</f>
        <v>0</v>
      </c>
      <c r="L42" s="73" t="n">
        <f aca="false">IF(AND(L31=1,$C$21=1,$C$22=1),MIN(L38-L40,L41),0)</f>
        <v>0</v>
      </c>
      <c r="M42" s="73" t="n">
        <f aca="false">IF(AND(M31=1,$C$21=1,$C$22=1),MIN(M38-M40,M41),0)</f>
        <v>0</v>
      </c>
      <c r="N42" s="73" t="n">
        <f aca="false">IF(AND(N31=1,$C$21=1,$C$22=1),MIN(N38-N40,N41),0)</f>
        <v>0</v>
      </c>
      <c r="O42" s="73" t="n">
        <f aca="false">IF(AND(O31=1,$C$21=1,$C$22=1),MIN(O38-O40,O41),0)</f>
        <v>0</v>
      </c>
    </row>
    <row r="43" customFormat="false" ht="15" hidden="false" customHeight="false" outlineLevel="0" collapsed="false">
      <c r="B43" s="65" t="s">
        <v>1031</v>
      </c>
      <c r="C43" s="65" t="n">
        <v>0</v>
      </c>
      <c r="D43" s="65" t="n">
        <f aca="false">IF(C43=1,1,IF(AND(D31=1,$C$21=1,C47&gt;=Gate_dates,D38-D40-D42&gt;0.000001),1,0))</f>
        <v>0</v>
      </c>
      <c r="E43" s="65" t="n">
        <f aca="false">IF(D43=1,1,IF(AND(E31=1,$C$21=1,D47&gt;=Gate_dates,E38-E40-E42&gt;0.000001),1,0))</f>
        <v>0</v>
      </c>
      <c r="F43" s="65" t="n">
        <f aca="false">IF(E43=1,1,IF(AND(F31=1,$C$21=1,E47&gt;=Gate_dates,F38-F40-F42&gt;0.000001),1,0))</f>
        <v>0</v>
      </c>
      <c r="G43" s="65" t="n">
        <f aca="false">IF(F43=1,1,IF(AND(G31=1,$C$21=1,F47&gt;=Gate_dates,G38-G40-G42&gt;0.000001),1,0))</f>
        <v>0</v>
      </c>
      <c r="H43" s="65" t="n">
        <f aca="false">IF(G43=1,1,IF(AND(H31=1,$C$21=1,G47&gt;=Gate_dates,H38-H40-H42&gt;0.000001),1,0))</f>
        <v>0</v>
      </c>
      <c r="I43" s="65" t="n">
        <f aca="false">IF(H43=1,1,IF(AND(I31=1,$C$21=1,H47&gt;=Gate_dates,I38-I40-I42&gt;0.000001),1,0))</f>
        <v>0</v>
      </c>
      <c r="J43" s="65" t="n">
        <f aca="false">IF(I43=1,1,IF(AND(J31=1,$C$21=1,I47&gt;=Gate_dates,J38-J40-J42&gt;0.000001),1,0))</f>
        <v>0</v>
      </c>
      <c r="K43" s="65" t="n">
        <f aca="false">IF(J43=1,1,IF(AND(K31=1,$C$21=1,J47&gt;=Gate_dates,K38-K40-K42&gt;0.000001),1,0))</f>
        <v>0</v>
      </c>
      <c r="L43" s="65" t="n">
        <f aca="false">IF(K43=1,1,IF(AND(L31=1,$C$21=1,K47&gt;=Gate_dates,L38-L40-L42&gt;0.000001),1,0))</f>
        <v>0</v>
      </c>
      <c r="M43" s="65" t="n">
        <f aca="false">IF(L43=1,1,IF(AND(M31=1,$C$21=1,L47&gt;=Gate_dates,M38-M40-M42&gt;0.000001),1,0))</f>
        <v>0</v>
      </c>
      <c r="N43" s="65" t="n">
        <f aca="false">IF(M43=1,1,IF(AND(N31=1,$C$21=1,M47&gt;=Gate_dates,N38-N40-N42&gt;0.000001),1,0))</f>
        <v>0</v>
      </c>
      <c r="O43" s="65" t="n">
        <f aca="false">IF(N43=1,1,IF(AND(O31=1,$C$21=1,N47&gt;=Gate_dates,O38-O40-O42&gt;0.000001),1,0))</f>
        <v>0</v>
      </c>
    </row>
    <row r="44" customFormat="false" ht="15" hidden="false" customHeight="false" outlineLevel="0" collapsed="false">
      <c r="B44" s="65" t="s">
        <v>1032</v>
      </c>
      <c r="C44" s="25"/>
      <c r="D44" s="73" t="n">
        <f aca="false">IF(D43=1,0,D40+D42)</f>
        <v>1000000</v>
      </c>
      <c r="E44" s="73" t="n">
        <f aca="false">IF(E43=1,0,E40+E42)</f>
        <v>0</v>
      </c>
      <c r="F44" s="73" t="n">
        <f aca="false">IF(F43=1,0,F40+F42)</f>
        <v>1107690.10082813</v>
      </c>
      <c r="G44" s="73" t="n">
        <f aca="false">IF(G43=1,0,G40+G42)</f>
        <v>0</v>
      </c>
      <c r="H44" s="73" t="n">
        <f aca="false">IF(H43=1,0,H40+H42)</f>
        <v>1225745.26924834</v>
      </c>
      <c r="I44" s="73" t="n">
        <f aca="false">IF(I43=1,0,I40+I42)</f>
        <v>0</v>
      </c>
      <c r="J44" s="73" t="n">
        <f aca="false">IF(J43=1,0,J40+J42)</f>
        <v>1356421.98739408</v>
      </c>
      <c r="K44" s="73" t="n">
        <f aca="false">IF(K43=1,0,K40+K42)</f>
        <v>0</v>
      </c>
      <c r="L44" s="73" t="n">
        <f aca="false">IF(L43=1,0,L40+L42)</f>
        <v>1501075.47015307</v>
      </c>
      <c r="M44" s="73" t="n">
        <f aca="false">IF(M43=1,0,M40+M42)</f>
        <v>0</v>
      </c>
      <c r="N44" s="73" t="n">
        <f aca="false">IF(N43=1,0,N40+N42)</f>
        <v>1661204.98974973</v>
      </c>
      <c r="O44" s="73" t="n">
        <f aca="false">IF(O43=1,0,O40+O42)</f>
        <v>0</v>
      </c>
    </row>
    <row r="45" customFormat="false" ht="15" hidden="false" customHeight="false" outlineLevel="0" collapsed="false">
      <c r="B45" s="65" t="s">
        <v>1033</v>
      </c>
      <c r="C45" s="73" t="n">
        <v>0</v>
      </c>
      <c r="D45" s="73" t="n">
        <f aca="false">D38-D44</f>
        <v>0</v>
      </c>
      <c r="E45" s="73" t="n">
        <f aca="false">E38-E44</f>
        <v>0</v>
      </c>
      <c r="F45" s="73" t="n">
        <f aca="false">F38-F44</f>
        <v>0</v>
      </c>
      <c r="G45" s="73" t="n">
        <f aca="false">G38-G44</f>
        <v>0</v>
      </c>
      <c r="H45" s="73" t="n">
        <f aca="false">H38-H44</f>
        <v>0</v>
      </c>
      <c r="I45" s="73" t="n">
        <f aca="false">I38-I44</f>
        <v>0</v>
      </c>
      <c r="J45" s="73" t="n">
        <f aca="false">J38-J44</f>
        <v>0</v>
      </c>
      <c r="K45" s="73" t="n">
        <f aca="false">K38-K44</f>
        <v>0</v>
      </c>
      <c r="L45" s="73" t="n">
        <f aca="false">L38-L44</f>
        <v>0</v>
      </c>
      <c r="M45" s="73" t="n">
        <f aca="false">M38-M44</f>
        <v>0</v>
      </c>
      <c r="N45" s="73" t="n">
        <f aca="false">N38-N44</f>
        <v>0</v>
      </c>
      <c r="O45" s="73" t="n">
        <f aca="false">O38-O44</f>
        <v>0</v>
      </c>
    </row>
    <row r="46" customFormat="false" ht="15" hidden="false" customHeight="false" outlineLevel="0" collapsed="false">
      <c r="B46" s="65" t="s">
        <v>1034</v>
      </c>
      <c r="C46" s="25"/>
      <c r="D46" s="65" t="n">
        <f aca="false">IF(AND(D31=1,D43=0,D45&gt;0.000001),1,0)</f>
        <v>0</v>
      </c>
      <c r="E46" s="65" t="n">
        <f aca="false">IF(AND(E31=1,E43=0,E45&gt;0.000001),1,0)</f>
        <v>0</v>
      </c>
      <c r="F46" s="65" t="n">
        <f aca="false">IF(AND(F31=1,F43=0,F45&gt;0.000001),1,0)</f>
        <v>0</v>
      </c>
      <c r="G46" s="65" t="n">
        <f aca="false">IF(AND(G31=1,G43=0,G45&gt;0.000001),1,0)</f>
        <v>0</v>
      </c>
      <c r="H46" s="65" t="n">
        <f aca="false">IF(AND(H31=1,H43=0,H45&gt;0.000001),1,0)</f>
        <v>0</v>
      </c>
      <c r="I46" s="65" t="n">
        <f aca="false">IF(AND(I31=1,I43=0,I45&gt;0.000001),1,0)</f>
        <v>0</v>
      </c>
      <c r="J46" s="65" t="n">
        <f aca="false">IF(AND(J31=1,J43=0,J45&gt;0.000001),1,0)</f>
        <v>0</v>
      </c>
      <c r="K46" s="65" t="n">
        <f aca="false">IF(AND(K31=1,K43=0,K45&gt;0.000001),1,0)</f>
        <v>0</v>
      </c>
      <c r="L46" s="65" t="n">
        <f aca="false">IF(AND(L31=1,L43=0,L45&gt;0.000001),1,0)</f>
        <v>0</v>
      </c>
      <c r="M46" s="65" t="n">
        <f aca="false">IF(AND(M31=1,M43=0,M45&gt;0.000001),1,0)</f>
        <v>0</v>
      </c>
      <c r="N46" s="65" t="n">
        <f aca="false">IF(AND(N31=1,N43=0,N45&gt;0.000001),1,0)</f>
        <v>0</v>
      </c>
      <c r="O46" s="65" t="n">
        <f aca="false">IF(AND(O31=1,O43=0,O45&gt;0.000001),1,0)</f>
        <v>0</v>
      </c>
    </row>
    <row r="47" customFormat="false" ht="15" hidden="false" customHeight="false" outlineLevel="0" collapsed="false">
      <c r="B47" s="65" t="s">
        <v>843</v>
      </c>
      <c r="C47" s="65" t="n">
        <v>0</v>
      </c>
      <c r="D47" s="65" t="n">
        <f aca="false">IF(D31=1,IF(D46=1,C47+1,0),C47)</f>
        <v>0</v>
      </c>
      <c r="E47" s="65" t="n">
        <f aca="false">IF(E31=1,IF(E46=1,D47+1,0),D47)</f>
        <v>0</v>
      </c>
      <c r="F47" s="65" t="n">
        <f aca="false">IF(F31=1,IF(F46=1,E47+1,0),E47)</f>
        <v>0</v>
      </c>
      <c r="G47" s="65" t="n">
        <f aca="false">IF(G31=1,IF(G46=1,F47+1,0),F47)</f>
        <v>0</v>
      </c>
      <c r="H47" s="65" t="n">
        <f aca="false">IF(H31=1,IF(H46=1,G47+1,0),G47)</f>
        <v>0</v>
      </c>
      <c r="I47" s="65" t="n">
        <f aca="false">IF(I31=1,IF(I46=1,H47+1,0),H47)</f>
        <v>0</v>
      </c>
      <c r="J47" s="65" t="n">
        <f aca="false">IF(J31=1,IF(J46=1,I47+1,0),I47)</f>
        <v>0</v>
      </c>
      <c r="K47" s="65" t="n">
        <f aca="false">IF(K31=1,IF(K46=1,J47+1,0),J47)</f>
        <v>0</v>
      </c>
      <c r="L47" s="65" t="n">
        <f aca="false">IF(L31=1,IF(L46=1,K47+1,0),K47)</f>
        <v>0</v>
      </c>
      <c r="M47" s="65" t="n">
        <f aca="false">IF(M31=1,IF(M46=1,L47+1,0),L47)</f>
        <v>0</v>
      </c>
      <c r="N47" s="65" t="n">
        <f aca="false">IF(N31=1,IF(N46=1,M47+1,0),M47)</f>
        <v>0</v>
      </c>
      <c r="O47" s="65" t="n">
        <f aca="false">IF(O31=1,IF(O46=1,N47+1,0),N47)</f>
        <v>0</v>
      </c>
    </row>
    <row r="48" customFormat="false" ht="15" hidden="false" customHeight="false" outlineLevel="0" collapsed="false">
      <c r="B48" s="65" t="s">
        <v>1035</v>
      </c>
      <c r="C48" s="73" t="n">
        <f aca="false">AN_cible*Ws_MAPIF</f>
        <v>12500000</v>
      </c>
      <c r="D48" s="73" t="n">
        <f aca="false">C48*(1+Rend_MAPIF/4)*IF(D29=1,(1-(Cap_MAPIF*$C$15+(1-Cap_MAPIF)*$C$16))*(1+1*$C$14),1)+D58-D52-D73*IF((C48+C49+C50+C51)&gt;0,C48/(C48+C49+C50+C51),0)</f>
        <v>12971562.5</v>
      </c>
      <c r="E48" s="73" t="n">
        <f aca="false">D48*(1+Rend_MAPIF/4)*IF(E29=1,(1-(Cap_MAPIF*$C$15+(1-Cap_MAPIF)*$C$16))*(1+1*$C$14),1)+E58-E52-E73*IF((D48+D49+D50+D51)&gt;0,D48/(D48+D49+D50+D51),0)</f>
        <v>13446767.8203125</v>
      </c>
      <c r="F48" s="73" t="n">
        <f aca="false">E48*(1+Rend_MAPIF/4)*IF(F29=1,(1-(Cap_MAPIF*$C$15+(1-Cap_MAPIF)*$C$16))*(1+1*$C$14),1)+F58-F52-F73*IF((E48+E49+E50+E51)&gt;0,E48/(E48+E49+E50+E51),0)</f>
        <v>13925644.1017244</v>
      </c>
      <c r="G48" s="73" t="n">
        <f aca="false">F48*(1+Rend_MAPIF/4)*IF(G29=1,(1-(Cap_MAPIF*$C$15+(1-Cap_MAPIF)*$C$16))*(1+1*$C$14),1)+G58-G52-G73*IF((F48+F49+F50+F51)&gt;0,F48/(F48+F49+F50+F51),0)</f>
        <v>14408219.7024102</v>
      </c>
      <c r="H48" s="73" t="n">
        <f aca="false">G48*(1+Rend_MAPIF/4)*IF(H29=1,(1-(Cap_MAPIF*$C$15+(1-Cap_MAPIF)*$C$16))*(1+1*$C$14),1)+H58-H52-H73*IF((G48+G49+G50+G51)&gt;0,G48/(G48+G49+G50+G51),0)</f>
        <v>14894523.1996114</v>
      </c>
      <c r="I48" s="73" t="n">
        <f aca="false">H48*(1+Rend_MAPIF/4)*IF(I29=1,(1-(Cap_MAPIF*$C$15+(1-Cap_MAPIF)*$C$16))*(1+1*$C$14),1)+I58-I52-I73*IF((H48+H49+H50+H51)&gt;0,H48/(H48+H49+H50+H51),0)</f>
        <v>15384583.3913284</v>
      </c>
      <c r="J48" s="73" t="n">
        <f aca="false">I48*(1+Rend_MAPIF/4)*IF(J29=1,(1-(Cap_MAPIF*$C$15+(1-Cap_MAPIF)*$C$16))*(1+1*$C$14),1)+J58-J52-J73*IF((I48+I49+I50+I51)&gt;0,I48/(I48+I49+I50+I51),0)</f>
        <v>15878429.2980264</v>
      </c>
      <c r="K48" s="73" t="n">
        <f aca="false">J48*(1+Rend_MAPIF/4)*IF(K29=1,(1-(Cap_MAPIF*$C$15+(1-Cap_MAPIF)*$C$16))*(1+1*$C$14),1)+K58-K52-K73*IF((J48+J49+J50+J51)&gt;0,J48/(J48+J49+J50+J51),0)</f>
        <v>16376090.1643536</v>
      </c>
      <c r="L48" s="73" t="n">
        <f aca="false">K48*(1+Rend_MAPIF/4)*IF(L29=1,(1-(Cap_MAPIF*$C$15+(1-Cap_MAPIF)*$C$16))*(1+1*$C$14),1)+L58-L52-L73*IF((K48+K49+K50+K51)&gt;0,K48/(K48+K49+K50+K51),0)</f>
        <v>16877595.4608733</v>
      </c>
      <c r="M48" s="73" t="n">
        <f aca="false">L48*(1+Rend_MAPIF/4)*IF(M29=1,(1-(Cap_MAPIF*$C$15+(1-Cap_MAPIF)*$C$16))*(1+1*$C$14),1)+M58-M52-M73*IF((L48+L49+L50+L51)&gt;0,L48/(L48+L49+L50+L51),0)</f>
        <v>17382974.8858085</v>
      </c>
      <c r="N48" s="73" t="n">
        <f aca="false">M48*(1+Rend_MAPIF/4)*IF(N29=1,(1-(Cap_MAPIF*$C$15+(1-Cap_MAPIF)*$C$16))*(1+1*$C$14),1)+N58-N52-N73*IF((M48+M49+M50+M51)&gt;0,M48/(M48+M49+M50+M51),0)</f>
        <v>17892258.3668014</v>
      </c>
      <c r="O48" s="73" t="n">
        <f aca="false">N48*(1+Rend_MAPIF/4)*IF(O29=1,(1-(Cap_MAPIF*$C$15+(1-Cap_MAPIF)*$C$16))*(1+1*$C$14),1)+O58-O52-O73*IF((N48+N49+N50+N51)&gt;0,N48/(N48+N49+N50+N51),0)</f>
        <v>18405476.0626849</v>
      </c>
    </row>
    <row r="49" customFormat="false" ht="15" hidden="false" customHeight="false" outlineLevel="0" collapsed="false">
      <c r="B49" s="65" t="s">
        <v>1036</v>
      </c>
      <c r="C49" s="73" t="n">
        <f aca="false">AN_cible*Ws_MSIG</f>
        <v>5500000</v>
      </c>
      <c r="D49" s="73" t="n">
        <f aca="false">C49*(1+Rend_MSIG/4)*IF(D29=1,(1-(Cap_MSIG*$C$15+(1-Cap_MSIG)*$C$16))*(1+MSIG_USD*$C$14),1)+D59-D53-D73*IF((C48+C49+C50+C51)&gt;0,C49/(C48+C49+C50+C51),0)</f>
        <v>5773237.5</v>
      </c>
      <c r="E49" s="73" t="n">
        <f aca="false">D49*(1+Rend_MSIG/4)*IF(E29=1,(1-(Cap_MSIG*$C$15+(1-Cap_MSIG)*$C$16))*(1+MSIG_USD*$C$14),1)+E59-E53-E73*IF((D48+D49+D50+D51)&gt;0,D49/(D48+D49+D50+D51),0)</f>
        <v>6047629.4284375</v>
      </c>
      <c r="F49" s="73" t="n">
        <f aca="false">E49*(1+Rend_MSIG/4)*IF(F29=1,(1-(Cap_MSIG*$C$15+(1-Cap_MSIG)*$C$16))*(1+MSIG_USD*$C$14),1)+F59-F53-F73*IF((E48+E49+E50+E51)&gt;0,E49/(E48+E49+E50+E51),0)</f>
        <v>6323180.66277265</v>
      </c>
      <c r="G49" s="73" t="n">
        <f aca="false">F49*(1+Rend_MSIG/4)*IF(G29=1,(1-(Cap_MSIG*$C$15+(1-Cap_MSIG)*$C$16))*(1+MSIG_USD*$C$14),1)+G59-G53-G73*IF((F48+F49+F50+F51)&gt;0,F49/(F48+F49+F50+F51),0)</f>
        <v>6599896.10107286</v>
      </c>
      <c r="H49" s="73" t="n">
        <f aca="false">G49*(1+Rend_MSIG/4)*IF(H29=1,(1-(Cap_MSIG*$C$15+(1-Cap_MSIG)*$C$16))*(1+MSIG_USD*$C$14),1)+H59-H53-H73*IF((G48+G49+G50+G51)&gt;0,G49/(G48+G49+G50+G51),0)</f>
        <v>6877780.6620999</v>
      </c>
      <c r="I49" s="73" t="n">
        <f aca="false">H49*(1+Rend_MSIG/4)*IF(I29=1,(1-(Cap_MSIG*$C$15+(1-Cap_MSIG)*$C$16))*(1+MSIG_USD*$C$14),1)+I59-I53-I73*IF((H48+H49+H50+H51)&gt;0,H49/(H48+H49+H50+H51),0)</f>
        <v>7156839.28539727</v>
      </c>
      <c r="J49" s="73" t="n">
        <f aca="false">I49*(1+Rend_MSIG/4)*IF(J29=1,(1-(Cap_MSIG*$C$15+(1-Cap_MSIG)*$C$16))*(1+MSIG_USD*$C$14),1)+J59-J53-J73*IF((I48+I49+I50+I51)&gt;0,I49/(I48+I49+I50+I51),0)</f>
        <v>7437076.93137807</v>
      </c>
      <c r="K49" s="73" t="n">
        <f aca="false">J49*(1+Rend_MSIG/4)*IF(K29=1,(1-(Cap_MSIG*$C$15+(1-Cap_MSIG)*$C$16))*(1+MSIG_USD*$C$14),1)+K59-K53-K73*IF((J48+J49+J50+J51)&gt;0,J49/(J48+J49+J50+J51),0)</f>
        <v>7718498.58141314</v>
      </c>
      <c r="L49" s="73" t="n">
        <f aca="false">K49*(1+Rend_MSIG/4)*IF(L29=1,(1-(Cap_MSIG*$C$15+(1-Cap_MSIG)*$C$16))*(1+MSIG_USD*$C$14),1)+L59-L53-L73*IF((K48+K49+K50+K51)&gt;0,K49/(K48+K49+K50+K51),0)</f>
        <v>8001109.23791962</v>
      </c>
      <c r="M49" s="73" t="n">
        <f aca="false">L49*(1+Rend_MSIG/4)*IF(M29=1,(1-(Cap_MSIG*$C$15+(1-Cap_MSIG)*$C$16))*(1+MSIG_USD*$C$14),1)+M59-M53-M73*IF((L48+L49+L50+L51)&gt;0,L49/(L48+L49+L50+L51),0)</f>
        <v>8284913.92444983</v>
      </c>
      <c r="N49" s="73" t="n">
        <f aca="false">M49*(1+Rend_MSIG/4)*IF(N29=1,(1-(Cap_MSIG*$C$15+(1-Cap_MSIG)*$C$16))*(1+MSIG_USD*$C$14),1)+N59-N53-N73*IF((M48+M49+M50+M51)&gt;0,M49/(M48+M49+M50+M51),0)</f>
        <v>8569917.68578063</v>
      </c>
      <c r="O49" s="73" t="n">
        <f aca="false">N49*(1+Rend_MSIG/4)*IF(O29=1,(1-(Cap_MSIG*$C$15+(1-Cap_MSIG)*$C$16))*(1+MSIG_USD*$C$14),1)+O59-O53-O73*IF((N48+N49+N50+N51)&gt;0,N49/(N48+N49+N50+N51),0)</f>
        <v>8856125.58800305</v>
      </c>
    </row>
    <row r="50" customFormat="false" ht="15" hidden="false" customHeight="false" outlineLevel="0" collapsed="false">
      <c r="B50" s="65" t="s">
        <v>1037</v>
      </c>
      <c r="C50" s="73" t="n">
        <f aca="false">AN_cible*Ws_PG</f>
        <v>12250000</v>
      </c>
      <c r="D50" s="73" t="n">
        <f aca="false">C50*(1+Rend_PG/4)*IF(D29=1,(1-(Cap_PG*$C$15+(1-Cap_PG)*$C$16))*(1+0*$C$14),1)-D54-D70*IF((D60+D61)&gt;0,D60/(D60+D61),0)+D75/2-D73*IF((C48+C49+C50+C51)&gt;0,C50/(C48+C49+C50+C51),0)</f>
        <v>12501431.25</v>
      </c>
      <c r="E50" s="73" t="n">
        <f aca="false">D50*(1+Rend_PG/4)*IF(E29=1,(1-(Cap_PG*$C$15+(1-Cap_PG)*$C$16))*(1+0*$C$14),1)-E54-E70*IF((E60+E61)&gt;0,E60/(E60+E61),0)+E75/2-E73*IF((D48+D49+D50+D51)&gt;0,D50/(D48+D49+D50+D51),0)</f>
        <v>12895570.1967188</v>
      </c>
      <c r="F50" s="73" t="n">
        <f aca="false">E50*(1+Rend_PG/4)*IF(F29=1,(1-(Cap_PG*$C$15+(1-Cap_PG)*$C$16))*(1+0*$C$14),1)-F54-F70*IF((F60+F61)&gt;0,F60/(F60+F61),0)+F75/2-F73*IF((E48+E49+E50+E51)&gt;0,E50/(E48+E49+E50+E51),0)</f>
        <v>13442644.0862304</v>
      </c>
      <c r="G50" s="73" t="n">
        <f aca="false">F50*(1+Rend_PG/4)*IF(G29=1,(1-(Cap_PG*$C$15+(1-Cap_PG)*$C$16))*(1+0*$C$14),1)-G54-G70*IF((G60+G61)&gt;0,G60/(G60+G61),0)+G75/2-G73*IF((F48+F49+F50+F51)&gt;0,F50/(F48+F49+F50+F51),0)</f>
        <v>14708616.475624</v>
      </c>
      <c r="H50" s="73" t="n">
        <f aca="false">G50*(1+Rend_PG/4)*IF(H29=1,(1-(Cap_PG*$C$15+(1-Cap_PG)*$C$16))*(1+0*$C$14),1)-H54-H70*IF((H60+H61)&gt;0,H60/(H60+H61),0)+H75/2-H73*IF((G48+G49+G50+G51)&gt;0,G50/(G48+G49+G50+G51),0)</f>
        <v>15356236.9471637</v>
      </c>
      <c r="I50" s="73" t="n">
        <f aca="false">H50*(1+Rend_PG/4)*IF(I29=1,(1-(Cap_PG*$C$15+(1-Cap_PG)*$C$16))*(1+0*$C$14),1)-I54-I70*IF((I60+I61)&gt;0,I60/(I60+I61),0)+I75/2-I73*IF((H48+H49+H50+H51)&gt;0,H50/(H48+H49+H50+H51),0)</f>
        <v>16797499.3811409</v>
      </c>
      <c r="J50" s="73" t="n">
        <f aca="false">I50*(1+Rend_PG/4)*IF(J29=1,(1-(Cap_PG*$C$15+(1-Cap_PG)*$C$16))*(1+0*$C$14),1)-J54-J70*IF((J60+J61)&gt;0,J60/(J60+J61),0)+J75/2-J73*IF((I48+I49+I50+I51)&gt;0,I50/(I48+I49+I50+I51),0)</f>
        <v>17555052.5250735</v>
      </c>
      <c r="K50" s="73" t="n">
        <f aca="false">J50*(1+Rend_PG/4)*IF(K29=1,(1-(Cap_PG*$C$15+(1-Cap_PG)*$C$16))*(1+0*$C$14),1)-K54-K70*IF((K60+K61)&gt;0,K60/(K60+K61),0)+K75/2-K73*IF((J48+J49+J50+J51)&gt;0,J50/(J48+J49+J50+J51),0)</f>
        <v>19191438.1677838</v>
      </c>
      <c r="L50" s="73" t="n">
        <f aca="false">K50*(1+Rend_PG/4)*IF(L29=1,(1-(Cap_PG*$C$15+(1-Cap_PG)*$C$16))*(1+0*$C$14),1)-L54-L70*IF((L60+L61)&gt;0,L60/(L60+L61),0)+L75/2-L73*IF((K48+K49+K50+K51)&gt;0,K50/(K48+K49+K50+K51),0)</f>
        <v>20071793.3112043</v>
      </c>
      <c r="M50" s="73" t="n">
        <f aca="false">L50*(1+Rend_PG/4)*IF(M29=1,(1-(Cap_PG*$C$15+(1-Cap_PG)*$C$16))*(1+0*$C$14),1)-M54-M70*IF((M60+M61)&gt;0,M60/(M60+M61),0)+M75/2-M73*IF((L48+L49+L50+L51)&gt;0,L50/(L48+L49+L50+L51),0)</f>
        <v>21925302.2775004</v>
      </c>
      <c r="N50" s="73" t="n">
        <f aca="false">M50*(1+Rend_PG/4)*IF(N29=1,(1-(Cap_PG*$C$15+(1-Cap_PG)*$C$16))*(1+0*$C$14),1)-N54-N70*IF((N60+N61)&gt;0,N60/(N60+N61),0)+N75/2-N73*IF((M48+M49+M50+M51)&gt;0,M50/(M48+M49+M50+M51),0)</f>
        <v>22942741.6811708</v>
      </c>
      <c r="O50" s="73" t="n">
        <f aca="false">N50*(1+Rend_PG/4)*IF(O29=1,(1-(Cap_PG*$C$15+(1-Cap_PG)*$C$16))*(1+0*$C$14),1)-O54-O70*IF((O60+O61)&gt;0,O60/(O60+O61),0)+O75/2-O73*IF((N48+N49+N50+N51)&gt;0,N50/(N48+N49+N50+N51),0)</f>
        <v>25037767.1133746</v>
      </c>
    </row>
    <row r="51" customFormat="false" ht="15" hidden="false" customHeight="false" outlineLevel="0" collapsed="false">
      <c r="B51" s="65" t="s">
        <v>1038</v>
      </c>
      <c r="C51" s="73" t="n">
        <f aca="false">AN_cible*Ws_ARES</f>
        <v>12250000</v>
      </c>
      <c r="D51" s="73" t="n">
        <f aca="false">C51*(1+Rend_ARES/4)*IF(D29=1,(1-(Cap_ARES*$C$15+(1-Cap_ARES)*$C$16))*(1+0*$C$14),1)-D55-D70*IF((D60+D61)&gt;0,D61/(D60+D61),0)/(1-IF(D29&lt;=Deduc_trim,Deduc_ares,0))+D75/2-D73*IF((C48+C49+C50+C51)&gt;0,C51/(C48+C49+C50+C51),0)</f>
        <v>12340037.5</v>
      </c>
      <c r="E51" s="73" t="n">
        <f aca="false">D51*(1+Rend_ARES/4)*IF(E29=1,(1-(Cap_ARES*$C$15+(1-Cap_ARES)*$C$16))*(1+0*$C$14),1)-E55-E70*IF((E60+E61)&gt;0,E61/(E60+E61),0)/(1-IF(E29&lt;=Deduc_trim,Deduc_ares,0))+E75/2-E73*IF((D48+D49+D50+D51)&gt;0,D51/(D48+D49+D50+D51),0)</f>
        <v>12568283.8459375</v>
      </c>
      <c r="F51" s="73" t="n">
        <f aca="false">E51*(1+Rend_ARES/4)*IF(F29=1,(1-(Cap_ARES*$C$15+(1-Cap_ARES)*$C$16))*(1+0*$C$14),1)-F55-F70*IF((F60+F61)&gt;0,F61/(F60+F61),0)/(1-IF(F29&lt;=Deduc_trim,Deduc_ares,0))+F75/2-F73*IF((E48+E49+E50+E51)&gt;0,E51/(E48+E49+E50+E51),0)</f>
        <v>12943053.0434292</v>
      </c>
      <c r="G51" s="73" t="n">
        <f aca="false">F51*(1+Rend_ARES/4)*IF(G29=1,(1-(Cap_ARES*$C$15+(1-Cap_ARES)*$C$16))*(1+0*$C$14),1)-G55-G70*IF((G60+G61)&gt;0,G61/(G60+G61),0)/(1-IF(G29&lt;=Deduc_trim,Deduc_ares,0))+G75/2-G73*IF((F48+F49+F50+F51)&gt;0,F51/(F48+F49+F50+F51),0)</f>
        <v>14028246.6028221</v>
      </c>
      <c r="H51" s="73" t="n">
        <f aca="false">G51*(1+Rend_ARES/4)*IF(H29=1,(1-(Cap_ARES*$C$15+(1-Cap_ARES)*$C$16))*(1+0*$C$14),1)-H55-H70*IF((H60+H61)&gt;0,H61/(H60+H61),0)/(1-IF(H29&lt;=Deduc_trim,Deduc_ares,0))+H75/2-H73*IF((G48+G49+G50+G51)&gt;0,G51/(G48+G49+G50+G51),0)</f>
        <v>14477080.3337303</v>
      </c>
      <c r="I51" s="73" t="n">
        <f aca="false">H51*(1+Rend_ARES/4)*IF(I29=1,(1-(Cap_ARES*$C$15+(1-Cap_ARES)*$C$16))*(1+0*$C$14),1)-I55-I70*IF((I60+I61)&gt;0,I61/(I60+I61),0)/(1-IF(I29&lt;=Deduc_trim,Deduc_ares,0))+I75/2-I73*IF((H48+H49+H50+H51)&gt;0,H51/(H48+H49+H50+H51),0)</f>
        <v>15709562.5448199</v>
      </c>
      <c r="J51" s="73" t="n">
        <f aca="false">I51*(1+Rend_ARES/4)*IF(J29=1,(1-(Cap_ARES*$C$15+(1-Cap_ARES)*$C$16))*(1+0*$C$14),1)-J55-J70*IF((J60+J61)&gt;0,J61/(J60+J61),0)/(1-IF(J29&lt;=Deduc_trim,Deduc_ares,0))+J75/2-J73*IF((I48+I49+I50+I51)&gt;0,I51/(I48+I49+I50+I51),0)</f>
        <v>16237812.298659</v>
      </c>
      <c r="K51" s="73" t="n">
        <f aca="false">J51*(1+Rend_ARES/4)*IF(K29=1,(1-(Cap_ARES*$C$15+(1-Cap_ARES)*$C$16))*(1+0*$C$14),1)-K55-K70*IF((K60+K61)&gt;0,K61/(K60+K61),0)/(1-IF(K29&lt;=Deduc_trim,Deduc_ares,0))+K75/2-K73*IF((J48+J49+J50+J51)&gt;0,J51/(J48+J49+J50+J51),0)</f>
        <v>17633228.4086873</v>
      </c>
      <c r="L51" s="73" t="n">
        <f aca="false">K51*(1+Rend_ARES/4)*IF(L29=1,(1-(Cap_ARES*$C$15+(1-Cap_ARES)*$C$16))*(1+0*$C$14),1)-L55-L70*IF((L60+L61)&gt;0,L61/(L60+L61),0)/(1-IF(L29&lt;=Deduc_trim,Deduc_ares,0))+L75/2-L73*IF((K48+K49+K50+K51)&gt;0,K51/(K48+K49+K50+K51),0)</f>
        <v>18249283.5125179</v>
      </c>
      <c r="M51" s="73" t="n">
        <f aca="false">L51*(1+Rend_ARES/4)*IF(M29=1,(1-(Cap_ARES*$C$15+(1-Cap_ARES)*$C$16))*(1+0*$C$14),1)-M55-M70*IF((M60+M61)&gt;0,M61/(M60+M61),0)/(1-IF(M29&lt;=Deduc_trim,Deduc_ares,0))+M75/2-M73*IF((L48+L49+L50+L51)&gt;0,L51/(L48+L49+L50+L51),0)</f>
        <v>19824951.1549185</v>
      </c>
      <c r="N51" s="73" t="n">
        <f aca="false">M51*(1+Rend_ARES/4)*IF(N29=1,(1-(Cap_ARES*$C$15+(1-Cap_ARES)*$C$16))*(1+0*$C$14),1)-N55-N70*IF((N60+N61)&gt;0,N61/(N60+N61),0)/(1-IF(N29&lt;=Deduc_trim,Deduc_ares,0))+N75/2-N73*IF((M48+M49+M50+M51)&gt;0,M51/(M48+M49+M50+M51),0)</f>
        <v>20538087.1203319</v>
      </c>
      <c r="O51" s="73" t="n">
        <f aca="false">N51*(1+Rend_ARES/4)*IF(O29=1,(1-(Cap_ARES*$C$15+(1-Cap_ARES)*$C$16))*(1+0*$C$14),1)-O55-O70*IF((O60+O61)&gt;0,O61/(O60+O61),0)/(1-IF(O29&lt;=Deduc_trim,Deduc_ares,0))+O75/2-O73*IF((N48+N49+N50+N51)&gt;0,N51/(N48+N49+N50+N51),0)</f>
        <v>22313167.7198641</v>
      </c>
    </row>
    <row r="52" customFormat="false" ht="15" hidden="false" customHeight="false" outlineLevel="0" collapsed="false">
      <c r="B52" s="65" t="s">
        <v>1039</v>
      </c>
      <c r="C52" s="25"/>
      <c r="D52" s="73" t="n">
        <f aca="false">C48*Dist_MAPIF/4*IF(D29&lt;=$C$11,0,$C$10)</f>
        <v>187500</v>
      </c>
      <c r="E52" s="73" t="n">
        <f aca="false">D48*Dist_MAPIF/4*IF(E29&lt;=$C$11,0,$C$10)</f>
        <v>194573.4375</v>
      </c>
      <c r="F52" s="73" t="n">
        <f aca="false">E48*Dist_MAPIF/4*IF(F29&lt;=$C$11,0,$C$10)</f>
        <v>201701.517304688</v>
      </c>
      <c r="G52" s="73" t="n">
        <f aca="false">F48*Dist_MAPIF/4*IF(G29&lt;=$C$11,0,$C$10)</f>
        <v>208884.661525866</v>
      </c>
      <c r="H52" s="73" t="n">
        <f aca="false">G48*Dist_MAPIF/4*IF(H29&lt;=$C$11,0,$C$10)</f>
        <v>216123.295536154</v>
      </c>
      <c r="I52" s="73" t="n">
        <f aca="false">H48*Dist_MAPIF/4*IF(I29&lt;=$C$11,0,$C$10)</f>
        <v>223417.84799417</v>
      </c>
      <c r="J52" s="73" t="n">
        <f aca="false">I48*Dist_MAPIF/4*IF(J29&lt;=$C$11,0,$C$10)</f>
        <v>230768.750869925</v>
      </c>
      <c r="K52" s="73" t="n">
        <f aca="false">J48*Dist_MAPIF/4*IF(K29&lt;=$C$11,0,$C$10)</f>
        <v>238176.439470396</v>
      </c>
      <c r="L52" s="73" t="n">
        <f aca="false">K48*Dist_MAPIF/4*IF(L29&lt;=$C$11,0,$C$10)</f>
        <v>245641.352465304</v>
      </c>
      <c r="M52" s="73" t="n">
        <f aca="false">L48*Dist_MAPIF/4*IF(M29&lt;=$C$11,0,$C$10)</f>
        <v>253163.931913099</v>
      </c>
      <c r="N52" s="73" t="n">
        <f aca="false">M48*Dist_MAPIF/4*IF(N29&lt;=$C$11,0,$C$10)</f>
        <v>260744.623287128</v>
      </c>
      <c r="O52" s="73" t="n">
        <f aca="false">N48*Dist_MAPIF/4*IF(O29&lt;=$C$11,0,$C$10)</f>
        <v>268383.875502021</v>
      </c>
    </row>
    <row r="53" customFormat="false" ht="15" hidden="false" customHeight="false" outlineLevel="0" collapsed="false">
      <c r="B53" s="65" t="s">
        <v>1040</v>
      </c>
      <c r="C53" s="25"/>
      <c r="D53" s="73" t="n">
        <f aca="false">C49*Dist_MSIG/4*IF(D29&lt;=$C$11,0,$C$10)</f>
        <v>96250</v>
      </c>
      <c r="E53" s="73" t="n">
        <f aca="false">D49*Dist_MSIG/4*IF(E29&lt;=$C$11,0,$C$10)</f>
        <v>101031.65625</v>
      </c>
      <c r="F53" s="73" t="n">
        <f aca="false">E49*Dist_MSIG/4*IF(F29&lt;=$C$11,0,$C$10)</f>
        <v>105833.514997656</v>
      </c>
      <c r="G53" s="73" t="n">
        <f aca="false">F49*Dist_MSIG/4*IF(G29&lt;=$C$11,0,$C$10)</f>
        <v>110655.661598521</v>
      </c>
      <c r="H53" s="73" t="n">
        <f aca="false">G49*Dist_MSIG/4*IF(H29&lt;=$C$11,0,$C$10)</f>
        <v>115498.181768775</v>
      </c>
      <c r="I53" s="73" t="n">
        <f aca="false">H49*Dist_MSIG/4*IF(I29&lt;=$C$11,0,$C$10)</f>
        <v>120361.161586748</v>
      </c>
      <c r="J53" s="73" t="n">
        <f aca="false">I49*Dist_MSIG/4*IF(J29&lt;=$C$11,0,$C$10)</f>
        <v>125244.687494452</v>
      </c>
      <c r="K53" s="73" t="n">
        <f aca="false">J49*Dist_MSIG/4*IF(K29&lt;=$C$11,0,$C$10)</f>
        <v>130148.846299116</v>
      </c>
      <c r="L53" s="73" t="n">
        <f aca="false">K49*Dist_MSIG/4*IF(L29&lt;=$C$11,0,$C$10)</f>
        <v>135073.72517473</v>
      </c>
      <c r="M53" s="73" t="n">
        <f aca="false">L49*Dist_MSIG/4*IF(M29&lt;=$C$11,0,$C$10)</f>
        <v>140019.411663593</v>
      </c>
      <c r="N53" s="73" t="n">
        <f aca="false">M49*Dist_MSIG/4*IF(N29&lt;=$C$11,0,$C$10)</f>
        <v>144985.993677872</v>
      </c>
      <c r="O53" s="73" t="n">
        <f aca="false">N49*Dist_MSIG/4*IF(O29&lt;=$C$11,0,$C$10)</f>
        <v>149973.559501161</v>
      </c>
    </row>
    <row r="54" customFormat="false" ht="15" hidden="false" customHeight="false" outlineLevel="0" collapsed="false">
      <c r="B54" s="65" t="s">
        <v>1041</v>
      </c>
      <c r="C54" s="25"/>
      <c r="D54" s="73" t="n">
        <f aca="false">C50*Dist_PG/4*IF(D29&lt;=$C$11,0,$C$10)</f>
        <v>61250</v>
      </c>
      <c r="E54" s="73" t="n">
        <f aca="false">D50*Dist_PG/4*IF(E29&lt;=$C$11,0,$C$10)</f>
        <v>62507.15625</v>
      </c>
      <c r="F54" s="73" t="n">
        <f aca="false">E50*Dist_PG/4*IF(F29&lt;=$C$11,0,$C$10)</f>
        <v>64477.8509835938</v>
      </c>
      <c r="G54" s="73" t="n">
        <f aca="false">F50*Dist_PG/4*IF(G29&lt;=$C$11,0,$C$10)</f>
        <v>67213.2204311521</v>
      </c>
      <c r="H54" s="73" t="n">
        <f aca="false">G50*Dist_PG/4*IF(H29&lt;=$C$11,0,$C$10)</f>
        <v>73543.0823781201</v>
      </c>
      <c r="I54" s="73" t="n">
        <f aca="false">H50*Dist_PG/4*IF(I29&lt;=$C$11,0,$C$10)</f>
        <v>76781.1847358185</v>
      </c>
      <c r="J54" s="73" t="n">
        <f aca="false">I50*Dist_PG/4*IF(J29&lt;=$C$11,0,$C$10)</f>
        <v>83987.4969057044</v>
      </c>
      <c r="K54" s="73" t="n">
        <f aca="false">J50*Dist_PG/4*IF(K29&lt;=$C$11,0,$C$10)</f>
        <v>87775.2626253676</v>
      </c>
      <c r="L54" s="73" t="n">
        <f aca="false">K50*Dist_PG/4*IF(L29&lt;=$C$11,0,$C$10)</f>
        <v>95957.190838919</v>
      </c>
      <c r="M54" s="73" t="n">
        <f aca="false">L50*Dist_PG/4*IF(M29&lt;=$C$11,0,$C$10)</f>
        <v>100358.966556022</v>
      </c>
      <c r="N54" s="73" t="n">
        <f aca="false">M50*Dist_PG/4*IF(N29&lt;=$C$11,0,$C$10)</f>
        <v>109626.511387502</v>
      </c>
      <c r="O54" s="73" t="n">
        <f aca="false">N50*Dist_PG/4*IF(O29&lt;=$C$11,0,$C$10)</f>
        <v>114713.708405854</v>
      </c>
    </row>
    <row r="55" customFormat="false" ht="15" hidden="false" customHeight="false" outlineLevel="0" collapsed="false">
      <c r="B55" s="65" t="s">
        <v>1042</v>
      </c>
      <c r="C55" s="25"/>
      <c r="D55" s="73" t="n">
        <f aca="false">C51*Dist_ARES/4*IF(D29&lt;=$C$11,0,$C$10)</f>
        <v>153125</v>
      </c>
      <c r="E55" s="73" t="n">
        <f aca="false">D51*Dist_ARES/4*IF(E29&lt;=$C$11,0,$C$10)</f>
        <v>154250.46875</v>
      </c>
      <c r="F55" s="73" t="n">
        <f aca="false">E51*Dist_ARES/4*IF(F29&lt;=$C$11,0,$C$10)</f>
        <v>157103.548074219</v>
      </c>
      <c r="G55" s="73" t="n">
        <f aca="false">F51*Dist_ARES/4*IF(G29&lt;=$C$11,0,$C$10)</f>
        <v>161788.163042865</v>
      </c>
      <c r="H55" s="73" t="n">
        <f aca="false">G51*Dist_ARES/4*IF(H29&lt;=$C$11,0,$C$10)</f>
        <v>175353.082535276</v>
      </c>
      <c r="I55" s="73" t="n">
        <f aca="false">H51*Dist_ARES/4*IF(I29&lt;=$C$11,0,$C$10)</f>
        <v>180963.504171629</v>
      </c>
      <c r="J55" s="73" t="n">
        <f aca="false">I51*Dist_ARES/4*IF(J29&lt;=$C$11,0,$C$10)</f>
        <v>196369.531810248</v>
      </c>
      <c r="K55" s="73" t="n">
        <f aca="false">J51*Dist_ARES/4*IF(K29&lt;=$C$11,0,$C$10)</f>
        <v>202972.653733238</v>
      </c>
      <c r="L55" s="73" t="n">
        <f aca="false">K51*Dist_ARES/4*IF(L29&lt;=$C$11,0,$C$10)</f>
        <v>220415.355108591</v>
      </c>
      <c r="M55" s="73" t="n">
        <f aca="false">L51*Dist_ARES/4*IF(M29&lt;=$C$11,0,$C$10)</f>
        <v>228116.043906474</v>
      </c>
      <c r="N55" s="73" t="n">
        <f aca="false">M51*Dist_ARES/4*IF(N29&lt;=$C$11,0,$C$10)</f>
        <v>247811.889436482</v>
      </c>
      <c r="O55" s="73" t="n">
        <f aca="false">N51*Dist_ARES/4*IF(O29&lt;=$C$11,0,$C$10)</f>
        <v>256726.089004148</v>
      </c>
    </row>
    <row r="56" customFormat="false" ht="15" hidden="false" customHeight="false" outlineLevel="0" collapsed="false">
      <c r="B56" s="65" t="s">
        <v>1043</v>
      </c>
      <c r="C56" s="73" t="n">
        <f aca="false">AN_cible*$C$12*Part_MAPIF_NA</f>
        <v>4500000</v>
      </c>
      <c r="D56" s="73" t="n">
        <f aca="false">C56*IF(D29=1,1+$C$14,1)-D58</f>
        <v>4125000</v>
      </c>
      <c r="E56" s="73" t="n">
        <f aca="false">D56*IF(E29=1,1+$C$14,1)-E58</f>
        <v>3750000</v>
      </c>
      <c r="F56" s="73" t="n">
        <f aca="false">E56*IF(F29=1,1+$C$14,1)-F58</f>
        <v>3375000</v>
      </c>
      <c r="G56" s="73" t="n">
        <f aca="false">F56*IF(G29=1,1+$C$14,1)-G58</f>
        <v>3000000</v>
      </c>
      <c r="H56" s="73" t="n">
        <f aca="false">G56*IF(H29=1,1+$C$14,1)-H58</f>
        <v>2625000</v>
      </c>
      <c r="I56" s="73" t="n">
        <f aca="false">H56*IF(I29=1,1+$C$14,1)-I58</f>
        <v>2250000</v>
      </c>
      <c r="J56" s="73" t="n">
        <f aca="false">I56*IF(J29=1,1+$C$14,1)-J58</f>
        <v>1875000</v>
      </c>
      <c r="K56" s="73" t="n">
        <f aca="false">J56*IF(K29=1,1+$C$14,1)-K58</f>
        <v>1500000</v>
      </c>
      <c r="L56" s="73" t="n">
        <f aca="false">K56*IF(L29=1,1+$C$14,1)-L58</f>
        <v>1125000</v>
      </c>
      <c r="M56" s="73" t="n">
        <f aca="false">L56*IF(M29=1,1+$C$14,1)-M58</f>
        <v>750000</v>
      </c>
      <c r="N56" s="73" t="n">
        <f aca="false">M56*IF(N29=1,1+$C$14,1)-N58</f>
        <v>375000</v>
      </c>
      <c r="O56" s="73" t="n">
        <f aca="false">N56*IF(O29=1,1+$C$14,1)-O58</f>
        <v>0</v>
      </c>
    </row>
    <row r="57" customFormat="false" ht="15" hidden="false" customHeight="false" outlineLevel="0" collapsed="false">
      <c r="B57" s="65" t="s">
        <v>1044</v>
      </c>
      <c r="C57" s="73" t="n">
        <f aca="false">AN_cible*$C$12*(1-Part_MAPIF_NA)</f>
        <v>3000000</v>
      </c>
      <c r="D57" s="73" t="n">
        <f aca="false">C57*IF(D29=1,1+MSIG_USD*$C$14,1)-D59</f>
        <v>2750000</v>
      </c>
      <c r="E57" s="73" t="n">
        <f aca="false">D57*IF(E29=1,1+MSIG_USD*$C$14,1)-E59</f>
        <v>2500000</v>
      </c>
      <c r="F57" s="73" t="n">
        <f aca="false">E57*IF(F29=1,1+MSIG_USD*$C$14,1)-F59</f>
        <v>2250000</v>
      </c>
      <c r="G57" s="73" t="n">
        <f aca="false">F57*IF(G29=1,1+MSIG_USD*$C$14,1)-G59</f>
        <v>2000000</v>
      </c>
      <c r="H57" s="73" t="n">
        <f aca="false">G57*IF(H29=1,1+MSIG_USD*$C$14,1)-H59</f>
        <v>1750000</v>
      </c>
      <c r="I57" s="73" t="n">
        <f aca="false">H57*IF(I29=1,1+MSIG_USD*$C$14,1)-I59</f>
        <v>1500000</v>
      </c>
      <c r="J57" s="73" t="n">
        <f aca="false">I57*IF(J29=1,1+MSIG_USD*$C$14,1)-J59</f>
        <v>1250000</v>
      </c>
      <c r="K57" s="73" t="n">
        <f aca="false">J57*IF(K29=1,1+MSIG_USD*$C$14,1)-K59</f>
        <v>1000000</v>
      </c>
      <c r="L57" s="73" t="n">
        <f aca="false">K57*IF(L29=1,1+MSIG_USD*$C$14,1)-L59</f>
        <v>750000</v>
      </c>
      <c r="M57" s="73" t="n">
        <f aca="false">L57*IF(M29=1,1+MSIG_USD*$C$14,1)-M59</f>
        <v>500000</v>
      </c>
      <c r="N57" s="73" t="n">
        <f aca="false">M57*IF(N29=1,1+MSIG_USD*$C$14,1)-N59</f>
        <v>250000</v>
      </c>
      <c r="O57" s="73" t="n">
        <f aca="false">N57*IF(O29=1,1+MSIG_USD*$C$14,1)-O59</f>
        <v>0</v>
      </c>
    </row>
    <row r="58" customFormat="false" ht="15" hidden="false" customHeight="false" outlineLevel="0" collapsed="false">
      <c r="B58" s="65" t="s">
        <v>1045</v>
      </c>
      <c r="C58" s="25"/>
      <c r="D58" s="73" t="n">
        <f aca="false">MIN(C56*IF(D29=1,1+$C$14,1),$C56*(1+$C$14)*IF(D29&lt;=4,$C$13/4,Appels_base))</f>
        <v>375000</v>
      </c>
      <c r="E58" s="73" t="n">
        <f aca="false">MIN(D56*IF(E29=1,1+$C$14,1),$C56*(1+$C$14)*IF(E29&lt;=4,$C$13/4,Appels_base))</f>
        <v>375000</v>
      </c>
      <c r="F58" s="73" t="n">
        <f aca="false">MIN(E56*IF(F29=1,1+$C$14,1),$C56*(1+$C$14)*IF(F29&lt;=4,$C$13/4,Appels_base))</f>
        <v>375000</v>
      </c>
      <c r="G58" s="73" t="n">
        <f aca="false">MIN(F56*IF(G29=1,1+$C$14,1),$C56*(1+$C$14)*IF(G29&lt;=4,$C$13/4,Appels_base))</f>
        <v>375000</v>
      </c>
      <c r="H58" s="73" t="n">
        <f aca="false">MIN(G56*IF(H29=1,1+$C$14,1),$C56*(1+$C$14)*IF(H29&lt;=4,$C$13/4,Appels_base))</f>
        <v>375000</v>
      </c>
      <c r="I58" s="73" t="n">
        <f aca="false">MIN(H56*IF(I29=1,1+$C$14,1),$C56*(1+$C$14)*IF(I29&lt;=4,$C$13/4,Appels_base))</f>
        <v>375000</v>
      </c>
      <c r="J58" s="73" t="n">
        <f aca="false">MIN(I56*IF(J29=1,1+$C$14,1),$C56*(1+$C$14)*IF(J29&lt;=4,$C$13/4,Appels_base))</f>
        <v>375000</v>
      </c>
      <c r="K58" s="73" t="n">
        <f aca="false">MIN(J56*IF(K29=1,1+$C$14,1),$C56*(1+$C$14)*IF(K29&lt;=4,$C$13/4,Appels_base))</f>
        <v>375000</v>
      </c>
      <c r="L58" s="73" t="n">
        <f aca="false">MIN(K56*IF(L29=1,1+$C$14,1),$C56*(1+$C$14)*IF(L29&lt;=4,$C$13/4,Appels_base))</f>
        <v>375000</v>
      </c>
      <c r="M58" s="73" t="n">
        <f aca="false">MIN(L56*IF(M29=1,1+$C$14,1),$C56*(1+$C$14)*IF(M29&lt;=4,$C$13/4,Appels_base))</f>
        <v>375000</v>
      </c>
      <c r="N58" s="73" t="n">
        <f aca="false">MIN(M56*IF(N29=1,1+$C$14,1),$C56*(1+$C$14)*IF(N29&lt;=4,$C$13/4,Appels_base))</f>
        <v>375000</v>
      </c>
      <c r="O58" s="73" t="n">
        <f aca="false">MIN(N56*IF(O29=1,1+$C$14,1),$C56*(1+$C$14)*IF(O29&lt;=4,$C$13/4,Appels_base))</f>
        <v>375000</v>
      </c>
    </row>
    <row r="59" customFormat="false" ht="15" hidden="false" customHeight="false" outlineLevel="0" collapsed="false">
      <c r="B59" s="65" t="s">
        <v>1046</v>
      </c>
      <c r="C59" s="25"/>
      <c r="D59" s="73" t="n">
        <f aca="false">MIN(C57*IF(D29=1,1+MSIG_USD*$C$14,1),$C57*(1+MSIG_USD*$C$14)*IF(D29&lt;=4,$C$13/4,Appels_base))</f>
        <v>250000</v>
      </c>
      <c r="E59" s="73" t="n">
        <f aca="false">MIN(D57*IF(E29=1,1+MSIG_USD*$C$14,1),$C57*(1+MSIG_USD*$C$14)*IF(E29&lt;=4,$C$13/4,Appels_base))</f>
        <v>250000</v>
      </c>
      <c r="F59" s="73" t="n">
        <f aca="false">MIN(E57*IF(F29=1,1+MSIG_USD*$C$14,1),$C57*(1+MSIG_USD*$C$14)*IF(F29&lt;=4,$C$13/4,Appels_base))</f>
        <v>250000</v>
      </c>
      <c r="G59" s="73" t="n">
        <f aca="false">MIN(F57*IF(G29=1,1+MSIG_USD*$C$14,1),$C57*(1+MSIG_USD*$C$14)*IF(G29&lt;=4,$C$13/4,Appels_base))</f>
        <v>250000</v>
      </c>
      <c r="H59" s="73" t="n">
        <f aca="false">MIN(G57*IF(H29=1,1+MSIG_USD*$C$14,1),$C57*(1+MSIG_USD*$C$14)*IF(H29&lt;=4,$C$13/4,Appels_base))</f>
        <v>250000</v>
      </c>
      <c r="I59" s="73" t="n">
        <f aca="false">MIN(H57*IF(I29=1,1+MSIG_USD*$C$14,1),$C57*(1+MSIG_USD*$C$14)*IF(I29&lt;=4,$C$13/4,Appels_base))</f>
        <v>250000</v>
      </c>
      <c r="J59" s="73" t="n">
        <f aca="false">MIN(I57*IF(J29=1,1+MSIG_USD*$C$14,1),$C57*(1+MSIG_USD*$C$14)*IF(J29&lt;=4,$C$13/4,Appels_base))</f>
        <v>250000</v>
      </c>
      <c r="K59" s="73" t="n">
        <f aca="false">MIN(J57*IF(K29=1,1+MSIG_USD*$C$14,1),$C57*(1+MSIG_USD*$C$14)*IF(K29&lt;=4,$C$13/4,Appels_base))</f>
        <v>250000</v>
      </c>
      <c r="L59" s="73" t="n">
        <f aca="false">MIN(K57*IF(L29=1,1+MSIG_USD*$C$14,1),$C57*(1+MSIG_USD*$C$14)*IF(L29&lt;=4,$C$13/4,Appels_base))</f>
        <v>250000</v>
      </c>
      <c r="M59" s="73" t="n">
        <f aca="false">MIN(L57*IF(M29=1,1+MSIG_USD*$C$14,1),$C57*(1+MSIG_USD*$C$14)*IF(M29&lt;=4,$C$13/4,Appels_base))</f>
        <v>250000</v>
      </c>
      <c r="N59" s="73" t="n">
        <f aca="false">MIN(M57*IF(N29=1,1+MSIG_USD*$C$14,1),$C57*(1+MSIG_USD*$C$14)*IF(N29&lt;=4,$C$13/4,Appels_base))</f>
        <v>250000</v>
      </c>
      <c r="O59" s="73" t="n">
        <f aca="false">MIN(N57*IF(O29=1,1+MSIG_USD*$C$14,1),$C57*(1+MSIG_USD*$C$14)*IF(O29&lt;=4,$C$13/4,Appels_base))</f>
        <v>250000</v>
      </c>
    </row>
    <row r="60" customFormat="false" ht="15" hidden="false" customHeight="false" outlineLevel="0" collapsed="false">
      <c r="B60" s="65" t="s">
        <v>1047</v>
      </c>
      <c r="C60" s="25"/>
      <c r="D60" s="73" t="n">
        <f aca="false">C50*Capacite_evg*IF(D29&lt;=4,$C$17,$C$18)</f>
        <v>612500</v>
      </c>
      <c r="E60" s="73" t="n">
        <f aca="false">D50*Capacite_evg*IF(E29&lt;=4,$C$17,$C$18)</f>
        <v>625071.5625</v>
      </c>
      <c r="F60" s="73" t="n">
        <f aca="false">E50*Capacite_evg*IF(F29&lt;=4,$C$17,$C$18)</f>
        <v>644778.509835938</v>
      </c>
      <c r="G60" s="73" t="n">
        <f aca="false">F50*Capacite_evg*IF(G29&lt;=4,$C$17,$C$18)</f>
        <v>672132.204311521</v>
      </c>
      <c r="H60" s="73" t="n">
        <f aca="false">G50*Capacite_evg*IF(H29&lt;=4,$C$17,$C$18)</f>
        <v>735430.823781201</v>
      </c>
      <c r="I60" s="73" t="n">
        <f aca="false">H50*Capacite_evg*IF(I29&lt;=4,$C$17,$C$18)</f>
        <v>767811.847358185</v>
      </c>
      <c r="J60" s="73" t="n">
        <f aca="false">I50*Capacite_evg*IF(J29&lt;=4,$C$17,$C$18)</f>
        <v>839874.969057044</v>
      </c>
      <c r="K60" s="73" t="n">
        <f aca="false">J50*Capacite_evg*IF(K29&lt;=4,$C$17,$C$18)</f>
        <v>877752.626253676</v>
      </c>
      <c r="L60" s="73" t="n">
        <f aca="false">K50*Capacite_evg*IF(L29&lt;=4,$C$17,$C$18)</f>
        <v>959571.90838919</v>
      </c>
      <c r="M60" s="73" t="n">
        <f aca="false">L50*Capacite_evg*IF(M29&lt;=4,$C$17,$C$18)</f>
        <v>1003589.66556022</v>
      </c>
      <c r="N60" s="73" t="n">
        <f aca="false">M50*Capacite_evg*IF(N29&lt;=4,$C$17,$C$18)</f>
        <v>1096265.11387502</v>
      </c>
      <c r="O60" s="73" t="n">
        <f aca="false">N50*Capacite_evg*IF(O29&lt;=4,$C$17,$C$18)</f>
        <v>1147137.08405854</v>
      </c>
    </row>
    <row r="61" customFormat="false" ht="15" hidden="false" customHeight="false" outlineLevel="0" collapsed="false">
      <c r="B61" s="65" t="s">
        <v>1048</v>
      </c>
      <c r="C61" s="25"/>
      <c r="D61" s="73" t="n">
        <f aca="false">C51*Capacite_evg*IF(D29&lt;=4,$C$17,$C$19)*(1-IF(D29&lt;=Deduc_trim,Deduc_ares,0))</f>
        <v>581875</v>
      </c>
      <c r="E61" s="73" t="n">
        <f aca="false">D51*Capacite_evg*IF(E29&lt;=4,$C$17,$C$19)*(1-IF(E29&lt;=Deduc_trim,Deduc_ares,0))</f>
        <v>586151.78125</v>
      </c>
      <c r="F61" s="73" t="n">
        <f aca="false">E51*Capacite_evg*IF(F29&lt;=4,$C$17,$C$19)*(1-IF(F29&lt;=Deduc_trim,Deduc_ares,0))</f>
        <v>596993.482682031</v>
      </c>
      <c r="G61" s="73" t="n">
        <f aca="false">F51*Capacite_evg*IF(G29&lt;=4,$C$17,$C$19)*(1-IF(G29&lt;=Deduc_trim,Deduc_ares,0))</f>
        <v>614795.019562885</v>
      </c>
      <c r="H61" s="73" t="n">
        <f aca="false">G51*Capacite_evg*IF(H29&lt;=4,$C$17,$C$19)*(1-IF(H29&lt;=Deduc_trim,Deduc_ares,0))</f>
        <v>701412.330141104</v>
      </c>
      <c r="I61" s="73" t="n">
        <f aca="false">H51*Capacite_evg*IF(I29&lt;=4,$C$17,$C$19)*(1-IF(I29&lt;=Deduc_trim,Deduc_ares,0))</f>
        <v>723854.016686516</v>
      </c>
      <c r="J61" s="73" t="n">
        <f aca="false">I51*Capacite_evg*IF(J29&lt;=4,$C$17,$C$19)*(1-IF(J29&lt;=Deduc_trim,Deduc_ares,0))</f>
        <v>785478.127240994</v>
      </c>
      <c r="K61" s="73" t="n">
        <f aca="false">J51*Capacite_evg*IF(K29&lt;=4,$C$17,$C$19)*(1-IF(K29&lt;=Deduc_trim,Deduc_ares,0))</f>
        <v>811890.614932951</v>
      </c>
      <c r="L61" s="73" t="n">
        <f aca="false">K51*Capacite_evg*IF(L29&lt;=4,$C$17,$C$19)*(1-IF(L29&lt;=Deduc_trim,Deduc_ares,0))</f>
        <v>881661.420434366</v>
      </c>
      <c r="M61" s="73" t="n">
        <f aca="false">L51*Capacite_evg*IF(M29&lt;=4,$C$17,$C$19)*(1-IF(M29&lt;=Deduc_trim,Deduc_ares,0))</f>
        <v>912464.175625895</v>
      </c>
      <c r="N61" s="73" t="n">
        <f aca="false">M51*Capacite_evg*IF(N29&lt;=4,$C$17,$C$19)*(1-IF(N29&lt;=Deduc_trim,Deduc_ares,0))</f>
        <v>991247.557745927</v>
      </c>
      <c r="O61" s="73" t="n">
        <f aca="false">N51*Capacite_evg*IF(O29&lt;=4,$C$17,$C$19)*(1-IF(O29&lt;=Deduc_trim,Deduc_ares,0))</f>
        <v>1026904.35601659</v>
      </c>
    </row>
    <row r="62" customFormat="false" ht="15" hidden="false" customHeight="false" outlineLevel="0" collapsed="false">
      <c r="B62" s="65" t="s">
        <v>1049</v>
      </c>
      <c r="C62" s="25"/>
      <c r="D62" s="73" t="n">
        <f aca="false">C76</f>
        <v>7500000</v>
      </c>
      <c r="E62" s="73" t="n">
        <f aca="false">D76</f>
        <v>8545000</v>
      </c>
      <c r="F62" s="73" t="n">
        <f aca="false">E76</f>
        <v>10426253.75</v>
      </c>
      <c r="G62" s="73" t="n">
        <f aca="false">F76</f>
        <v>11076901.0082813</v>
      </c>
      <c r="H62" s="73" t="n">
        <f aca="false">G76</f>
        <v>11542284.5804876</v>
      </c>
      <c r="I62" s="73" t="n">
        <f aca="false">H76</f>
        <v>12257452.6924834</v>
      </c>
      <c r="J62" s="73" t="n">
        <f aca="false">I76</f>
        <v>12772614.7670177</v>
      </c>
      <c r="K62" s="73" t="n">
        <f aca="false">J76</f>
        <v>13564219.8739408</v>
      </c>
      <c r="L62" s="73" t="n">
        <f aca="false">K76</f>
        <v>14134518.1854156</v>
      </c>
      <c r="M62" s="73" t="n">
        <f aca="false">L76</f>
        <v>15010754.7015307</v>
      </c>
      <c r="N62" s="73" t="n">
        <f aca="false">M76</f>
        <v>15642107.2448092</v>
      </c>
      <c r="O62" s="73" t="n">
        <f aca="false">N76</f>
        <v>16612049.8974973</v>
      </c>
    </row>
    <row r="63" customFormat="false" ht="15" hidden="false" customHeight="false" outlineLevel="0" collapsed="false">
      <c r="B63" s="65" t="s">
        <v>1050</v>
      </c>
      <c r="C63" s="25"/>
      <c r="D63" s="73" t="n">
        <f aca="false">D62*Taux_treso/4</f>
        <v>46875</v>
      </c>
      <c r="E63" s="73" t="n">
        <f aca="false">E62*Taux_treso/4</f>
        <v>53406.25</v>
      </c>
      <c r="F63" s="73" t="n">
        <f aca="false">F62*Taux_treso/4</f>
        <v>65164.0859375</v>
      </c>
      <c r="G63" s="73" t="n">
        <f aca="false">G62*Taux_treso/4</f>
        <v>69230.6313017578</v>
      </c>
      <c r="H63" s="73" t="n">
        <f aca="false">H62*Taux_treso/4</f>
        <v>72139.2786280474</v>
      </c>
      <c r="I63" s="73" t="n">
        <f aca="false">I62*Taux_treso/4</f>
        <v>76609.079328021</v>
      </c>
      <c r="J63" s="73" t="n">
        <f aca="false">J62*Taux_treso/4</f>
        <v>79828.8422938608</v>
      </c>
      <c r="K63" s="73" t="n">
        <f aca="false">K62*Taux_treso/4</f>
        <v>84776.3742121302</v>
      </c>
      <c r="L63" s="73" t="n">
        <f aca="false">L62*Taux_treso/4</f>
        <v>88340.7386588473</v>
      </c>
      <c r="M63" s="73" t="n">
        <f aca="false">M62*Taux_treso/4</f>
        <v>93817.2168845668</v>
      </c>
      <c r="N63" s="73" t="n">
        <f aca="false">N62*Taux_treso/4</f>
        <v>97763.1702800572</v>
      </c>
      <c r="O63" s="73" t="n">
        <f aca="false">O62*Taux_treso/4</f>
        <v>103825.311859358</v>
      </c>
    </row>
    <row r="64" customFormat="false" ht="15" hidden="false" customHeight="false" outlineLevel="0" collapsed="false">
      <c r="B64" s="65" t="s">
        <v>1051</v>
      </c>
      <c r="C64" s="25"/>
      <c r="D64" s="73" t="n">
        <f aca="false">SUM(D52:D55)</f>
        <v>498125</v>
      </c>
      <c r="E64" s="73" t="n">
        <f aca="false">SUM(E52:E55)</f>
        <v>512362.71875</v>
      </c>
      <c r="F64" s="73" t="n">
        <f aca="false">SUM(F52:F55)</f>
        <v>529116.431360156</v>
      </c>
      <c r="G64" s="73" t="n">
        <f aca="false">SUM(G52:G55)</f>
        <v>548541.706598404</v>
      </c>
      <c r="H64" s="73" t="n">
        <f aca="false">SUM(H52:H55)</f>
        <v>580517.642218325</v>
      </c>
      <c r="I64" s="73" t="n">
        <f aca="false">SUM(I52:I55)</f>
        <v>601523.698488366</v>
      </c>
      <c r="J64" s="73" t="n">
        <f aca="false">SUM(J52:J55)</f>
        <v>636370.467080331</v>
      </c>
      <c r="K64" s="73" t="n">
        <f aca="false">SUM(K52:K55)</f>
        <v>659073.202128117</v>
      </c>
      <c r="L64" s="73" t="n">
        <f aca="false">SUM(L52:L55)</f>
        <v>697087.623587545</v>
      </c>
      <c r="M64" s="73" t="n">
        <f aca="false">SUM(M52:M55)</f>
        <v>721658.354039188</v>
      </c>
      <c r="N64" s="73" t="n">
        <f aca="false">SUM(N52:N55)</f>
        <v>763169.017788983</v>
      </c>
      <c r="O64" s="73" t="n">
        <f aca="false">SUM(O52:O55)</f>
        <v>789797.232413184</v>
      </c>
    </row>
    <row r="65" customFormat="false" ht="15" hidden="false" customHeight="false" outlineLevel="0" collapsed="false">
      <c r="B65" s="65" t="s">
        <v>1052</v>
      </c>
      <c r="C65" s="25"/>
      <c r="D65" s="73" t="n">
        <f aca="false">IF(AND(Distrib_tension=1,OR(D37&gt;0.000001,C79&lt;Liq_min,C43=1)),0,MIN(Dist_porteurs/4*Part_d*D34,D64))</f>
        <v>125000</v>
      </c>
      <c r="E65" s="73" t="n">
        <f aca="false">IF(AND(Distrib_tension=1,OR(E37&gt;0.000001,D79&lt;Liq_min,D43=1)),0,MIN(Dist_porteurs/4*Part_d*E34,E64))</f>
        <v>130328.171875</v>
      </c>
      <c r="F65" s="73" t="n">
        <f aca="false">IF(AND(Distrib_tension=1,OR(F37&gt;0.000001,E79&lt;Liq_min,E43=1)),0,MIN(Dist_porteurs/4*Part_d*F34,F64))</f>
        <v>138461.262603516</v>
      </c>
      <c r="G65" s="73" t="n">
        <f aca="false">IF(AND(Distrib_tension=1,OR(G37&gt;0.000001,F79&lt;Liq_min,F43=1)),0,MIN(Dist_porteurs/4*Part_d*G34,G64))</f>
        <v>144278.557256095</v>
      </c>
      <c r="H65" s="73" t="n">
        <f aca="false">IF(AND(Distrib_tension=1,OR(H37&gt;0.000001,G79&lt;Liq_min,G43=1)),0,MIN(Dist_porteurs/4*Part_d*H34,H64))</f>
        <v>153218.158656042</v>
      </c>
      <c r="I65" s="73" t="n">
        <f aca="false">IF(AND(Distrib_tension=1,OR(I37&gt;0.000001,H79&lt;Liq_min,H43=1)),0,MIN(Dist_porteurs/4*Part_d*I34,I64))</f>
        <v>159657.684587722</v>
      </c>
      <c r="J65" s="73" t="n">
        <f aca="false">IF(AND(Distrib_tension=1,OR(J37&gt;0.000001,I79&lt;Liq_min,I43=1)),0,MIN(Dist_porteurs/4*Part_d*J34,J64))</f>
        <v>169552.74842426</v>
      </c>
      <c r="K65" s="73" t="n">
        <f aca="false">IF(AND(Distrib_tension=1,OR(K37&gt;0.000001,J79&lt;Liq_min,J43=1)),0,MIN(Dist_porteurs/4*Part_d*K34,K64))</f>
        <v>176681.477317695</v>
      </c>
      <c r="L65" s="73" t="n">
        <f aca="false">IF(AND(Distrib_tension=1,OR(L37&gt;0.000001,K79&lt;Liq_min,K43=1)),0,MIN(Dist_porteurs/4*Part_d*L34,L64))</f>
        <v>187634.433769134</v>
      </c>
      <c r="M65" s="73" t="n">
        <f aca="false">IF(AND(Distrib_tension=1,OR(M37&gt;0.000001,L79&lt;Liq_min,L43=1)),0,MIN(Dist_porteurs/4*Part_d*M34,M64))</f>
        <v>195526.340560114</v>
      </c>
      <c r="N65" s="73" t="n">
        <f aca="false">IF(AND(Distrib_tension=1,OR(N37&gt;0.000001,M79&lt;Liq_min,M43=1)),0,MIN(Dist_porteurs/4*Part_d*N34,N64))</f>
        <v>207650.623718716</v>
      </c>
      <c r="O65" s="73" t="n">
        <f aca="false">IF(AND(Distrib_tension=1,OR(O37&gt;0.000001,N79&lt;Liq_min,N43=1)),0,MIN(Dist_porteurs/4*Part_d*O34,O64))</f>
        <v>216387.636878955</v>
      </c>
    </row>
    <row r="66" customFormat="false" ht="15" hidden="false" customHeight="false" outlineLevel="0" collapsed="false">
      <c r="B66" s="65" t="s">
        <v>1053</v>
      </c>
      <c r="C66" s="25"/>
      <c r="D66" s="73" t="n">
        <f aca="false">D58+D59</f>
        <v>625000</v>
      </c>
      <c r="E66" s="73" t="n">
        <f aca="false">E58+E59</f>
        <v>625000</v>
      </c>
      <c r="F66" s="73" t="n">
        <f aca="false">F58+F59</f>
        <v>625000</v>
      </c>
      <c r="G66" s="73" t="n">
        <f aca="false">G58+G59</f>
        <v>625000</v>
      </c>
      <c r="H66" s="73" t="n">
        <f aca="false">H58+H59</f>
        <v>625000</v>
      </c>
      <c r="I66" s="73" t="n">
        <f aca="false">I58+I59</f>
        <v>625000</v>
      </c>
      <c r="J66" s="73" t="n">
        <f aca="false">J58+J59</f>
        <v>625000</v>
      </c>
      <c r="K66" s="73" t="n">
        <f aca="false">K58+K59</f>
        <v>625000</v>
      </c>
      <c r="L66" s="73" t="n">
        <f aca="false">L58+L59</f>
        <v>625000</v>
      </c>
      <c r="M66" s="73" t="n">
        <f aca="false">M58+M59</f>
        <v>625000</v>
      </c>
      <c r="N66" s="73" t="n">
        <f aca="false">N58+N59</f>
        <v>625000</v>
      </c>
      <c r="O66" s="73" t="n">
        <f aca="false">O58+O59</f>
        <v>625000</v>
      </c>
    </row>
    <row r="67" customFormat="false" ht="15" hidden="false" customHeight="false" outlineLevel="0" collapsed="false">
      <c r="B67" s="65" t="s">
        <v>1054</v>
      </c>
      <c r="C67" s="25"/>
      <c r="D67" s="73" t="n">
        <f aca="false">D34*Frais_an/4</f>
        <v>250000</v>
      </c>
      <c r="E67" s="73" t="n">
        <f aca="false">E34*Frais_an/4</f>
        <v>260656.34375</v>
      </c>
      <c r="F67" s="73" t="n">
        <f aca="false">F34*Frais_an/4</f>
        <v>276922.525207031</v>
      </c>
      <c r="G67" s="73" t="n">
        <f aca="false">G34*Frais_an/4</f>
        <v>288557.11451219</v>
      </c>
      <c r="H67" s="73" t="n">
        <f aca="false">H34*Frais_an/4</f>
        <v>306436.317312084</v>
      </c>
      <c r="I67" s="73" t="n">
        <f aca="false">I34*Frais_an/4</f>
        <v>319315.369175443</v>
      </c>
      <c r="J67" s="73" t="n">
        <f aca="false">J34*Frais_an/4</f>
        <v>339105.496848521</v>
      </c>
      <c r="K67" s="73" t="n">
        <f aca="false">K34*Frais_an/4</f>
        <v>353362.954635389</v>
      </c>
      <c r="L67" s="73" t="n">
        <f aca="false">L34*Frais_an/4</f>
        <v>375268.867538267</v>
      </c>
      <c r="M67" s="73" t="n">
        <f aca="false">M34*Frais_an/4</f>
        <v>391052.681120229</v>
      </c>
      <c r="N67" s="73" t="n">
        <f aca="false">N34*Frais_an/4</f>
        <v>415301.247437432</v>
      </c>
      <c r="O67" s="73" t="n">
        <f aca="false">O34*Frais_an/4</f>
        <v>432775.27375791</v>
      </c>
    </row>
    <row r="68" customFormat="false" ht="15" hidden="false" customHeight="false" outlineLevel="0" collapsed="false">
      <c r="B68" s="65" t="s">
        <v>1055</v>
      </c>
      <c r="C68" s="25"/>
      <c r="D68" s="73" t="n">
        <f aca="false">C77*Taux_emprunt/4</f>
        <v>0</v>
      </c>
      <c r="E68" s="73" t="n">
        <f aca="false">D77*Taux_emprunt/4</f>
        <v>0</v>
      </c>
      <c r="F68" s="73" t="n">
        <f aca="false">E77*Taux_emprunt/4</f>
        <v>0</v>
      </c>
      <c r="G68" s="73" t="n">
        <f aca="false">F77*Taux_emprunt/4</f>
        <v>0</v>
      </c>
      <c r="H68" s="73" t="n">
        <f aca="false">G77*Taux_emprunt/4</f>
        <v>0</v>
      </c>
      <c r="I68" s="73" t="n">
        <f aca="false">H77*Taux_emprunt/4</f>
        <v>0</v>
      </c>
      <c r="J68" s="73" t="n">
        <f aca="false">I77*Taux_emprunt/4</f>
        <v>0</v>
      </c>
      <c r="K68" s="73" t="n">
        <f aca="false">J77*Taux_emprunt/4</f>
        <v>0</v>
      </c>
      <c r="L68" s="73" t="n">
        <f aca="false">K77*Taux_emprunt/4</f>
        <v>0</v>
      </c>
      <c r="M68" s="73" t="n">
        <f aca="false">L77*Taux_emprunt/4</f>
        <v>0</v>
      </c>
      <c r="N68" s="73" t="n">
        <f aca="false">M77*Taux_emprunt/4</f>
        <v>0</v>
      </c>
      <c r="O68" s="73" t="n">
        <f aca="false">N77*Taux_emprunt/4</f>
        <v>0</v>
      </c>
    </row>
    <row r="69" customFormat="false" ht="15" hidden="false" customHeight="false" outlineLevel="0" collapsed="false">
      <c r="B69" s="65" t="s">
        <v>1056</v>
      </c>
      <c r="C69" s="25"/>
      <c r="D69" s="73" t="n">
        <f aca="false">D62+D63+D64-D65+D35-D66-D67-D68</f>
        <v>9545000</v>
      </c>
      <c r="E69" s="73" t="n">
        <f aca="false">E62+E63+E64-E65+E35-E66-E67-E68</f>
        <v>10701347.890625</v>
      </c>
      <c r="F69" s="73" t="n">
        <f aca="false">F62+F63+F64-F65+F35-F66-F67-F68</f>
        <v>12749375.7315574</v>
      </c>
      <c r="G69" s="73" t="n">
        <f aca="false">G62+G63+G64-G65+G35-G66-G67-G68</f>
        <v>13522408.819535</v>
      </c>
      <c r="H69" s="73" t="n">
        <f aca="false">H62+H63+H64-H65+H35-H66-H67-H68</f>
        <v>14174650.1984867</v>
      </c>
      <c r="I69" s="73" t="n">
        <f aca="false">I62+I63+I64-I65+I35-I66-I67-I68</f>
        <v>15024766.108291</v>
      </c>
      <c r="J69" s="73" t="n">
        <f aca="false">J62+J63+J64-J65+J35-J66-J67-J68</f>
        <v>15746210.7996043</v>
      </c>
      <c r="K69" s="73" t="n">
        <f aca="false">K62+K63+K64-K65+K35-K66-K67-K68</f>
        <v>16686654.5646819</v>
      </c>
      <c r="L69" s="73" t="n">
        <f aca="false">L62+L63+L64-L65+L35-L66-L67-L68</f>
        <v>17484731.9217372</v>
      </c>
      <c r="M69" s="73" t="n">
        <f aca="false">M62+M63+M64-M65+M35-M66-M67-M68</f>
        <v>18525178.0619764</v>
      </c>
      <c r="N69" s="73" t="n">
        <f aca="false">N62+N63+N64-N65+N35-N66-N67-N68</f>
        <v>19408100.0360964</v>
      </c>
      <c r="O69" s="73" t="n">
        <f aca="false">O62+O63+O64-O65+O35-O66-O67-O68</f>
        <v>20559262.2687121</v>
      </c>
    </row>
    <row r="70" customFormat="false" ht="15" hidden="false" customHeight="false" outlineLevel="0" collapsed="false">
      <c r="B70" s="65" t="s">
        <v>1057</v>
      </c>
      <c r="C70" s="25"/>
      <c r="D70" s="73" t="n">
        <f aca="false">MIN(D60+D61,MAX(0,Liq_cible*D34-(D69-D44)))</f>
        <v>0</v>
      </c>
      <c r="E70" s="73" t="n">
        <f aca="false">MIN(E60+E61,MAX(0,Liq_cible*E34-(E69-E44)))</f>
        <v>0</v>
      </c>
      <c r="F70" s="73" t="n">
        <f aca="false">MIN(F60+F61,MAX(0,Liq_cible*F34-(F69-F44)))</f>
        <v>0</v>
      </c>
      <c r="G70" s="73" t="n">
        <f aca="false">MIN(G60+G61,MAX(0,Liq_cible*G34-(G69-G44)))</f>
        <v>0</v>
      </c>
      <c r="H70" s="73" t="n">
        <f aca="false">MIN(H60+H61,MAX(0,Liq_cible*H34-(H69-H44)))</f>
        <v>0</v>
      </c>
      <c r="I70" s="73" t="n">
        <f aca="false">MIN(I60+I61,MAX(0,Liq_cible*I34-(I69-I44)))</f>
        <v>0</v>
      </c>
      <c r="J70" s="73" t="n">
        <f aca="false">MIN(J60+J61,MAX(0,Liq_cible*J34-(J69-J44)))</f>
        <v>0</v>
      </c>
      <c r="K70" s="73" t="n">
        <f aca="false">MIN(K60+K61,MAX(0,Liq_cible*K34-(K69-K44)))</f>
        <v>0</v>
      </c>
      <c r="L70" s="73" t="n">
        <f aca="false">MIN(L60+L61,MAX(0,Liq_cible*L34-(L69-L44)))</f>
        <v>0</v>
      </c>
      <c r="M70" s="73" t="n">
        <f aca="false">MIN(M60+M61,MAX(0,Liq_cible*M34-(M69-M44)))</f>
        <v>0</v>
      </c>
      <c r="N70" s="73" t="n">
        <f aca="false">MIN(N60+N61,MAX(0,Liq_cible*N34-(N69-N44)))</f>
        <v>0</v>
      </c>
      <c r="O70" s="73" t="n">
        <f aca="false">MIN(O60+O61,MAX(0,Liq_cible*O34-(O69-O44)))</f>
        <v>0</v>
      </c>
    </row>
    <row r="71" customFormat="false" ht="15" hidden="false" customHeight="false" outlineLevel="0" collapsed="false">
      <c r="B71" s="65" t="s">
        <v>1058</v>
      </c>
      <c r="C71" s="25"/>
      <c r="D71" s="73" t="n">
        <f aca="false">D69-D44+D70</f>
        <v>8545000</v>
      </c>
      <c r="E71" s="73" t="n">
        <f aca="false">E69-E44+E70</f>
        <v>10701347.890625</v>
      </c>
      <c r="F71" s="73" t="n">
        <f aca="false">F69-F44+F70</f>
        <v>11641685.6307293</v>
      </c>
      <c r="G71" s="73" t="n">
        <f aca="false">G69-G44+G70</f>
        <v>13522408.819535</v>
      </c>
      <c r="H71" s="73" t="n">
        <f aca="false">H69-H44+H70</f>
        <v>12948904.9292383</v>
      </c>
      <c r="I71" s="73" t="n">
        <f aca="false">I69-I44+I70</f>
        <v>15024766.108291</v>
      </c>
      <c r="J71" s="73" t="n">
        <f aca="false">J69-J44+J70</f>
        <v>14389788.8122103</v>
      </c>
      <c r="K71" s="73" t="n">
        <f aca="false">K69-K44+K70</f>
        <v>16686654.5646819</v>
      </c>
      <c r="L71" s="73" t="n">
        <f aca="false">L69-L44+L70</f>
        <v>15983656.4515842</v>
      </c>
      <c r="M71" s="73" t="n">
        <f aca="false">M69-M44+M70</f>
        <v>18525178.0619764</v>
      </c>
      <c r="N71" s="73" t="n">
        <f aca="false">N69-N44+N70</f>
        <v>17746895.0463466</v>
      </c>
      <c r="O71" s="73" t="n">
        <f aca="false">O69-O44+O70</f>
        <v>20559262.2687121</v>
      </c>
    </row>
    <row r="72" customFormat="false" ht="15" hidden="false" customHeight="false" outlineLevel="0" collapsed="false">
      <c r="B72" s="65" t="s">
        <v>1059</v>
      </c>
      <c r="C72" s="25"/>
      <c r="D72" s="73" t="n">
        <f aca="false">MIN(MAX(0,MIN($C$20*AN_cible,Emprunt_max*D34)-C77),MAX(0,IF($C$20&gt;0,Poche_min_exec*D34,0)-D71))-IF(D71&gt;Liq_cible*D34,MIN(C77,D71-Liq_cible*D34),0)</f>
        <v>0</v>
      </c>
      <c r="E72" s="73" t="n">
        <f aca="false">MIN(MAX(0,MIN($C$20*AN_cible,Emprunt_max*E34)-D77),MAX(0,IF($C$20&gt;0,Poche_min_exec*E34,0)-E71))-IF(E71&gt;Liq_cible*E34,MIN(D77,E71-Liq_cible*E34),0)</f>
        <v>0</v>
      </c>
      <c r="F72" s="73" t="n">
        <f aca="false">MIN(MAX(0,MIN($C$20*AN_cible,Emprunt_max*F34)-E77),MAX(0,IF($C$20&gt;0,Poche_min_exec*F34,0)-F71))-IF(F71&gt;Liq_cible*F34,MIN(E77,F71-Liq_cible*F34),0)</f>
        <v>0</v>
      </c>
      <c r="G72" s="73" t="n">
        <f aca="false">MIN(MAX(0,MIN($C$20*AN_cible,Emprunt_max*G34)-F77),MAX(0,IF($C$20&gt;0,Poche_min_exec*G34,0)-G71))-IF(G71&gt;Liq_cible*G34,MIN(F77,G71-Liq_cible*G34),0)</f>
        <v>0</v>
      </c>
      <c r="H72" s="73" t="n">
        <f aca="false">MIN(MAX(0,MIN($C$20*AN_cible,Emprunt_max*H34)-G77),MAX(0,IF($C$20&gt;0,Poche_min_exec*H34,0)-H71))-IF(H71&gt;Liq_cible*H34,MIN(G77,H71-Liq_cible*H34),0)</f>
        <v>0</v>
      </c>
      <c r="I72" s="73" t="n">
        <f aca="false">MIN(MAX(0,MIN($C$20*AN_cible,Emprunt_max*I34)-H77),MAX(0,IF($C$20&gt;0,Poche_min_exec*I34,0)-I71))-IF(I71&gt;Liq_cible*I34,MIN(H77,I71-Liq_cible*I34),0)</f>
        <v>0</v>
      </c>
      <c r="J72" s="73" t="n">
        <f aca="false">MIN(MAX(0,MIN($C$20*AN_cible,Emprunt_max*J34)-I77),MAX(0,IF($C$20&gt;0,Poche_min_exec*J34,0)-J71))-IF(J71&gt;Liq_cible*J34,MIN(I77,J71-Liq_cible*J34),0)</f>
        <v>0</v>
      </c>
      <c r="K72" s="73" t="n">
        <f aca="false">MIN(MAX(0,MIN($C$20*AN_cible,Emprunt_max*K34)-J77),MAX(0,IF($C$20&gt;0,Poche_min_exec*K34,0)-K71))-IF(K71&gt;Liq_cible*K34,MIN(J77,K71-Liq_cible*K34),0)</f>
        <v>0</v>
      </c>
      <c r="L72" s="73" t="n">
        <f aca="false">MIN(MAX(0,MIN($C$20*AN_cible,Emprunt_max*L34)-K77),MAX(0,IF($C$20&gt;0,Poche_min_exec*L34,0)-L71))-IF(L71&gt;Liq_cible*L34,MIN(K77,L71-Liq_cible*L34),0)</f>
        <v>0</v>
      </c>
      <c r="M72" s="73" t="n">
        <f aca="false">MIN(MAX(0,MIN($C$20*AN_cible,Emprunt_max*M34)-L77),MAX(0,IF($C$20&gt;0,Poche_min_exec*M34,0)-M71))-IF(M71&gt;Liq_cible*M34,MIN(L77,M71-Liq_cible*M34),0)</f>
        <v>0</v>
      </c>
      <c r="N72" s="73" t="n">
        <f aca="false">MIN(MAX(0,MIN($C$20*AN_cible,Emprunt_max*N34)-M77),MAX(0,IF($C$20&gt;0,Poche_min_exec*N34,0)-N71))-IF(N71&gt;Liq_cible*N34,MIN(M77,N71-Liq_cible*N34),0)</f>
        <v>0</v>
      </c>
      <c r="O72" s="73" t="n">
        <f aca="false">MIN(MAX(0,MIN($C$20*AN_cible,Emprunt_max*O34)-N77),MAX(0,IF($C$20&gt;0,Poche_min_exec*O34,0)-O71))-IF(O71&gt;Liq_cible*O34,MIN(N77,O71-Liq_cible*O34),0)</f>
        <v>0</v>
      </c>
    </row>
    <row r="73" customFormat="false" ht="15" hidden="false" customHeight="false" outlineLevel="0" collapsed="false">
      <c r="B73" s="65" t="s">
        <v>1060</v>
      </c>
      <c r="C73" s="25"/>
      <c r="D73" s="73" t="n">
        <f aca="false">MIN((C48+C49+C50+C51),MAX(0,-(D71+D72))/(1-Decote))</f>
        <v>0</v>
      </c>
      <c r="E73" s="73" t="n">
        <f aca="false">MIN((D48+D49+D50+D51),MAX(0,-(E71+E72))/(1-Decote))</f>
        <v>0</v>
      </c>
      <c r="F73" s="73" t="n">
        <f aca="false">MIN((E48+E49+E50+E51),MAX(0,-(F71+F72))/(1-Decote))</f>
        <v>0</v>
      </c>
      <c r="G73" s="73" t="n">
        <f aca="false">MIN((F48+F49+F50+F51),MAX(0,-(G71+G72))/(1-Decote))</f>
        <v>0</v>
      </c>
      <c r="H73" s="73" t="n">
        <f aca="false">MIN((G48+G49+G50+G51),MAX(0,-(H71+H72))/(1-Decote))</f>
        <v>0</v>
      </c>
      <c r="I73" s="73" t="n">
        <f aca="false">MIN((H48+H49+H50+H51),MAX(0,-(I71+I72))/(1-Decote))</f>
        <v>0</v>
      </c>
      <c r="J73" s="73" t="n">
        <f aca="false">MIN((I48+I49+I50+I51),MAX(0,-(J71+J72))/(1-Decote))</f>
        <v>0</v>
      </c>
      <c r="K73" s="73" t="n">
        <f aca="false">MIN((J48+J49+J50+J51),MAX(0,-(K71+K72))/(1-Decote))</f>
        <v>0</v>
      </c>
      <c r="L73" s="73" t="n">
        <f aca="false">MIN((K48+K49+K50+K51),MAX(0,-(L71+L72))/(1-Decote))</f>
        <v>0</v>
      </c>
      <c r="M73" s="73" t="n">
        <f aca="false">MIN((L48+L49+L50+L51),MAX(0,-(M71+M72))/(1-Decote))</f>
        <v>0</v>
      </c>
      <c r="N73" s="73" t="n">
        <f aca="false">MIN((M48+M49+M50+M51),MAX(0,-(N71+N72))/(1-Decote))</f>
        <v>0</v>
      </c>
      <c r="O73" s="73" t="n">
        <f aca="false">MIN((N48+N49+N50+N51),MAX(0,-(O71+O72))/(1-Decote))</f>
        <v>0</v>
      </c>
    </row>
    <row r="74" customFormat="false" ht="15" hidden="false" customHeight="false" outlineLevel="0" collapsed="false">
      <c r="B74" s="65" t="s">
        <v>1061</v>
      </c>
      <c r="C74" s="25"/>
      <c r="D74" s="73" t="n">
        <f aca="false">D73*Decote</f>
        <v>0</v>
      </c>
      <c r="E74" s="73" t="n">
        <f aca="false">E73*Decote</f>
        <v>0</v>
      </c>
      <c r="F74" s="73" t="n">
        <f aca="false">F73*Decote</f>
        <v>0</v>
      </c>
      <c r="G74" s="73" t="n">
        <f aca="false">G73*Decote</f>
        <v>0</v>
      </c>
      <c r="H74" s="73" t="n">
        <f aca="false">H73*Decote</f>
        <v>0</v>
      </c>
      <c r="I74" s="73" t="n">
        <f aca="false">I73*Decote</f>
        <v>0</v>
      </c>
      <c r="J74" s="73" t="n">
        <f aca="false">J73*Decote</f>
        <v>0</v>
      </c>
      <c r="K74" s="73" t="n">
        <f aca="false">K73*Decote</f>
        <v>0</v>
      </c>
      <c r="L74" s="73" t="n">
        <f aca="false">L73*Decote</f>
        <v>0</v>
      </c>
      <c r="M74" s="73" t="n">
        <f aca="false">M73*Decote</f>
        <v>0</v>
      </c>
      <c r="N74" s="73" t="n">
        <f aca="false">N73*Decote</f>
        <v>0</v>
      </c>
      <c r="O74" s="73" t="n">
        <f aca="false">O73*Decote</f>
        <v>0</v>
      </c>
    </row>
    <row r="75" customFormat="false" ht="15" hidden="false" customHeight="false" outlineLevel="0" collapsed="false">
      <c r="B75" s="65" t="s">
        <v>1062</v>
      </c>
      <c r="C75" s="25"/>
      <c r="D75" s="73" t="n">
        <f aca="false">IF(AND(D45&lt;0.000001,C77+D72&lt;0.000001),MAX(0,D71+D72-Seuil_reinv*D34),0)</f>
        <v>0</v>
      </c>
      <c r="E75" s="73" t="n">
        <f aca="false">IF(AND(E45&lt;0.000001,D77+E72&lt;0.000001),MAX(0,E71+E72-Seuil_reinv*E34),0)</f>
        <v>275094.140625</v>
      </c>
      <c r="F75" s="73" t="n">
        <f aca="false">IF(AND(F45&lt;0.000001,E77+F72&lt;0.000001),MAX(0,F71+F72-Seuil_reinv*F34),0)</f>
        <v>564784.622448044</v>
      </c>
      <c r="G75" s="73" t="n">
        <f aca="false">IF(AND(G45&lt;0.000001,F77+G72&lt;0.000001),MAX(0,G71+G72-Seuil_reinv*G34),0)</f>
        <v>1980124.23904744</v>
      </c>
      <c r="H75" s="73" t="n">
        <f aca="false">IF(AND(H45&lt;0.000001,G77+H72&lt;0.000001),MAX(0,H71+H72-Seuil_reinv*H34),0)</f>
        <v>691452.236754973</v>
      </c>
      <c r="I75" s="73" t="n">
        <f aca="false">IF(AND(I45&lt;0.000001,H77+I72&lt;0.000001),MAX(0,I71+I72-Seuil_reinv*I34),0)</f>
        <v>2252151.34127329</v>
      </c>
      <c r="J75" s="73" t="n">
        <f aca="false">IF(AND(J45&lt;0.000001,I77+J72&lt;0.000001),MAX(0,J71+J72-Seuil_reinv*J34),0)</f>
        <v>825568.938269438</v>
      </c>
      <c r="K75" s="73" t="n">
        <f aca="false">IF(AND(K45&lt;0.000001,J77+K72&lt;0.000001),MAX(0,K71+K72-Seuil_reinv*K34),0)</f>
        <v>2552136.37926632</v>
      </c>
      <c r="L75" s="73" t="n">
        <f aca="false">IF(AND(L45&lt;0.000001,K77+L72&lt;0.000001),MAX(0,L71+L72-Seuil_reinv*L34),0)</f>
        <v>972901.750053465</v>
      </c>
      <c r="M75" s="73" t="n">
        <f aca="false">IF(AND(M45&lt;0.000001,L77+M72&lt;0.000001),MAX(0,M71+M72-Seuil_reinv*M34),0)</f>
        <v>2883070.81716724</v>
      </c>
      <c r="N75" s="73" t="n">
        <f aca="false">IF(AND(N45&lt;0.000001,M77+N72&lt;0.000001),MAX(0,N71+N72-Seuil_reinv*N34),0)</f>
        <v>1134845.14884936</v>
      </c>
      <c r="O75" s="73" t="n">
        <f aca="false">IF(AND(O45&lt;0.000001,N77+O72&lt;0.000001),MAX(0,O71+O72-Seuil_reinv*O34),0)</f>
        <v>3248251.31839567</v>
      </c>
    </row>
    <row r="76" customFormat="false" ht="15" hidden="false" customHeight="false" outlineLevel="0" collapsed="false">
      <c r="B76" s="65" t="s">
        <v>1063</v>
      </c>
      <c r="C76" s="73" t="n">
        <f aca="false">AN_cible*Ws_LIQ</f>
        <v>7500000</v>
      </c>
      <c r="D76" s="73" t="n">
        <f aca="false">D71+D72+D73-D74-D75</f>
        <v>8545000</v>
      </c>
      <c r="E76" s="73" t="n">
        <f aca="false">E71+E72+E73-E74-E75</f>
        <v>10426253.75</v>
      </c>
      <c r="F76" s="73" t="n">
        <f aca="false">F71+F72+F73-F74-F75</f>
        <v>11076901.0082813</v>
      </c>
      <c r="G76" s="73" t="n">
        <f aca="false">G71+G72+G73-G74-G75</f>
        <v>11542284.5804876</v>
      </c>
      <c r="H76" s="73" t="n">
        <f aca="false">H71+H72+H73-H74-H75</f>
        <v>12257452.6924834</v>
      </c>
      <c r="I76" s="73" t="n">
        <f aca="false">I71+I72+I73-I74-I75</f>
        <v>12772614.7670177</v>
      </c>
      <c r="J76" s="73" t="n">
        <f aca="false">J71+J72+J73-J74-J75</f>
        <v>13564219.8739408</v>
      </c>
      <c r="K76" s="73" t="n">
        <f aca="false">K71+K72+K73-K74-K75</f>
        <v>14134518.1854156</v>
      </c>
      <c r="L76" s="73" t="n">
        <f aca="false">L71+L72+L73-L74-L75</f>
        <v>15010754.7015307</v>
      </c>
      <c r="M76" s="73" t="n">
        <f aca="false">M71+M72+M73-M74-M75</f>
        <v>15642107.2448092</v>
      </c>
      <c r="N76" s="73" t="n">
        <f aca="false">N71+N72+N73-N74-N75</f>
        <v>16612049.8974973</v>
      </c>
      <c r="O76" s="73" t="n">
        <f aca="false">O71+O72+O73-O74-O75</f>
        <v>17311010.9503164</v>
      </c>
    </row>
    <row r="77" customFormat="false" ht="15" hidden="false" customHeight="false" outlineLevel="0" collapsed="false">
      <c r="B77" s="65" t="s">
        <v>1064</v>
      </c>
      <c r="C77" s="73" t="n">
        <v>0</v>
      </c>
      <c r="D77" s="73" t="n">
        <f aca="false">C77+D72</f>
        <v>0</v>
      </c>
      <c r="E77" s="73" t="n">
        <f aca="false">D77+E72</f>
        <v>0</v>
      </c>
      <c r="F77" s="73" t="n">
        <f aca="false">E77+F72</f>
        <v>0</v>
      </c>
      <c r="G77" s="73" t="n">
        <f aca="false">F77+G72</f>
        <v>0</v>
      </c>
      <c r="H77" s="73" t="n">
        <f aca="false">G77+H72</f>
        <v>0</v>
      </c>
      <c r="I77" s="73" t="n">
        <f aca="false">H77+I72</f>
        <v>0</v>
      </c>
      <c r="J77" s="73" t="n">
        <f aca="false">I77+J72</f>
        <v>0</v>
      </c>
      <c r="K77" s="73" t="n">
        <f aca="false">J77+K72</f>
        <v>0</v>
      </c>
      <c r="L77" s="73" t="n">
        <f aca="false">K77+L72</f>
        <v>0</v>
      </c>
      <c r="M77" s="73" t="n">
        <f aca="false">L77+M72</f>
        <v>0</v>
      </c>
      <c r="N77" s="73" t="n">
        <f aca="false">M77+N72</f>
        <v>0</v>
      </c>
      <c r="O77" s="73" t="n">
        <f aca="false">N77+O72</f>
        <v>0</v>
      </c>
    </row>
    <row r="78" customFormat="false" ht="15" hidden="false" customHeight="false" outlineLevel="0" collapsed="false">
      <c r="B78" s="74" t="s">
        <v>1065</v>
      </c>
      <c r="C78" s="73" t="n">
        <f aca="false">C48+C49+C50+C51+C76-C77</f>
        <v>50000000</v>
      </c>
      <c r="D78" s="73" t="n">
        <f aca="false">D48+D49+D50+D51+D76-D77</f>
        <v>52131268.75</v>
      </c>
      <c r="E78" s="73" t="n">
        <f aca="false">E48+E49+E50+E51+E76-E77</f>
        <v>55384505.0414063</v>
      </c>
      <c r="F78" s="73" t="n">
        <f aca="false">F48+F49+F50+F51+F76-F77</f>
        <v>57711422.9024379</v>
      </c>
      <c r="G78" s="73" t="n">
        <f aca="false">G48+G49+G50+G51+G76-G77</f>
        <v>61287263.4624168</v>
      </c>
      <c r="H78" s="73" t="n">
        <f aca="false">H48+H49+H50+H51+H76-H77</f>
        <v>63863073.8350886</v>
      </c>
      <c r="I78" s="73" t="n">
        <f aca="false">I48+I49+I50+I51+I76-I77</f>
        <v>67821099.3697041</v>
      </c>
      <c r="J78" s="73" t="n">
        <f aca="false">J48+J49+J50+J51+J76-J77</f>
        <v>70672590.9270778</v>
      </c>
      <c r="K78" s="73" t="n">
        <f aca="false">K48+K49+K50+K51+K76-K77</f>
        <v>75053773.5076535</v>
      </c>
      <c r="L78" s="73" t="n">
        <f aca="false">L48+L49+L50+L51+L76-L77</f>
        <v>78210536.2240458</v>
      </c>
      <c r="M78" s="73" t="n">
        <f aca="false">M48+M49+M50+M51+M76-M77</f>
        <v>83060249.4874864</v>
      </c>
      <c r="N78" s="73" t="n">
        <f aca="false">N48+N49+N50+N51+N76-N77</f>
        <v>86555054.7515819</v>
      </c>
      <c r="O78" s="73" t="n">
        <f aca="false">O48+O49+O50+O51+O76-O77</f>
        <v>91923547.4342431</v>
      </c>
    </row>
    <row r="79" customFormat="false" ht="15" hidden="false" customHeight="false" outlineLevel="0" collapsed="false">
      <c r="B79" s="65" t="s">
        <v>1066</v>
      </c>
      <c r="C79" s="72" t="n">
        <f aca="false">IF((C78+C77)&gt;0,C76/(C78+C77),0)</f>
        <v>0.15</v>
      </c>
      <c r="D79" s="72" t="n">
        <f aca="false">IF((D78+D77)&gt;0,D76/(D78+D77),0)</f>
        <v>0.16391314090164</v>
      </c>
      <c r="E79" s="72" t="n">
        <f aca="false">IF((E78+E77)&gt;0,E76/(E78+E77),0)</f>
        <v>0.188252178875756</v>
      </c>
      <c r="F79" s="72" t="n">
        <f aca="false">IF((F78+F77)&gt;0,F76/(F78+F77),0)</f>
        <v>0.191936023254996</v>
      </c>
      <c r="G79" s="72" t="n">
        <f aca="false">IF((G78+G77)&gt;0,G76/(G78+G77),0)</f>
        <v>0.188330885218356</v>
      </c>
      <c r="H79" s="72" t="n">
        <f aca="false">IF((H78+H77)&gt;0,H76/(H78+H77),0)</f>
        <v>0.191933334185187</v>
      </c>
      <c r="I79" s="72" t="n">
        <f aca="false">IF((I78+I77)&gt;0,I76/(I78+I77),0)</f>
        <v>0.188328040767845</v>
      </c>
      <c r="J79" s="72" t="n">
        <f aca="false">IF((J78+J77)&gt;0,J76/(J78+J77),0)</f>
        <v>0.191930417379728</v>
      </c>
      <c r="K79" s="72" t="n">
        <f aca="false">IF((K78+K77)&gt;0,K76/(K78+K77),0)</f>
        <v>0.188325217038877</v>
      </c>
      <c r="L79" s="72" t="n">
        <f aca="false">IF((L78+L77)&gt;0,L76/(L78+L77),0)</f>
        <v>0.191927525704851</v>
      </c>
      <c r="M79" s="72" t="n">
        <f aca="false">IF((M78+M77)&gt;0,M76/(M78+M77),0)</f>
        <v>0.188322420668454</v>
      </c>
      <c r="N79" s="72" t="n">
        <f aca="false">IF((N78+N77)&gt;0,N76/(N78+N77),0)</f>
        <v>0.191924665118344</v>
      </c>
      <c r="O79" s="72" t="n">
        <f aca="false">IF((O78+O77)&gt;0,O76/(O78+O77),0)</f>
        <v>0.18831965729673</v>
      </c>
    </row>
    <row r="80" customFormat="false" ht="15" hidden="false" customHeight="false" outlineLevel="0" collapsed="false">
      <c r="B80" s="65" t="s">
        <v>1067</v>
      </c>
      <c r="C80" s="72" t="n">
        <f aca="false">0</f>
        <v>0</v>
      </c>
      <c r="D80" s="72" t="n">
        <f aca="false">IF(D78&gt;0,D45/D78,0)</f>
        <v>0</v>
      </c>
      <c r="E80" s="72" t="n">
        <f aca="false">IF(E78&gt;0,E45/E78,0)</f>
        <v>0</v>
      </c>
      <c r="F80" s="72" t="n">
        <f aca="false">IF(F78&gt;0,F45/F78,0)</f>
        <v>0</v>
      </c>
      <c r="G80" s="72" t="n">
        <f aca="false">IF(G78&gt;0,G45/G78,0)</f>
        <v>0</v>
      </c>
      <c r="H80" s="72" t="n">
        <f aca="false">IF(H78&gt;0,H45/H78,0)</f>
        <v>0</v>
      </c>
      <c r="I80" s="72" t="n">
        <f aca="false">IF(I78&gt;0,I45/I78,0)</f>
        <v>0</v>
      </c>
      <c r="J80" s="72" t="n">
        <f aca="false">IF(J78&gt;0,J45/J78,0)</f>
        <v>0</v>
      </c>
      <c r="K80" s="72" t="n">
        <f aca="false">IF(K78&gt;0,K45/K78,0)</f>
        <v>0</v>
      </c>
      <c r="L80" s="72" t="n">
        <f aca="false">IF(L78&gt;0,L45/L78,0)</f>
        <v>0</v>
      </c>
      <c r="M80" s="72" t="n">
        <f aca="false">IF(M78&gt;0,M45/M78,0)</f>
        <v>0</v>
      </c>
      <c r="N80" s="72" t="n">
        <f aca="false">IF(N78&gt;0,N45/N78,0)</f>
        <v>0</v>
      </c>
      <c r="O80" s="72" t="n">
        <f aca="false">IF(O78&gt;0,O45/O78,0)</f>
        <v>0</v>
      </c>
    </row>
    <row r="81" customFormat="false" ht="15" hidden="false" customHeight="false" outlineLevel="0" collapsed="false">
      <c r="B81" s="65" t="s">
        <v>1068</v>
      </c>
      <c r="C81" s="75" t="n">
        <f aca="false">IF((C45+SUM(D36:G36)+SUM(D66:G66)+SUM(D67:G67)+SUM(D65:G65))&lt;=0,9.99,MIN(9.99,(C76+SUM(D64:G64)+SUM(D60:G61)+MAX(0,MIN($C$20*AN_cible,Emprunt_max*C78)-C77))/(C45+SUM(D36:G36)+SUM(D66:G66)+SUM(D67:G67)+SUM(D65:G65))))</f>
        <v>2.33408721514473</v>
      </c>
      <c r="D81" s="73" t="n">
        <f aca="false">IF((D45+SUM(E36:H36)+SUM(E66:H66)+SUM(E67:H67)+SUM(E65:H65))&lt;=0,9.99,MIN(9.99,(D76+SUM(E64:H64)+SUM(E60:H61)+MAX(0,MIN($C$20*AN_cible,Emprunt_max*D78)-D77))/(D45+SUM(E36:H36)+SUM(E66:H66)+SUM(E67:H67)+SUM(E65:H65))))</f>
        <v>2.43288263631018</v>
      </c>
      <c r="E81" s="73" t="n">
        <f aca="false">IF((E45+SUM(F36:I36)+SUM(F66:I66)+SUM(F67:I67)+SUM(F65:I65))&lt;=0,9.99,MIN(9.99,(E76+SUM(F64:I64)+SUM(F60:I61)+MAX(0,MIN($C$20*AN_cible,Emprunt_max*E78)-E77))/(E45+SUM(F36:I36)+SUM(F66:I66)+SUM(F67:I67)+SUM(F65:I65))))</f>
        <v>2.74054194037514</v>
      </c>
      <c r="F81" s="73" t="n">
        <f aca="false">IF((F45+SUM(G36:J36)+SUM(G66:J66)+SUM(G67:J67)+SUM(G65:J65))&lt;=0,9.99,MIN(9.99,(F76+SUM(G64:J64)+SUM(G60:J61)+MAX(0,MIN($C$20*AN_cible,Emprunt_max*F78)-F77))/(F45+SUM(G36:J36)+SUM(G66:J66)+SUM(G67:J67)+SUM(G65:J65))))</f>
        <v>2.76987132856867</v>
      </c>
      <c r="G81" s="73" t="n">
        <f aca="false">IF((G45+SUM(H36:K36)+SUM(H66:K66)+SUM(H67:K67)+SUM(H65:K65))&lt;=0,9.99,MIN(9.99,(G76+SUM(H64:K64)+SUM(H60:K61)+MAX(0,MIN($C$20*AN_cible,Emprunt_max*G78)-G77))/(G45+SUM(H36:K36)+SUM(H66:K66)+SUM(H67:K67)+SUM(H65:K65))))</f>
        <v>2.8703565728774</v>
      </c>
      <c r="H81" s="73" t="n">
        <f aca="false">IF((H45+SUM(I36:L36)+SUM(I66:L66)+SUM(I67:L67)+SUM(I65:L65))&lt;=0,9.99,MIN(9.99,(H76+SUM(I64:L64)+SUM(I60:L61)+MAX(0,MIN($C$20*AN_cible,Emprunt_max*H78)-H77))/(H45+SUM(I36:L36)+SUM(I66:L66)+SUM(I67:L67)+SUM(I65:L65))))</f>
        <v>2.89045201988408</v>
      </c>
      <c r="I81" s="73" t="n">
        <f aca="false">IF((I45+SUM(J36:M36)+SUM(J66:M66)+SUM(J67:M67)+SUM(J65:M65))&lt;=0,9.99,MIN(9.99,(I76+SUM(J64:M64)+SUM(J60:M61)+MAX(0,MIN($C$20*AN_cible,Emprunt_max*I78)-I77))/(I45+SUM(J36:M36)+SUM(J66:M66)+SUM(J67:M67)+SUM(J65:M65))))</f>
        <v>2.98966833651277</v>
      </c>
      <c r="J81" s="73" t="n">
        <f aca="false">IF((J45+SUM(K36:N36)+SUM(K66:N66)+SUM(K67:N67)+SUM(K65:N65))&lt;=0,9.99,MIN(9.99,(J76+SUM(K64:N64)+SUM(K60:N61)+MAX(0,MIN($C$20*AN_cible,Emprunt_max*J78)-J77))/(J45+SUM(K36:N36)+SUM(K66:N66)+SUM(K67:N67)+SUM(K65:N65))))</f>
        <v>3.00569683223468</v>
      </c>
      <c r="K81" s="73" t="n">
        <f aca="false">IF((K45+SUM(L36:O36)+SUM(L66:O66)+SUM(L67:O67)+SUM(L65:O65))&lt;=0,9.99,MIN(9.99,(K76+SUM(L64:O64)+SUM(L60:O61)+MAX(0,MIN($C$20*AN_cible,Emprunt_max*K78)-K77))/(K45+SUM(L36:O36)+SUM(L66:O66)+SUM(L67:O67)+SUM(L65:O65))))</f>
        <v>3.1080470348432</v>
      </c>
      <c r="L81" s="73" t="n">
        <f aca="false">IF((L45+SUM(M36:O36)+SUM(M66:O66)+SUM(M67:O67)+SUM(M65:O65))&lt;=0,9.99,MIN(9.99,(L76+SUM(M64:O64)+SUM(M60:O61)+MAX(0,MIN($C$20*AN_cible,Emprunt_max*L78)-L77))/(L45+SUM(M36:O36)+SUM(M66:O66)+SUM(M67:O67)+SUM(M65:O65))))</f>
        <v>4.34910610151348</v>
      </c>
      <c r="M81" s="73" t="n">
        <f aca="false">IF((M45+SUM(N36:O36)+SUM(N66:O66)+SUM(N67:O67)+SUM(N65:O65))&lt;=0,9.99,MIN(9.99,(M76+SUM(N64:O64)+SUM(N60:O61)+MAX(0,MIN($C$20*AN_cible,Emprunt_max*M78)-M77))/(M45+SUM(N36:O36)+SUM(N66:O66)+SUM(N67:O67)+SUM(N65:O65))))</f>
        <v>5.12909095610316</v>
      </c>
      <c r="N81" s="73" t="n">
        <f aca="false">IF((N45+SUM(O36:O36)+SUM(O66:O66)+SUM(O67:O67)+SUM(O65:O65))&lt;=0,9.99,MIN(9.99,(N76+SUM(O64:O64)+SUM(O60:O61)+MAX(0,MIN($C$20*AN_cible,Emprunt_max*N78)-N77))/(N45+SUM(O36:O36)+SUM(O66:O66)+SUM(O67:O67)+SUM(O65:O65))))</f>
        <v>9.99</v>
      </c>
      <c r="O81" s="73" t="n">
        <f aca="false">9.99</f>
        <v>9.99</v>
      </c>
    </row>
    <row r="82" customFormat="false" ht="15" hidden="false" customHeight="false" outlineLevel="0" collapsed="false">
      <c r="B82" s="65" t="s">
        <v>1069</v>
      </c>
      <c r="C82" s="72" t="n">
        <f aca="false">(C48+C49+C50+C51+C56+C57)/C78</f>
        <v>1</v>
      </c>
      <c r="D82" s="72" t="n">
        <f aca="false">(D48+D49+D50+D51+D56+D57)/D78</f>
        <v>0.967965483287801</v>
      </c>
      <c r="E82" s="72" t="n">
        <f aca="false">(E48+E49+E50+E51+E56+E57)/E78</f>
        <v>0.924595268173332</v>
      </c>
      <c r="F82" s="72" t="n">
        <f aca="false">(F48+F49+F50+F51+F56+F57)/F78</f>
        <v>0.905531682739866</v>
      </c>
      <c r="G82" s="72" t="n">
        <f aca="false">(G48+G49+G50+G51+G56+G57)/G78</f>
        <v>0.893252134115933</v>
      </c>
      <c r="H82" s="72" t="n">
        <f aca="false">(H48+H49+H50+H51+H56+H57)/H78</f>
        <v>0.876572607312358</v>
      </c>
      <c r="I82" s="72" t="n">
        <f aca="false">(I48+I49+I50+I51+I56+I57)/I78</f>
        <v>0.866964486702966</v>
      </c>
      <c r="J82" s="72" t="n">
        <f aca="false">(J48+J49+J50+J51+J56+J57)/J78</f>
        <v>0.852287573767993</v>
      </c>
      <c r="K82" s="72" t="n">
        <f aca="false">(K48+K49+K50+K51+K56+K57)/K78</f>
        <v>0.844984234080793</v>
      </c>
      <c r="L82" s="72" t="n">
        <f aca="false">(L48+L49+L50+L51+L56+L57)/L78</f>
        <v>0.832046226305093</v>
      </c>
      <c r="M82" s="72" t="n">
        <f aca="false">(M48+M49+M50+M51+M56+M57)/M78</f>
        <v>0.826726896034939</v>
      </c>
      <c r="N82" s="72" t="n">
        <f aca="false">(N48+N49+N50+N51+N56+N57)/N78</f>
        <v>0.815296172553053</v>
      </c>
      <c r="O82" s="72" t="n">
        <f aca="false">(O48+O49+O50+O51+O56+O57)/O78</f>
        <v>0.81168034270327</v>
      </c>
    </row>
    <row r="83" customFormat="false" ht="15" hidden="false" customHeight="false" outlineLevel="0" collapsed="false">
      <c r="B83" s="65" t="s">
        <v>849</v>
      </c>
      <c r="C83" s="72" t="n">
        <f aca="false">(C78+C77)/C78</f>
        <v>1</v>
      </c>
      <c r="D83" s="72" t="n">
        <f aca="false">(D78+D77)/D78</f>
        <v>1</v>
      </c>
      <c r="E83" s="72" t="n">
        <f aca="false">(E78+E77)/E78</f>
        <v>1</v>
      </c>
      <c r="F83" s="72" t="n">
        <f aca="false">(F78+F77)/F78</f>
        <v>1</v>
      </c>
      <c r="G83" s="72" t="n">
        <f aca="false">(G78+G77)/G78</f>
        <v>1</v>
      </c>
      <c r="H83" s="72" t="n">
        <f aca="false">(H78+H77)/H78</f>
        <v>1</v>
      </c>
      <c r="I83" s="72" t="n">
        <f aca="false">(I78+I77)/I78</f>
        <v>1</v>
      </c>
      <c r="J83" s="72" t="n">
        <f aca="false">(J78+J77)/J78</f>
        <v>1</v>
      </c>
      <c r="K83" s="72" t="n">
        <f aca="false">(K78+K77)/K78</f>
        <v>1</v>
      </c>
      <c r="L83" s="72" t="n">
        <f aca="false">(L78+L77)/L78</f>
        <v>1</v>
      </c>
      <c r="M83" s="72" t="n">
        <f aca="false">(M78+M77)/M78</f>
        <v>1</v>
      </c>
      <c r="N83" s="72" t="n">
        <f aca="false">(N78+N77)/N78</f>
        <v>1</v>
      </c>
      <c r="O83" s="72" t="n">
        <f aca="false">(O78+O77)/O78</f>
        <v>1</v>
      </c>
    </row>
    <row r="84" customFormat="false" ht="15" hidden="false" customHeight="false" outlineLevel="0" collapsed="false">
      <c r="B84" s="65" t="s">
        <v>1070</v>
      </c>
      <c r="C84" s="72" t="n">
        <f aca="false">(C48+C49*MSIG_USD)/C78</f>
        <v>0.25</v>
      </c>
      <c r="D84" s="72" t="n">
        <f aca="false">(D48+D49*MSIG_USD)/D78</f>
        <v>0.248824991430887</v>
      </c>
      <c r="E84" s="72" t="n">
        <f aca="false">(E48+E49*MSIG_USD)/E78</f>
        <v>0.242789347133454</v>
      </c>
      <c r="F84" s="72" t="n">
        <f aca="false">(F48+F49*MSIG_USD)/F78</f>
        <v>0.241297881794839</v>
      </c>
      <c r="G84" s="72" t="n">
        <f aca="false">(G48+G49*MSIG_USD)/G78</f>
        <v>0.235093213310883</v>
      </c>
      <c r="H84" s="72" t="n">
        <f aca="false">(H48+H49*MSIG_USD)/H78</f>
        <v>0.233225905130608</v>
      </c>
      <c r="I84" s="72" t="n">
        <f aca="false">(I48+I49*MSIG_USD)/I78</f>
        <v>0.226840666611204</v>
      </c>
      <c r="J84" s="72" t="n">
        <f aca="false">(J48+J49*MSIG_USD)/J78</f>
        <v>0.224675918764748</v>
      </c>
      <c r="K84" s="72" t="n">
        <f aca="false">(K48+K49*MSIG_USD)/K78</f>
        <v>0.218191429944341</v>
      </c>
      <c r="L84" s="72" t="n">
        <f aca="false">(L48+L49*MSIG_USD)/L78</f>
        <v>0.215796953655002</v>
      </c>
      <c r="M84" s="72" t="n">
        <f aca="false">(M48+M49*MSIG_USD)/M78</f>
        <v>0.209281515442924</v>
      </c>
      <c r="N84" s="72" t="n">
        <f aca="false">(N48+N49*MSIG_USD)/N78</f>
        <v>0.206715349186171</v>
      </c>
      <c r="O84" s="72" t="n">
        <f aca="false">(O48+O49*MSIG_USD)/O78</f>
        <v>0.200225911384144</v>
      </c>
    </row>
    <row r="85" customFormat="false" ht="15" hidden="false" customHeight="false" outlineLevel="0" collapsed="false">
      <c r="B85" s="65" t="s">
        <v>1071</v>
      </c>
      <c r="C85" s="25"/>
      <c r="D85" s="65" t="n">
        <f aca="false">IF(AND($C$9&lt;0.5*Collecte_norm,IF(D29&lt;=$C$11,0,$C$10)&lt;0.5,IF(D29&lt;=4,$C$17,($C$18+$C$19)/2)&lt;0.7),1,0)</f>
        <v>0</v>
      </c>
      <c r="E85" s="65" t="n">
        <f aca="false">IF(AND($C$9&lt;0.5*Collecte_norm,IF(E29&lt;=$C$11,0,$C$10)&lt;0.5,IF(E29&lt;=4,$C$17,($C$18+$C$19)/2)&lt;0.7),1,0)</f>
        <v>0</v>
      </c>
      <c r="F85" s="65" t="n">
        <f aca="false">IF(AND($C$9&lt;0.5*Collecte_norm,IF(F29&lt;=$C$11,0,$C$10)&lt;0.5,IF(F29&lt;=4,$C$17,($C$18+$C$19)/2)&lt;0.7),1,0)</f>
        <v>0</v>
      </c>
      <c r="G85" s="65" t="n">
        <f aca="false">IF(AND($C$9&lt;0.5*Collecte_norm,IF(G29&lt;=$C$11,0,$C$10)&lt;0.5,IF(G29&lt;=4,$C$17,($C$18+$C$19)/2)&lt;0.7),1,0)</f>
        <v>0</v>
      </c>
      <c r="H85" s="65" t="n">
        <f aca="false">IF(AND($C$9&lt;0.5*Collecte_norm,IF(H29&lt;=$C$11,0,$C$10)&lt;0.5,IF(H29&lt;=4,$C$17,($C$18+$C$19)/2)&lt;0.7),1,0)</f>
        <v>0</v>
      </c>
      <c r="I85" s="65" t="n">
        <f aca="false">IF(AND($C$9&lt;0.5*Collecte_norm,IF(I29&lt;=$C$11,0,$C$10)&lt;0.5,IF(I29&lt;=4,$C$17,($C$18+$C$19)/2)&lt;0.7),1,0)</f>
        <v>0</v>
      </c>
      <c r="J85" s="65" t="n">
        <f aca="false">IF(AND($C$9&lt;0.5*Collecte_norm,IF(J29&lt;=$C$11,0,$C$10)&lt;0.5,IF(J29&lt;=4,$C$17,($C$18+$C$19)/2)&lt;0.7),1,0)</f>
        <v>0</v>
      </c>
      <c r="K85" s="65" t="n">
        <f aca="false">IF(AND($C$9&lt;0.5*Collecte_norm,IF(K29&lt;=$C$11,0,$C$10)&lt;0.5,IF(K29&lt;=4,$C$17,($C$18+$C$19)/2)&lt;0.7),1,0)</f>
        <v>0</v>
      </c>
      <c r="L85" s="65" t="n">
        <f aca="false">IF(AND($C$9&lt;0.5*Collecte_norm,IF(L29&lt;=$C$11,0,$C$10)&lt;0.5,IF(L29&lt;=4,$C$17,($C$18+$C$19)/2)&lt;0.7),1,0)</f>
        <v>0</v>
      </c>
      <c r="M85" s="65" t="n">
        <f aca="false">IF(AND($C$9&lt;0.5*Collecte_norm,IF(M29&lt;=$C$11,0,$C$10)&lt;0.5,IF(M29&lt;=4,$C$17,($C$18+$C$19)/2)&lt;0.7),1,0)</f>
        <v>0</v>
      </c>
      <c r="N85" s="65" t="n">
        <f aca="false">IF(AND($C$9&lt;0.5*Collecte_norm,IF(N29&lt;=$C$11,0,$C$10)&lt;0.5,IF(N29&lt;=4,$C$17,($C$18+$C$19)/2)&lt;0.7),1,0)</f>
        <v>0</v>
      </c>
      <c r="O85" s="65" t="n">
        <f aca="false">IF(AND($C$9&lt;0.5*Collecte_norm,IF(O29&lt;=$C$11,0,$C$10)&lt;0.5,IF(O29&lt;=4,$C$17,($C$18+$C$19)/2)&lt;0.7),1,0)</f>
        <v>0</v>
      </c>
    </row>
    <row r="86" customFormat="false" ht="15" hidden="false" customHeight="false" outlineLevel="0" collapsed="false">
      <c r="B86" s="76" t="s">
        <v>1072</v>
      </c>
      <c r="C86" s="76" t="n">
        <v>99</v>
      </c>
      <c r="D86" s="76" t="n">
        <f aca="false">IF(D46=1,D32,99)</f>
        <v>99</v>
      </c>
      <c r="E86" s="76" t="n">
        <f aca="false">IF(E46=1,E32,99)</f>
        <v>99</v>
      </c>
      <c r="F86" s="76" t="n">
        <f aca="false">IF(F46=1,F32,99)</f>
        <v>99</v>
      </c>
      <c r="G86" s="76" t="n">
        <f aca="false">IF(G46=1,G32,99)</f>
        <v>99</v>
      </c>
      <c r="H86" s="76" t="n">
        <f aca="false">IF(H46=1,H32,99)</f>
        <v>99</v>
      </c>
      <c r="I86" s="76" t="n">
        <f aca="false">IF(I46=1,I32,99)</f>
        <v>99</v>
      </c>
      <c r="J86" s="76" t="n">
        <f aca="false">IF(J46=1,J32,99)</f>
        <v>99</v>
      </c>
      <c r="K86" s="76" t="n">
        <f aca="false">IF(K46=1,K32,99)</f>
        <v>99</v>
      </c>
      <c r="L86" s="76" t="n">
        <f aca="false">IF(L46=1,L32,99)</f>
        <v>99</v>
      </c>
      <c r="M86" s="76" t="n">
        <f aca="false">IF(M46=1,M32,99)</f>
        <v>99</v>
      </c>
      <c r="N86" s="76" t="n">
        <f aca="false">IF(N46=1,N32,99)</f>
        <v>99</v>
      </c>
      <c r="O86" s="76" t="n">
        <f aca="false">IF(O46=1,O32,99)</f>
        <v>99</v>
      </c>
    </row>
    <row r="87" customFormat="false" ht="15" hidden="false" customHeight="false" outlineLevel="0" collapsed="false">
      <c r="B87" s="76" t="s">
        <v>1073</v>
      </c>
      <c r="C87" s="76" t="n">
        <v>99</v>
      </c>
      <c r="D87" s="76" t="n">
        <f aca="false">IF(AND(D31=1,D32&gt;MIN($D86:$O86),D45&lt;=0.000001),D32,99)</f>
        <v>99</v>
      </c>
      <c r="E87" s="76" t="n">
        <f aca="false">IF(AND(E31=1,E32&gt;MIN($D86:$O86),E45&lt;=0.000001),E32,99)</f>
        <v>99</v>
      </c>
      <c r="F87" s="76" t="n">
        <f aca="false">IF(AND(F31=1,F32&gt;MIN($D86:$O86),F45&lt;=0.000001),F32,99)</f>
        <v>99</v>
      </c>
      <c r="G87" s="76" t="n">
        <f aca="false">IF(AND(G31=1,G32&gt;MIN($D86:$O86),G45&lt;=0.000001),G32,99)</f>
        <v>99</v>
      </c>
      <c r="H87" s="76" t="n">
        <f aca="false">IF(AND(H31=1,H32&gt;MIN($D86:$O86),H45&lt;=0.000001),H32,99)</f>
        <v>99</v>
      </c>
      <c r="I87" s="76" t="n">
        <f aca="false">IF(AND(I31=1,I32&gt;MIN($D86:$O86),I45&lt;=0.000001),I32,99)</f>
        <v>99</v>
      </c>
      <c r="J87" s="76" t="n">
        <f aca="false">IF(AND(J31=1,J32&gt;MIN($D86:$O86),J45&lt;=0.000001),J32,99)</f>
        <v>99</v>
      </c>
      <c r="K87" s="76" t="n">
        <f aca="false">IF(AND(K31=1,K32&gt;MIN($D86:$O86),K45&lt;=0.000001),K32,99)</f>
        <v>99</v>
      </c>
      <c r="L87" s="76" t="n">
        <f aca="false">IF(AND(L31=1,L32&gt;MIN($D86:$O86),L45&lt;=0.000001),L32,99)</f>
        <v>99</v>
      </c>
      <c r="M87" s="76" t="n">
        <f aca="false">IF(AND(M31=1,M32&gt;MIN($D86:$O86),M45&lt;=0.000001),M32,99)</f>
        <v>99</v>
      </c>
      <c r="N87" s="76" t="n">
        <f aca="false">IF(AND(N31=1,N32&gt;MIN($D86:$O86),N45&lt;=0.000001),N32,99)</f>
        <v>99</v>
      </c>
      <c r="O87" s="76" t="n">
        <f aca="false">IF(AND(O31=1,O32&gt;MIN($D86:$O86),O45&lt;=0.000001),O32,99)</f>
        <v>99</v>
      </c>
    </row>
    <row r="88" customFormat="false" ht="15" hidden="false" customHeight="false" outlineLevel="0" collapsed="false">
      <c r="B88" s="76" t="s">
        <v>1074</v>
      </c>
      <c r="C88" s="76" t="n">
        <v>9999999</v>
      </c>
      <c r="D88" s="76" t="n">
        <f aca="false">IF(D43=1,D30,9999999)</f>
        <v>9999999</v>
      </c>
      <c r="E88" s="76" t="n">
        <f aca="false">IF(E43=1,E30,9999999)</f>
        <v>9999999</v>
      </c>
      <c r="F88" s="76" t="n">
        <f aca="false">IF(F43=1,F30,9999999)</f>
        <v>9999999</v>
      </c>
      <c r="G88" s="76" t="n">
        <f aca="false">IF(G43=1,G30,9999999)</f>
        <v>9999999</v>
      </c>
      <c r="H88" s="76" t="n">
        <f aca="false">IF(H43=1,H30,9999999)</f>
        <v>9999999</v>
      </c>
      <c r="I88" s="76" t="n">
        <f aca="false">IF(I43=1,I30,9999999)</f>
        <v>9999999</v>
      </c>
      <c r="J88" s="76" t="n">
        <f aca="false">IF(J43=1,J30,9999999)</f>
        <v>9999999</v>
      </c>
      <c r="K88" s="76" t="n">
        <f aca="false">IF(K43=1,K30,9999999)</f>
        <v>9999999</v>
      </c>
      <c r="L88" s="76" t="n">
        <f aca="false">IF(L43=1,L30,9999999)</f>
        <v>9999999</v>
      </c>
      <c r="M88" s="76" t="n">
        <f aca="false">IF(M43=1,M30,9999999)</f>
        <v>9999999</v>
      </c>
      <c r="N88" s="76" t="n">
        <f aca="false">IF(N43=1,N30,9999999)</f>
        <v>9999999</v>
      </c>
      <c r="O88" s="76" t="n">
        <f aca="false">IF(O43=1,O30,9999999)</f>
        <v>9999999</v>
      </c>
    </row>
    <row r="89" customFormat="false" ht="15" hidden="false" customHeight="false" outlineLevel="0" collapsed="false">
      <c r="B89" s="76" t="s">
        <v>1075</v>
      </c>
      <c r="C89" s="76" t="n">
        <v>9999999</v>
      </c>
      <c r="D89" s="76" t="n">
        <f aca="false">IF(D85=1,D30,9999999)</f>
        <v>9999999</v>
      </c>
      <c r="E89" s="76" t="n">
        <f aca="false">IF(E85=1,E30,9999999)</f>
        <v>9999999</v>
      </c>
      <c r="F89" s="76" t="n">
        <f aca="false">IF(F85=1,F30,9999999)</f>
        <v>9999999</v>
      </c>
      <c r="G89" s="76" t="n">
        <f aca="false">IF(G85=1,G30,9999999)</f>
        <v>9999999</v>
      </c>
      <c r="H89" s="76" t="n">
        <f aca="false">IF(H85=1,H30,9999999)</f>
        <v>9999999</v>
      </c>
      <c r="I89" s="76" t="n">
        <f aca="false">IF(I85=1,I30,9999999)</f>
        <v>9999999</v>
      </c>
      <c r="J89" s="76" t="n">
        <f aca="false">IF(J85=1,J30,9999999)</f>
        <v>9999999</v>
      </c>
      <c r="K89" s="76" t="n">
        <f aca="false">IF(K85=1,K30,9999999)</f>
        <v>9999999</v>
      </c>
      <c r="L89" s="76" t="n">
        <f aca="false">IF(L85=1,L30,9999999)</f>
        <v>9999999</v>
      </c>
      <c r="M89" s="76" t="n">
        <f aca="false">IF(M85=1,M30,9999999)</f>
        <v>9999999</v>
      </c>
      <c r="N89" s="76" t="n">
        <f aca="false">IF(N85=1,N30,9999999)</f>
        <v>9999999</v>
      </c>
      <c r="O89" s="76" t="n">
        <f aca="false">IF(O85=1,O30,9999999)</f>
        <v>9999999</v>
      </c>
    </row>
    <row r="94" customFormat="false" ht="15" hidden="false" customHeight="false" outlineLevel="0" collapsed="false">
      <c r="B94" s="45" t="str">
        <f aca="false">D$5</f>
        <v>Adverse : rachats de 10 % sur deux dates</v>
      </c>
      <c r="C94" s="45" t="s">
        <v>55</v>
      </c>
      <c r="D94" s="45" t="n">
        <v>2</v>
      </c>
      <c r="E94" s="2"/>
      <c r="F94" s="2"/>
      <c r="G94" s="2"/>
      <c r="H94" s="2"/>
      <c r="I94" s="2"/>
      <c r="J94" s="2"/>
      <c r="K94" s="2"/>
      <c r="L94" s="2"/>
      <c r="M94" s="2"/>
      <c r="N94" s="2"/>
      <c r="O94" s="2"/>
    </row>
    <row r="95" customFormat="false" ht="15" hidden="false" customHeight="false" outlineLevel="0" collapsed="false">
      <c r="B95" s="65" t="s">
        <v>1019</v>
      </c>
      <c r="C95" s="65" t="n">
        <v>0</v>
      </c>
      <c r="D95" s="65" t="n">
        <v>1</v>
      </c>
      <c r="E95" s="65" t="n">
        <v>2</v>
      </c>
      <c r="F95" s="65" t="n">
        <v>3</v>
      </c>
      <c r="G95" s="65" t="n">
        <v>4</v>
      </c>
      <c r="H95" s="65" t="n">
        <v>5</v>
      </c>
      <c r="I95" s="65" t="n">
        <v>6</v>
      </c>
      <c r="J95" s="65" t="n">
        <v>7</v>
      </c>
      <c r="K95" s="65" t="n">
        <v>8</v>
      </c>
      <c r="L95" s="65" t="n">
        <v>9</v>
      </c>
      <c r="M95" s="65" t="n">
        <v>10</v>
      </c>
      <c r="N95" s="65" t="n">
        <v>11</v>
      </c>
      <c r="O95" s="65" t="n">
        <v>12</v>
      </c>
    </row>
    <row r="96" customFormat="false" ht="15" hidden="false" customHeight="false" outlineLevel="0" collapsed="false">
      <c r="B96" s="65" t="s">
        <v>209</v>
      </c>
      <c r="C96" s="71" t="n">
        <f aca="false">Date_depart</f>
        <v>47026</v>
      </c>
      <c r="D96" s="71" t="n">
        <f aca="false">EOMONTH(Date_depart,3*D95)</f>
        <v>47118</v>
      </c>
      <c r="E96" s="71" t="n">
        <f aca="false">EOMONTH(Date_depart,3*E95)</f>
        <v>47208</v>
      </c>
      <c r="F96" s="71" t="n">
        <f aca="false">EOMONTH(Date_depart,3*F95)</f>
        <v>47299</v>
      </c>
      <c r="G96" s="71" t="n">
        <f aca="false">EOMONTH(Date_depart,3*G95)</f>
        <v>47391</v>
      </c>
      <c r="H96" s="71" t="n">
        <f aca="false">EOMONTH(Date_depart,3*H95)</f>
        <v>47483</v>
      </c>
      <c r="I96" s="71" t="n">
        <f aca="false">EOMONTH(Date_depart,3*I95)</f>
        <v>47573</v>
      </c>
      <c r="J96" s="71" t="n">
        <f aca="false">EOMONTH(Date_depart,3*J95)</f>
        <v>47664</v>
      </c>
      <c r="K96" s="71" t="n">
        <f aca="false">EOMONTH(Date_depart,3*K95)</f>
        <v>47756</v>
      </c>
      <c r="L96" s="71" t="n">
        <f aca="false">EOMONTH(Date_depart,3*L95)</f>
        <v>47848</v>
      </c>
      <c r="M96" s="71" t="n">
        <f aca="false">EOMONTH(Date_depart,3*M95)</f>
        <v>47938</v>
      </c>
      <c r="N96" s="71" t="n">
        <f aca="false">EOMONTH(Date_depart,3*N95)</f>
        <v>48029</v>
      </c>
      <c r="O96" s="71" t="n">
        <f aca="false">EOMONTH(Date_depart,3*O95)</f>
        <v>48121</v>
      </c>
    </row>
    <row r="97" customFormat="false" ht="15" hidden="false" customHeight="false" outlineLevel="0" collapsed="false">
      <c r="B97" s="65" t="s">
        <v>1020</v>
      </c>
      <c r="C97" s="65" t="n">
        <v>0</v>
      </c>
      <c r="D97" s="65" t="n">
        <f aca="false">IF(OR(MONTH(D96)=6,MONTH(D96)=12),1,0)</f>
        <v>1</v>
      </c>
      <c r="E97" s="65" t="n">
        <f aca="false">IF(OR(MONTH(E96)=6,MONTH(E96)=12),1,0)</f>
        <v>0</v>
      </c>
      <c r="F97" s="65" t="n">
        <f aca="false">IF(OR(MONTH(F96)=6,MONTH(F96)=12),1,0)</f>
        <v>1</v>
      </c>
      <c r="G97" s="65" t="n">
        <f aca="false">IF(OR(MONTH(G96)=6,MONTH(G96)=12),1,0)</f>
        <v>0</v>
      </c>
      <c r="H97" s="65" t="n">
        <f aca="false">IF(OR(MONTH(H96)=6,MONTH(H96)=12),1,0)</f>
        <v>1</v>
      </c>
      <c r="I97" s="65" t="n">
        <f aca="false">IF(OR(MONTH(I96)=6,MONTH(I96)=12),1,0)</f>
        <v>0</v>
      </c>
      <c r="J97" s="65" t="n">
        <f aca="false">IF(OR(MONTH(J96)=6,MONTH(J96)=12),1,0)</f>
        <v>1</v>
      </c>
      <c r="K97" s="65" t="n">
        <f aca="false">IF(OR(MONTH(K96)=6,MONTH(K96)=12),1,0)</f>
        <v>0</v>
      </c>
      <c r="L97" s="65" t="n">
        <f aca="false">IF(OR(MONTH(L96)=6,MONTH(L96)=12),1,0)</f>
        <v>1</v>
      </c>
      <c r="M97" s="65" t="n">
        <f aca="false">IF(OR(MONTH(M96)=6,MONTH(M96)=12),1,0)</f>
        <v>0</v>
      </c>
      <c r="N97" s="65" t="n">
        <f aca="false">IF(OR(MONTH(N96)=6,MONTH(N96)=12),1,0)</f>
        <v>1</v>
      </c>
      <c r="O97" s="65" t="n">
        <f aca="false">IF(OR(MONTH(O96)=6,MONTH(O96)=12),1,0)</f>
        <v>0</v>
      </c>
    </row>
    <row r="98" customFormat="false" ht="15" hidden="false" customHeight="false" outlineLevel="0" collapsed="false">
      <c r="B98" s="65" t="s">
        <v>1021</v>
      </c>
      <c r="C98" s="65" t="n">
        <v>0</v>
      </c>
      <c r="D98" s="65" t="n">
        <f aca="false">C98+D97</f>
        <v>1</v>
      </c>
      <c r="E98" s="65" t="n">
        <f aca="false">D98+E97</f>
        <v>1</v>
      </c>
      <c r="F98" s="65" t="n">
        <f aca="false">E98+F97</f>
        <v>2</v>
      </c>
      <c r="G98" s="65" t="n">
        <f aca="false">F98+G97</f>
        <v>2</v>
      </c>
      <c r="H98" s="65" t="n">
        <f aca="false">G98+H97</f>
        <v>3</v>
      </c>
      <c r="I98" s="65" t="n">
        <f aca="false">H98+I97</f>
        <v>3</v>
      </c>
      <c r="J98" s="65" t="n">
        <f aca="false">I98+J97</f>
        <v>4</v>
      </c>
      <c r="K98" s="65" t="n">
        <f aca="false">J98+K97</f>
        <v>4</v>
      </c>
      <c r="L98" s="65" t="n">
        <f aca="false">K98+L97</f>
        <v>5</v>
      </c>
      <c r="M98" s="65" t="n">
        <f aca="false">L98+M97</f>
        <v>5</v>
      </c>
      <c r="N98" s="65" t="n">
        <f aca="false">M98+N97</f>
        <v>6</v>
      </c>
      <c r="O98" s="65" t="n">
        <f aca="false">N98+O97</f>
        <v>6</v>
      </c>
    </row>
    <row r="99" customFormat="false" ht="15" hidden="false" customHeight="false" outlineLevel="0" collapsed="false">
      <c r="B99" s="65" t="s">
        <v>1022</v>
      </c>
      <c r="C99" s="25"/>
      <c r="D99" s="72" t="n">
        <f aca="false">IF(D97=1,IF(C109=1,0,IF(D98=1,$D$6,IF(D98=2,$D$7,$D$8))),0)</f>
        <v>0.1</v>
      </c>
      <c r="E99" s="72" t="n">
        <f aca="false">IF(E97=1,IF(D109=1,0,IF(E98=1,$D$6,IF(E98=2,$D$7,$D$8))),0)</f>
        <v>0</v>
      </c>
      <c r="F99" s="72" t="n">
        <f aca="false">IF(F97=1,IF(E109=1,0,IF(F98=1,$D$6,IF(F98=2,$D$7,$D$8))),0)</f>
        <v>0.1</v>
      </c>
      <c r="G99" s="72" t="n">
        <f aca="false">IF(G97=1,IF(F109=1,0,IF(G98=1,$D$6,IF(G98=2,$D$7,$D$8))),0)</f>
        <v>0</v>
      </c>
      <c r="H99" s="72" t="n">
        <f aca="false">IF(H97=1,IF(G109=1,0,IF(H98=1,$D$6,IF(H98=2,$D$7,$D$8))),0)</f>
        <v>0</v>
      </c>
      <c r="I99" s="72" t="n">
        <f aca="false">IF(I97=1,IF(H109=1,0,IF(I98=1,$D$6,IF(I98=2,$D$7,$D$8))),0)</f>
        <v>0</v>
      </c>
      <c r="J99" s="72" t="n">
        <f aca="false">IF(J97=1,IF(I109=1,0,IF(J98=1,$D$6,IF(J98=2,$D$7,$D$8))),0)</f>
        <v>0</v>
      </c>
      <c r="K99" s="72" t="n">
        <f aca="false">IF(K97=1,IF(J109=1,0,IF(K98=1,$D$6,IF(K98=2,$D$7,$D$8))),0)</f>
        <v>0</v>
      </c>
      <c r="L99" s="72" t="n">
        <f aca="false">IF(L97=1,IF(K109=1,0,IF(L98=1,$D$6,IF(L98=2,$D$7,$D$8))),0)</f>
        <v>0</v>
      </c>
      <c r="M99" s="72" t="n">
        <f aca="false">IF(M97=1,IF(L109=1,0,IF(M98=1,$D$6,IF(M98=2,$D$7,$D$8))),0)</f>
        <v>0</v>
      </c>
      <c r="N99" s="72" t="n">
        <f aca="false">IF(N97=1,IF(M109=1,0,IF(N98=1,$D$6,IF(N98=2,$D$7,$D$8))),0)</f>
        <v>0</v>
      </c>
      <c r="O99" s="72" t="n">
        <f aca="false">IF(O97=1,IF(N109=1,0,IF(O98=1,$D$6,IF(O98=2,$D$7,$D$8))),0)</f>
        <v>0</v>
      </c>
    </row>
    <row r="100" customFormat="false" ht="15" hidden="false" customHeight="false" outlineLevel="0" collapsed="false">
      <c r="B100" s="65" t="s">
        <v>1023</v>
      </c>
      <c r="C100" s="25"/>
      <c r="D100" s="73" t="n">
        <f aca="false">C144</f>
        <v>50000000</v>
      </c>
      <c r="E100" s="73" t="n">
        <f aca="false">D144</f>
        <v>48100643.75</v>
      </c>
      <c r="F100" s="73" t="n">
        <f aca="false">E144</f>
        <v>48823151.7132813</v>
      </c>
      <c r="G100" s="73" t="n">
        <f aca="false">F144</f>
        <v>47105173.9904901</v>
      </c>
      <c r="H100" s="73" t="n">
        <f aca="false">G144</f>
        <v>47826489.4455393</v>
      </c>
      <c r="I100" s="73" t="n">
        <f aca="false">H144</f>
        <v>46183889.2303444</v>
      </c>
      <c r="J100" s="73" t="n">
        <f aca="false">I144</f>
        <v>46930729.0550004</v>
      </c>
      <c r="K100" s="73" t="n">
        <f aca="false">J144</f>
        <v>45332651.4154555</v>
      </c>
      <c r="L100" s="73" t="n">
        <f aca="false">K144</f>
        <v>46080299.0246774</v>
      </c>
      <c r="M100" s="73" t="n">
        <f aca="false">L144</f>
        <v>46627256.8386995</v>
      </c>
      <c r="N100" s="73" t="n">
        <f aca="false">M144</f>
        <v>47380338.7887827</v>
      </c>
      <c r="O100" s="73" t="n">
        <f aca="false">N144</f>
        <v>48136963.4784709</v>
      </c>
    </row>
    <row r="101" customFormat="false" ht="15" hidden="false" customHeight="false" outlineLevel="0" collapsed="false">
      <c r="B101" s="65" t="s">
        <v>177</v>
      </c>
      <c r="C101" s="25"/>
      <c r="D101" s="73" t="n">
        <f aca="false">IF(C109=1,0,$D$9*D100)</f>
        <v>0</v>
      </c>
      <c r="E101" s="73" t="n">
        <f aca="false">IF(D109=1,0,$D$9*E100)</f>
        <v>0</v>
      </c>
      <c r="F101" s="73" t="n">
        <f aca="false">IF(E109=1,0,$D$9*F100)</f>
        <v>0</v>
      </c>
      <c r="G101" s="73" t="n">
        <f aca="false">IF(F109=1,0,$D$9*G100)</f>
        <v>0</v>
      </c>
      <c r="H101" s="73" t="n">
        <f aca="false">IF(G109=1,0,$D$9*H100)</f>
        <v>0</v>
      </c>
      <c r="I101" s="73" t="n">
        <f aca="false">IF(H109=1,0,$D$9*I100)</f>
        <v>0</v>
      </c>
      <c r="J101" s="73" t="n">
        <f aca="false">IF(I109=1,0,$D$9*J100)</f>
        <v>0</v>
      </c>
      <c r="K101" s="73" t="n">
        <f aca="false">IF(J109=1,0,$D$9*K100)</f>
        <v>0</v>
      </c>
      <c r="L101" s="73" t="n">
        <f aca="false">IF(K109=1,0,$D$9*L100)</f>
        <v>0</v>
      </c>
      <c r="M101" s="73" t="n">
        <f aca="false">IF(L109=1,0,$D$9*M100)</f>
        <v>0</v>
      </c>
      <c r="N101" s="73" t="n">
        <f aca="false">IF(M109=1,0,$D$9*N100)</f>
        <v>0</v>
      </c>
      <c r="O101" s="73" t="n">
        <f aca="false">IF(N109=1,0,$D$9*O100)</f>
        <v>0</v>
      </c>
    </row>
    <row r="102" customFormat="false" ht="15" hidden="false" customHeight="false" outlineLevel="0" collapsed="false">
      <c r="B102" s="65" t="s">
        <v>1024</v>
      </c>
      <c r="C102" s="25"/>
      <c r="D102" s="73" t="n">
        <f aca="false">D99*D100</f>
        <v>5000000</v>
      </c>
      <c r="E102" s="73" t="n">
        <f aca="false">E99*E100</f>
        <v>0</v>
      </c>
      <c r="F102" s="73" t="n">
        <f aca="false">F99*F100</f>
        <v>4882315.17132813</v>
      </c>
      <c r="G102" s="73" t="n">
        <f aca="false">G99*G100</f>
        <v>0</v>
      </c>
      <c r="H102" s="73" t="n">
        <f aca="false">H99*H100</f>
        <v>0</v>
      </c>
      <c r="I102" s="73" t="n">
        <f aca="false">I99*I100</f>
        <v>0</v>
      </c>
      <c r="J102" s="73" t="n">
        <f aca="false">J99*J100</f>
        <v>0</v>
      </c>
      <c r="K102" s="73" t="n">
        <f aca="false">K99*K100</f>
        <v>0</v>
      </c>
      <c r="L102" s="73" t="n">
        <f aca="false">L99*L100</f>
        <v>0</v>
      </c>
      <c r="M102" s="73" t="n">
        <f aca="false">M99*M100</f>
        <v>0</v>
      </c>
      <c r="N102" s="73" t="n">
        <f aca="false">N99*N100</f>
        <v>0</v>
      </c>
      <c r="O102" s="73" t="n">
        <f aca="false">O99*O100</f>
        <v>0</v>
      </c>
    </row>
    <row r="103" customFormat="false" ht="15" hidden="false" customHeight="false" outlineLevel="0" collapsed="false">
      <c r="B103" s="65" t="s">
        <v>1025</v>
      </c>
      <c r="C103" s="25"/>
      <c r="D103" s="73" t="n">
        <f aca="false">C111</f>
        <v>0</v>
      </c>
      <c r="E103" s="73" t="n">
        <f aca="false">D111</f>
        <v>2500000</v>
      </c>
      <c r="F103" s="73" t="n">
        <f aca="false">E111</f>
        <v>2500000</v>
      </c>
      <c r="G103" s="73" t="n">
        <f aca="false">F111</f>
        <v>4941157.58566406</v>
      </c>
      <c r="H103" s="73" t="n">
        <f aca="false">G111</f>
        <v>4941157.58566406</v>
      </c>
      <c r="I103" s="73" t="n">
        <f aca="false">H111</f>
        <v>2549833.1133871</v>
      </c>
      <c r="J103" s="73" t="n">
        <f aca="false">I111</f>
        <v>2549833.1133871</v>
      </c>
      <c r="K103" s="73" t="n">
        <f aca="false">J111</f>
        <v>203296.660637076</v>
      </c>
      <c r="L103" s="73" t="n">
        <f aca="false">K111</f>
        <v>203296.660637076</v>
      </c>
      <c r="M103" s="73" t="n">
        <f aca="false">L111</f>
        <v>0</v>
      </c>
      <c r="N103" s="73" t="n">
        <f aca="false">M111</f>
        <v>0</v>
      </c>
      <c r="O103" s="73" t="n">
        <f aca="false">N111</f>
        <v>0</v>
      </c>
    </row>
    <row r="104" customFormat="false" ht="15" hidden="false" customHeight="false" outlineLevel="0" collapsed="false">
      <c r="B104" s="65" t="s">
        <v>1026</v>
      </c>
      <c r="C104" s="25"/>
      <c r="D104" s="73" t="n">
        <f aca="false">D102+D103</f>
        <v>5000000</v>
      </c>
      <c r="E104" s="73" t="n">
        <f aca="false">E102+E103</f>
        <v>2500000</v>
      </c>
      <c r="F104" s="73" t="n">
        <f aca="false">F102+F103</f>
        <v>7382315.17132813</v>
      </c>
      <c r="G104" s="73" t="n">
        <f aca="false">G102+G103</f>
        <v>4941157.58566406</v>
      </c>
      <c r="H104" s="73" t="n">
        <f aca="false">H102+H103</f>
        <v>4941157.58566406</v>
      </c>
      <c r="I104" s="73" t="n">
        <f aca="false">I102+I103</f>
        <v>2549833.1133871</v>
      </c>
      <c r="J104" s="73" t="n">
        <f aca="false">J102+J103</f>
        <v>2549833.1133871</v>
      </c>
      <c r="K104" s="73" t="n">
        <f aca="false">K102+K103</f>
        <v>203296.660637076</v>
      </c>
      <c r="L104" s="73" t="n">
        <f aca="false">L102+L103</f>
        <v>203296.660637076</v>
      </c>
      <c r="M104" s="73" t="n">
        <f aca="false">M102+M103</f>
        <v>0</v>
      </c>
      <c r="N104" s="73" t="n">
        <f aca="false">N102+N103</f>
        <v>0</v>
      </c>
      <c r="O104" s="73" t="n">
        <f aca="false">O102+O103</f>
        <v>0</v>
      </c>
    </row>
    <row r="105" customFormat="false" ht="15" hidden="false" customHeight="false" outlineLevel="0" collapsed="false">
      <c r="B105" s="65" t="s">
        <v>1027</v>
      </c>
      <c r="C105" s="25"/>
      <c r="D105" s="73" t="n">
        <f aca="false">IF($D$21=1,Gate*D100+D101,D104)</f>
        <v>2500000</v>
      </c>
      <c r="E105" s="73" t="n">
        <f aca="false">IF($D$21=1,Gate*E100+E101,E104)</f>
        <v>2405032.1875</v>
      </c>
      <c r="F105" s="73" t="n">
        <f aca="false">IF($D$21=1,Gate*F100+F101,F104)</f>
        <v>2441157.58566406</v>
      </c>
      <c r="G105" s="73" t="n">
        <f aca="false">IF($D$21=1,Gate*G100+G101,G104)</f>
        <v>2355258.6995245</v>
      </c>
      <c r="H105" s="73" t="n">
        <f aca="false">IF($D$21=1,Gate*H100+H101,H104)</f>
        <v>2391324.47227697</v>
      </c>
      <c r="I105" s="73" t="n">
        <f aca="false">IF($D$21=1,Gate*I100+I101,I104)</f>
        <v>2309194.46151722</v>
      </c>
      <c r="J105" s="73" t="n">
        <f aca="false">IF($D$21=1,Gate*J100+J101,J104)</f>
        <v>2346536.45275002</v>
      </c>
      <c r="K105" s="73" t="n">
        <f aca="false">IF($D$21=1,Gate*K100+K101,K104)</f>
        <v>2266632.57077278</v>
      </c>
      <c r="L105" s="73" t="n">
        <f aca="false">IF($D$21=1,Gate*L100+L101,L104)</f>
        <v>2304014.95123387</v>
      </c>
      <c r="M105" s="73" t="n">
        <f aca="false">IF($D$21=1,Gate*M100+M101,M104)</f>
        <v>2331362.84193498</v>
      </c>
      <c r="N105" s="73" t="n">
        <f aca="false">IF($D$21=1,Gate*N100+N101,N104)</f>
        <v>2369016.93943914</v>
      </c>
      <c r="O105" s="73" t="n">
        <f aca="false">IF($D$21=1,Gate*O100+O101,O104)</f>
        <v>2406848.17392355</v>
      </c>
    </row>
    <row r="106" customFormat="false" ht="15" hidden="false" customHeight="false" outlineLevel="0" collapsed="false">
      <c r="B106" s="65" t="s">
        <v>1028</v>
      </c>
      <c r="C106" s="25"/>
      <c r="D106" s="73" t="n">
        <f aca="false">IF(D97=1,MIN(D104,D105),0)</f>
        <v>2500000</v>
      </c>
      <c r="E106" s="73" t="n">
        <f aca="false">IF(E97=1,MIN(E104,E105),0)</f>
        <v>0</v>
      </c>
      <c r="F106" s="73" t="n">
        <f aca="false">IF(F97=1,MIN(F104,F105),0)</f>
        <v>2441157.58566406</v>
      </c>
      <c r="G106" s="73" t="n">
        <f aca="false">IF(G97=1,MIN(G104,G105),0)</f>
        <v>0</v>
      </c>
      <c r="H106" s="73" t="n">
        <f aca="false">IF(H97=1,MIN(H104,H105),0)</f>
        <v>2391324.47227697</v>
      </c>
      <c r="I106" s="73" t="n">
        <f aca="false">IF(I97=1,MIN(I104,I105),0)</f>
        <v>0</v>
      </c>
      <c r="J106" s="73" t="n">
        <f aca="false">IF(J97=1,MIN(J104,J105),0)</f>
        <v>2346536.45275002</v>
      </c>
      <c r="K106" s="73" t="n">
        <f aca="false">IF(K97=1,MIN(K104,K105),0)</f>
        <v>0</v>
      </c>
      <c r="L106" s="73" t="n">
        <f aca="false">IF(L97=1,MIN(L104,L105),0)</f>
        <v>203296.660637076</v>
      </c>
      <c r="M106" s="73" t="n">
        <f aca="false">IF(M97=1,MIN(M104,M105),0)</f>
        <v>0</v>
      </c>
      <c r="N106" s="73" t="n">
        <f aca="false">IF(N97=1,MIN(N104,N105),0)</f>
        <v>0</v>
      </c>
      <c r="O106" s="73" t="n">
        <f aca="false">IF(O97=1,MIN(O104,O105),0)</f>
        <v>0</v>
      </c>
    </row>
    <row r="107" customFormat="false" ht="15" hidden="false" customHeight="false" outlineLevel="0" collapsed="false">
      <c r="B107" s="65" t="s">
        <v>1029</v>
      </c>
      <c r="C107" s="25"/>
      <c r="D107" s="73" t="n">
        <f aca="false">MAX(0,D135+D126+D127-Poche_min_exec*D100-D106-SUM(E132:F132)+MAX(0,MIN($D$20*AN_cible,Emprunt_max*D100)-C143))</f>
        <v>0</v>
      </c>
      <c r="E107" s="73" t="n">
        <f aca="false">MAX(0,E135+E126+E127-Poche_min_exec*E100-E106-SUM(F132:G132)+MAX(0,MIN($D$20*AN_cible,Emprunt_max*E100)-D143))</f>
        <v>502827.0625</v>
      </c>
      <c r="F107" s="73" t="n">
        <f aca="false">MAX(0,F135+F126+F127-Poche_min_exec*F100-F106-SUM(G132:H132)+MAX(0,MIN($D$20*AN_cible,Emprunt_max*F100)-E143))</f>
        <v>0</v>
      </c>
      <c r="G107" s="73" t="n">
        <f aca="false">MAX(0,G135+G126+G127-Poche_min_exec*G100-G106-SUM(H132:I132)+MAX(0,MIN($D$20*AN_cible,Emprunt_max*G100)-F143))</f>
        <v>0</v>
      </c>
      <c r="H107" s="73" t="n">
        <f aca="false">MAX(0,H135+H126+H127-Poche_min_exec*H100-H106-SUM(I132:J132)+MAX(0,MIN($D$20*AN_cible,Emprunt_max*H100)-G143))</f>
        <v>0</v>
      </c>
      <c r="I107" s="73" t="n">
        <f aca="false">MAX(0,I135+I126+I127-Poche_min_exec*I100-I106-SUM(J132:K132)+MAX(0,MIN($D$20*AN_cible,Emprunt_max*I100)-H143))</f>
        <v>0</v>
      </c>
      <c r="J107" s="73" t="n">
        <f aca="false">MAX(0,J135+J126+J127-Poche_min_exec*J100-J106-SUM(K132:L132)+MAX(0,MIN($D$20*AN_cible,Emprunt_max*J100)-I143))</f>
        <v>0</v>
      </c>
      <c r="K107" s="73" t="n">
        <f aca="false">MAX(0,K135+K126+K127-Poche_min_exec*K100-K106-SUM(L132:M132)+MAX(0,MIN($D$20*AN_cible,Emprunt_max*K100)-J143))</f>
        <v>0</v>
      </c>
      <c r="L107" s="73" t="n">
        <f aca="false">MAX(0,L135+L126+L127-Poche_min_exec*L100-L106-SUM(M132:N132)+MAX(0,MIN($D$20*AN_cible,Emprunt_max*L100)-K143))</f>
        <v>0</v>
      </c>
      <c r="M107" s="73" t="n">
        <f aca="false">MAX(0,M135+M126+M127-Poche_min_exec*M100-M106-SUM(N132:O132)+MAX(0,MIN($D$20*AN_cible,Emprunt_max*M100)-L143))</f>
        <v>0</v>
      </c>
      <c r="N107" s="73" t="n">
        <f aca="false">MAX(0,N135+N126+N127-Poche_min_exec*N100-N106-SUM(O132:O132)+MAX(0,MIN($D$20*AN_cible,Emprunt_max*N100)-M143))</f>
        <v>0</v>
      </c>
      <c r="O107" s="73" t="n">
        <f aca="false">MAX(0,O135+O126+O127-Poche_min_exec*O100-O106-0+MAX(0,MIN($D$20*AN_cible,Emprunt_max*O100)-N143))</f>
        <v>1006536.11124787</v>
      </c>
    </row>
    <row r="108" customFormat="false" ht="15" hidden="false" customHeight="false" outlineLevel="0" collapsed="false">
      <c r="B108" s="65" t="s">
        <v>1030</v>
      </c>
      <c r="C108" s="25"/>
      <c r="D108" s="73" t="n">
        <f aca="false">IF(AND(D97=1,$D$21=1,$D$22=1),MIN(D104-D106,D107),0)</f>
        <v>0</v>
      </c>
      <c r="E108" s="73" t="n">
        <f aca="false">IF(AND(E97=1,$D$21=1,$D$22=1),MIN(E104-E106,E107),0)</f>
        <v>0</v>
      </c>
      <c r="F108" s="73" t="n">
        <f aca="false">IF(AND(F97=1,$D$21=1,$D$22=1),MIN(F104-F106,F107),0)</f>
        <v>0</v>
      </c>
      <c r="G108" s="73" t="n">
        <f aca="false">IF(AND(G97=1,$D$21=1,$D$22=1),MIN(G104-G106,G107),0)</f>
        <v>0</v>
      </c>
      <c r="H108" s="73" t="n">
        <f aca="false">IF(AND(H97=1,$D$21=1,$D$22=1),MIN(H104-H106,H107),0)</f>
        <v>0</v>
      </c>
      <c r="I108" s="73" t="n">
        <f aca="false">IF(AND(I97=1,$D$21=1,$D$22=1),MIN(I104-I106,I107),0)</f>
        <v>0</v>
      </c>
      <c r="J108" s="73" t="n">
        <f aca="false">IF(AND(J97=1,$D$21=1,$D$22=1),MIN(J104-J106,J107),0)</f>
        <v>0</v>
      </c>
      <c r="K108" s="73" t="n">
        <f aca="false">IF(AND(K97=1,$D$21=1,$D$22=1),MIN(K104-K106,K107),0)</f>
        <v>0</v>
      </c>
      <c r="L108" s="73" t="n">
        <f aca="false">IF(AND(L97=1,$D$21=1,$D$22=1),MIN(L104-L106,L107),0)</f>
        <v>0</v>
      </c>
      <c r="M108" s="73" t="n">
        <f aca="false">IF(AND(M97=1,$D$21=1,$D$22=1),MIN(M104-M106,M107),0)</f>
        <v>0</v>
      </c>
      <c r="N108" s="73" t="n">
        <f aca="false">IF(AND(N97=1,$D$21=1,$D$22=1),MIN(N104-N106,N107),0)</f>
        <v>0</v>
      </c>
      <c r="O108" s="73" t="n">
        <f aca="false">IF(AND(O97=1,$D$21=1,$D$22=1),MIN(O104-O106,O107),0)</f>
        <v>0</v>
      </c>
    </row>
    <row r="109" customFormat="false" ht="15" hidden="false" customHeight="false" outlineLevel="0" collapsed="false">
      <c r="B109" s="65" t="s">
        <v>1031</v>
      </c>
      <c r="C109" s="65" t="n">
        <v>0</v>
      </c>
      <c r="D109" s="65" t="n">
        <f aca="false">IF(C109=1,1,IF(AND(D97=1,$D$21=1,C113&gt;=Gate_dates,D104-D106-D108&gt;0.000001),1,0))</f>
        <v>0</v>
      </c>
      <c r="E109" s="65" t="n">
        <f aca="false">IF(D109=1,1,IF(AND(E97=1,$D$21=1,D113&gt;=Gate_dates,E104-E106-E108&gt;0.000001),1,0))</f>
        <v>0</v>
      </c>
      <c r="F109" s="65" t="n">
        <f aca="false">IF(E109=1,1,IF(AND(F97=1,$D$21=1,E113&gt;=Gate_dates,F104-F106-F108&gt;0.000001),1,0))</f>
        <v>0</v>
      </c>
      <c r="G109" s="65" t="n">
        <f aca="false">IF(F109=1,1,IF(AND(G97=1,$D$21=1,F113&gt;=Gate_dates,G104-G106-G108&gt;0.000001),1,0))</f>
        <v>0</v>
      </c>
      <c r="H109" s="65" t="n">
        <f aca="false">IF(G109=1,1,IF(AND(H97=1,$D$21=1,G113&gt;=Gate_dates,H104-H106-H108&gt;0.000001),1,0))</f>
        <v>0</v>
      </c>
      <c r="I109" s="65" t="n">
        <f aca="false">IF(H109=1,1,IF(AND(I97=1,$D$21=1,H113&gt;=Gate_dates,I104-I106-I108&gt;0.000001),1,0))</f>
        <v>0</v>
      </c>
      <c r="J109" s="65" t="n">
        <f aca="false">IF(I109=1,1,IF(AND(J97=1,$D$21=1,I113&gt;=Gate_dates,J104-J106-J108&gt;0.000001),1,0))</f>
        <v>0</v>
      </c>
      <c r="K109" s="65" t="n">
        <f aca="false">IF(J109=1,1,IF(AND(K97=1,$D$21=1,J113&gt;=Gate_dates,K104-K106-K108&gt;0.000001),1,0))</f>
        <v>0</v>
      </c>
      <c r="L109" s="65" t="n">
        <f aca="false">IF(K109=1,1,IF(AND(L97=1,$D$21=1,K113&gt;=Gate_dates,L104-L106-L108&gt;0.000001),1,0))</f>
        <v>0</v>
      </c>
      <c r="M109" s="65" t="n">
        <f aca="false">IF(L109=1,1,IF(AND(M97=1,$D$21=1,L113&gt;=Gate_dates,M104-M106-M108&gt;0.000001),1,0))</f>
        <v>0</v>
      </c>
      <c r="N109" s="65" t="n">
        <f aca="false">IF(M109=1,1,IF(AND(N97=1,$D$21=1,M113&gt;=Gate_dates,N104-N106-N108&gt;0.000001),1,0))</f>
        <v>0</v>
      </c>
      <c r="O109" s="65" t="n">
        <f aca="false">IF(N109=1,1,IF(AND(O97=1,$D$21=1,N113&gt;=Gate_dates,O104-O106-O108&gt;0.000001),1,0))</f>
        <v>0</v>
      </c>
    </row>
    <row r="110" customFormat="false" ht="15" hidden="false" customHeight="false" outlineLevel="0" collapsed="false">
      <c r="B110" s="65" t="s">
        <v>1032</v>
      </c>
      <c r="C110" s="25"/>
      <c r="D110" s="73" t="n">
        <f aca="false">IF(D109=1,0,D106+D108)</f>
        <v>2500000</v>
      </c>
      <c r="E110" s="73" t="n">
        <f aca="false">IF(E109=1,0,E106+E108)</f>
        <v>0</v>
      </c>
      <c r="F110" s="73" t="n">
        <f aca="false">IF(F109=1,0,F106+F108)</f>
        <v>2441157.58566406</v>
      </c>
      <c r="G110" s="73" t="n">
        <f aca="false">IF(G109=1,0,G106+G108)</f>
        <v>0</v>
      </c>
      <c r="H110" s="73" t="n">
        <f aca="false">IF(H109=1,0,H106+H108)</f>
        <v>2391324.47227697</v>
      </c>
      <c r="I110" s="73" t="n">
        <f aca="false">IF(I109=1,0,I106+I108)</f>
        <v>0</v>
      </c>
      <c r="J110" s="73" t="n">
        <f aca="false">IF(J109=1,0,J106+J108)</f>
        <v>2346536.45275002</v>
      </c>
      <c r="K110" s="73" t="n">
        <f aca="false">IF(K109=1,0,K106+K108)</f>
        <v>0</v>
      </c>
      <c r="L110" s="73" t="n">
        <f aca="false">IF(L109=1,0,L106+L108)</f>
        <v>203296.660637076</v>
      </c>
      <c r="M110" s="73" t="n">
        <f aca="false">IF(M109=1,0,M106+M108)</f>
        <v>0</v>
      </c>
      <c r="N110" s="73" t="n">
        <f aca="false">IF(N109=1,0,N106+N108)</f>
        <v>0</v>
      </c>
      <c r="O110" s="73" t="n">
        <f aca="false">IF(O109=1,0,O106+O108)</f>
        <v>0</v>
      </c>
    </row>
    <row r="111" customFormat="false" ht="15" hidden="false" customHeight="false" outlineLevel="0" collapsed="false">
      <c r="B111" s="65" t="s">
        <v>1033</v>
      </c>
      <c r="C111" s="73" t="n">
        <v>0</v>
      </c>
      <c r="D111" s="73" t="n">
        <f aca="false">D104-D110</f>
        <v>2500000</v>
      </c>
      <c r="E111" s="73" t="n">
        <f aca="false">E104-E110</f>
        <v>2500000</v>
      </c>
      <c r="F111" s="73" t="n">
        <f aca="false">F104-F110</f>
        <v>4941157.58566406</v>
      </c>
      <c r="G111" s="73" t="n">
        <f aca="false">G104-G110</f>
        <v>4941157.58566406</v>
      </c>
      <c r="H111" s="73" t="n">
        <f aca="false">H104-H110</f>
        <v>2549833.1133871</v>
      </c>
      <c r="I111" s="73" t="n">
        <f aca="false">I104-I110</f>
        <v>2549833.1133871</v>
      </c>
      <c r="J111" s="73" t="n">
        <f aca="false">J104-J110</f>
        <v>203296.660637076</v>
      </c>
      <c r="K111" s="73" t="n">
        <f aca="false">K104-K110</f>
        <v>203296.660637076</v>
      </c>
      <c r="L111" s="73" t="n">
        <f aca="false">L104-L110</f>
        <v>0</v>
      </c>
      <c r="M111" s="73" t="n">
        <f aca="false">M104-M110</f>
        <v>0</v>
      </c>
      <c r="N111" s="73" t="n">
        <f aca="false">N104-N110</f>
        <v>0</v>
      </c>
      <c r="O111" s="73" t="n">
        <f aca="false">O104-O110</f>
        <v>0</v>
      </c>
    </row>
    <row r="112" customFormat="false" ht="15" hidden="false" customHeight="false" outlineLevel="0" collapsed="false">
      <c r="B112" s="65" t="s">
        <v>1034</v>
      </c>
      <c r="C112" s="25"/>
      <c r="D112" s="65" t="n">
        <f aca="false">IF(AND(D97=1,D109=0,D111&gt;0.000001),1,0)</f>
        <v>1</v>
      </c>
      <c r="E112" s="65" t="n">
        <f aca="false">IF(AND(E97=1,E109=0,E111&gt;0.000001),1,0)</f>
        <v>0</v>
      </c>
      <c r="F112" s="65" t="n">
        <f aca="false">IF(AND(F97=1,F109=0,F111&gt;0.000001),1,0)</f>
        <v>1</v>
      </c>
      <c r="G112" s="65" t="n">
        <f aca="false">IF(AND(G97=1,G109=0,G111&gt;0.000001),1,0)</f>
        <v>0</v>
      </c>
      <c r="H112" s="65" t="n">
        <f aca="false">IF(AND(H97=1,H109=0,H111&gt;0.000001),1,0)</f>
        <v>1</v>
      </c>
      <c r="I112" s="65" t="n">
        <f aca="false">IF(AND(I97=1,I109=0,I111&gt;0.000001),1,0)</f>
        <v>0</v>
      </c>
      <c r="J112" s="65" t="n">
        <f aca="false">IF(AND(J97=1,J109=0,J111&gt;0.000001),1,0)</f>
        <v>1</v>
      </c>
      <c r="K112" s="65" t="n">
        <f aca="false">IF(AND(K97=1,K109=0,K111&gt;0.000001),1,0)</f>
        <v>0</v>
      </c>
      <c r="L112" s="65" t="n">
        <f aca="false">IF(AND(L97=1,L109=0,L111&gt;0.000001),1,0)</f>
        <v>0</v>
      </c>
      <c r="M112" s="65" t="n">
        <f aca="false">IF(AND(M97=1,M109=0,M111&gt;0.000001),1,0)</f>
        <v>0</v>
      </c>
      <c r="N112" s="65" t="n">
        <f aca="false">IF(AND(N97=1,N109=0,N111&gt;0.000001),1,0)</f>
        <v>0</v>
      </c>
      <c r="O112" s="65" t="n">
        <f aca="false">IF(AND(O97=1,O109=0,O111&gt;0.000001),1,0)</f>
        <v>0</v>
      </c>
    </row>
    <row r="113" customFormat="false" ht="15" hidden="false" customHeight="false" outlineLevel="0" collapsed="false">
      <c r="B113" s="65" t="s">
        <v>843</v>
      </c>
      <c r="C113" s="65" t="n">
        <v>0</v>
      </c>
      <c r="D113" s="65" t="n">
        <f aca="false">IF(D97=1,IF(D112=1,C113+1,0),C113)</f>
        <v>1</v>
      </c>
      <c r="E113" s="65" t="n">
        <f aca="false">IF(E97=1,IF(E112=1,D113+1,0),D113)</f>
        <v>1</v>
      </c>
      <c r="F113" s="65" t="n">
        <f aca="false">IF(F97=1,IF(F112=1,E113+1,0),E113)</f>
        <v>2</v>
      </c>
      <c r="G113" s="65" t="n">
        <f aca="false">IF(G97=1,IF(G112=1,F113+1,0),F113)</f>
        <v>2</v>
      </c>
      <c r="H113" s="65" t="n">
        <f aca="false">IF(H97=1,IF(H112=1,G113+1,0),G113)</f>
        <v>3</v>
      </c>
      <c r="I113" s="65" t="n">
        <f aca="false">IF(I97=1,IF(I112=1,H113+1,0),H113)</f>
        <v>3</v>
      </c>
      <c r="J113" s="65" t="n">
        <f aca="false">IF(J97=1,IF(J112=1,I113+1,0),I113)</f>
        <v>4</v>
      </c>
      <c r="K113" s="65" t="n">
        <f aca="false">IF(K97=1,IF(K112=1,J113+1,0),J113)</f>
        <v>4</v>
      </c>
      <c r="L113" s="65" t="n">
        <f aca="false">IF(L97=1,IF(L112=1,K113+1,0),K113)</f>
        <v>0</v>
      </c>
      <c r="M113" s="65" t="n">
        <f aca="false">IF(M97=1,IF(M112=1,L113+1,0),L113)</f>
        <v>0</v>
      </c>
      <c r="N113" s="65" t="n">
        <f aca="false">IF(N97=1,IF(N112=1,M113+1,0),M113)</f>
        <v>0</v>
      </c>
      <c r="O113" s="65" t="n">
        <f aca="false">IF(O97=1,IF(O112=1,N113+1,0),N113)</f>
        <v>0</v>
      </c>
    </row>
    <row r="114" customFormat="false" ht="15" hidden="false" customHeight="false" outlineLevel="0" collapsed="false">
      <c r="B114" s="65" t="s">
        <v>1035</v>
      </c>
      <c r="C114" s="73" t="n">
        <f aca="false">AN_cible*Ws_MAPIF</f>
        <v>12500000</v>
      </c>
      <c r="D114" s="73" t="n">
        <f aca="false">C114*(1+Rend_MAPIF/4)*IF(D95=1,(1-(Cap_MAPIF*$D$15+(1-Cap_MAPIF)*$D$16))*(1+1*$D$14),1)+D124-D118-D139*IF((C114+C115+C116+C117)&gt;0,C114/(C114+C115+C116+C117),0)</f>
        <v>12971562.5</v>
      </c>
      <c r="E114" s="73" t="n">
        <f aca="false">D114*(1+Rend_MAPIF/4)*IF(E95=1,(1-(Cap_MAPIF*$D$15+(1-Cap_MAPIF)*$D$16))*(1+1*$D$14),1)+E124-E118-E139*IF((D114+D115+D116+D117)&gt;0,D114/(D114+D115+D116+D117),0)</f>
        <v>13446767.8203125</v>
      </c>
      <c r="F114" s="73" t="n">
        <f aca="false">E114*(1+Rend_MAPIF/4)*IF(F95=1,(1-(Cap_MAPIF*$D$15+(1-Cap_MAPIF)*$D$16))*(1+1*$D$14),1)+F124-F118-F139*IF((E114+E115+E116+E117)&gt;0,E114/(E114+E115+E116+E117),0)</f>
        <v>13925644.1017244</v>
      </c>
      <c r="G114" s="73" t="n">
        <f aca="false">F114*(1+Rend_MAPIF/4)*IF(G95=1,(1-(Cap_MAPIF*$D$15+(1-Cap_MAPIF)*$D$16))*(1+1*$D$14),1)+G124-G118-G139*IF((F114+F115+F116+F117)&gt;0,F114/(F114+F115+F116+F117),0)</f>
        <v>14408219.7024102</v>
      </c>
      <c r="H114" s="73" t="n">
        <f aca="false">G114*(1+Rend_MAPIF/4)*IF(H95=1,(1-(Cap_MAPIF*$D$15+(1-Cap_MAPIF)*$D$16))*(1+1*$D$14),1)+H124-H118-H139*IF((G114+G115+G116+G117)&gt;0,G114/(G114+G115+G116+G117),0)</f>
        <v>14894523.1996114</v>
      </c>
      <c r="I114" s="73" t="n">
        <f aca="false">H114*(1+Rend_MAPIF/4)*IF(I95=1,(1-(Cap_MAPIF*$D$15+(1-Cap_MAPIF)*$D$16))*(1+1*$D$14),1)+I124-I118-I139*IF((H114+H115+H116+H117)&gt;0,H114/(H114+H115+H116+H117),0)</f>
        <v>15384583.3913284</v>
      </c>
      <c r="J114" s="73" t="n">
        <f aca="false">I114*(1+Rend_MAPIF/4)*IF(J95=1,(1-(Cap_MAPIF*$D$15+(1-Cap_MAPIF)*$D$16))*(1+1*$D$14),1)+J124-J118-J139*IF((I114+I115+I116+I117)&gt;0,I114/(I114+I115+I116+I117),0)</f>
        <v>15878429.2980264</v>
      </c>
      <c r="K114" s="73" t="n">
        <f aca="false">J114*(1+Rend_MAPIF/4)*IF(K95=1,(1-(Cap_MAPIF*$D$15+(1-Cap_MAPIF)*$D$16))*(1+1*$D$14),1)+K124-K118-K139*IF((J114+J115+J116+J117)&gt;0,J114/(J114+J115+J116+J117),0)</f>
        <v>16376090.1643536</v>
      </c>
      <c r="L114" s="73" t="n">
        <f aca="false">K114*(1+Rend_MAPIF/4)*IF(L95=1,(1-(Cap_MAPIF*$D$15+(1-Cap_MAPIF)*$D$16))*(1+1*$D$14),1)+L124-L118-L139*IF((K114+K115+K116+K117)&gt;0,K114/(K114+K115+K116+K117),0)</f>
        <v>16877595.4608733</v>
      </c>
      <c r="M114" s="73" t="n">
        <f aca="false">L114*(1+Rend_MAPIF/4)*IF(M95=1,(1-(Cap_MAPIF*$D$15+(1-Cap_MAPIF)*$D$16))*(1+1*$D$14),1)+M124-M118-M139*IF((L114+L115+L116+L117)&gt;0,L114/(L114+L115+L116+L117),0)</f>
        <v>17382974.8858085</v>
      </c>
      <c r="N114" s="73" t="n">
        <f aca="false">M114*(1+Rend_MAPIF/4)*IF(N95=1,(1-(Cap_MAPIF*$D$15+(1-Cap_MAPIF)*$D$16))*(1+1*$D$14),1)+N124-N118-N139*IF((M114+M115+M116+M117)&gt;0,M114/(M114+M115+M116+M117),0)</f>
        <v>17892258.3668014</v>
      </c>
      <c r="O114" s="73" t="n">
        <f aca="false">N114*(1+Rend_MAPIF/4)*IF(O95=1,(1-(Cap_MAPIF*$D$15+(1-Cap_MAPIF)*$D$16))*(1+1*$D$14),1)+O124-O118-O139*IF((N114+N115+N116+N117)&gt;0,N114/(N114+N115+N116+N117),0)</f>
        <v>18405476.0626849</v>
      </c>
    </row>
    <row r="115" customFormat="false" ht="15" hidden="false" customHeight="false" outlineLevel="0" collapsed="false">
      <c r="B115" s="65" t="s">
        <v>1036</v>
      </c>
      <c r="C115" s="73" t="n">
        <f aca="false">AN_cible*Ws_MSIG</f>
        <v>5500000</v>
      </c>
      <c r="D115" s="73" t="n">
        <f aca="false">C115*(1+Rend_MSIG/4)*IF(D95=1,(1-(Cap_MSIG*$D$15+(1-Cap_MSIG)*$D$16))*(1+MSIG_USD*$D$14),1)+D125-D119-D139*IF((C114+C115+C116+C117)&gt;0,C115/(C114+C115+C116+C117),0)</f>
        <v>5773237.5</v>
      </c>
      <c r="E115" s="73" t="n">
        <f aca="false">D115*(1+Rend_MSIG/4)*IF(E95=1,(1-(Cap_MSIG*$D$15+(1-Cap_MSIG)*$D$16))*(1+MSIG_USD*$D$14),1)+E125-E119-E139*IF((D114+D115+D116+D117)&gt;0,D115/(D114+D115+D116+D117),0)</f>
        <v>6047629.4284375</v>
      </c>
      <c r="F115" s="73" t="n">
        <f aca="false">E115*(1+Rend_MSIG/4)*IF(F95=1,(1-(Cap_MSIG*$D$15+(1-Cap_MSIG)*$D$16))*(1+MSIG_USD*$D$14),1)+F125-F119-F139*IF((E114+E115+E116+E117)&gt;0,E115/(E114+E115+E116+E117),0)</f>
        <v>6323180.66277265</v>
      </c>
      <c r="G115" s="73" t="n">
        <f aca="false">F115*(1+Rend_MSIG/4)*IF(G95=1,(1-(Cap_MSIG*$D$15+(1-Cap_MSIG)*$D$16))*(1+MSIG_USD*$D$14),1)+G125-G119-G139*IF((F114+F115+F116+F117)&gt;0,F115/(F114+F115+F116+F117),0)</f>
        <v>6599896.10107286</v>
      </c>
      <c r="H115" s="73" t="n">
        <f aca="false">G115*(1+Rend_MSIG/4)*IF(H95=1,(1-(Cap_MSIG*$D$15+(1-Cap_MSIG)*$D$16))*(1+MSIG_USD*$D$14),1)+H125-H119-H139*IF((G114+G115+G116+G117)&gt;0,G115/(G114+G115+G116+G117),0)</f>
        <v>6877780.6620999</v>
      </c>
      <c r="I115" s="73" t="n">
        <f aca="false">H115*(1+Rend_MSIG/4)*IF(I95=1,(1-(Cap_MSIG*$D$15+(1-Cap_MSIG)*$D$16))*(1+MSIG_USD*$D$14),1)+I125-I119-I139*IF((H114+H115+H116+H117)&gt;0,H115/(H114+H115+H116+H117),0)</f>
        <v>7156839.28539727</v>
      </c>
      <c r="J115" s="73" t="n">
        <f aca="false">I115*(1+Rend_MSIG/4)*IF(J95=1,(1-(Cap_MSIG*$D$15+(1-Cap_MSIG)*$D$16))*(1+MSIG_USD*$D$14),1)+J125-J119-J139*IF((I114+I115+I116+I117)&gt;0,I115/(I114+I115+I116+I117),0)</f>
        <v>7437076.93137807</v>
      </c>
      <c r="K115" s="73" t="n">
        <f aca="false">J115*(1+Rend_MSIG/4)*IF(K95=1,(1-(Cap_MSIG*$D$15+(1-Cap_MSIG)*$D$16))*(1+MSIG_USD*$D$14),1)+K125-K119-K139*IF((J114+J115+J116+J117)&gt;0,J115/(J114+J115+J116+J117),0)</f>
        <v>7718498.58141314</v>
      </c>
      <c r="L115" s="73" t="n">
        <f aca="false">K115*(1+Rend_MSIG/4)*IF(L95=1,(1-(Cap_MSIG*$D$15+(1-Cap_MSIG)*$D$16))*(1+MSIG_USD*$D$14),1)+L125-L119-L139*IF((K114+K115+K116+K117)&gt;0,K115/(K114+K115+K116+K117),0)</f>
        <v>8001109.23791962</v>
      </c>
      <c r="M115" s="73" t="n">
        <f aca="false">L115*(1+Rend_MSIG/4)*IF(M95=1,(1-(Cap_MSIG*$D$15+(1-Cap_MSIG)*$D$16))*(1+MSIG_USD*$D$14),1)+M125-M119-M139*IF((L114+L115+L116+L117)&gt;0,L115/(L114+L115+L116+L117),0)</f>
        <v>8284913.92444983</v>
      </c>
      <c r="N115" s="73" t="n">
        <f aca="false">M115*(1+Rend_MSIG/4)*IF(N95=1,(1-(Cap_MSIG*$D$15+(1-Cap_MSIG)*$D$16))*(1+MSIG_USD*$D$14),1)+N125-N119-N139*IF((M114+M115+M116+M117)&gt;0,M115/(M114+M115+M116+M117),0)</f>
        <v>8569917.68578063</v>
      </c>
      <c r="O115" s="73" t="n">
        <f aca="false">N115*(1+Rend_MSIG/4)*IF(O95=1,(1-(Cap_MSIG*$D$15+(1-Cap_MSIG)*$D$16))*(1+MSIG_USD*$D$14),1)+O125-O119-O139*IF((N114+N115+N116+N117)&gt;0,N115/(N114+N115+N116+N117),0)</f>
        <v>8856125.58800305</v>
      </c>
    </row>
    <row r="116" customFormat="false" ht="15" hidden="false" customHeight="false" outlineLevel="0" collapsed="false">
      <c r="B116" s="65" t="s">
        <v>1037</v>
      </c>
      <c r="C116" s="73" t="n">
        <f aca="false">AN_cible*Ws_PG</f>
        <v>12250000</v>
      </c>
      <c r="D116" s="73" t="n">
        <f aca="false">C116*(1+Rend_PG/4)*IF(D95=1,(1-(Cap_PG*$D$15+(1-Cap_PG)*$D$16))*(1+0*$D$14),1)-D120-D136*IF((D126+D127)&gt;0,D126/(D126+D127),0)+D141/2-D139*IF((C114+C115+C116+C117)&gt;0,C116/(C114+C115+C116+C117),0)</f>
        <v>11888931.25</v>
      </c>
      <c r="E116" s="73" t="n">
        <f aca="false">D116*(1+Rend_PG/4)*IF(E95=1,(1-(Cap_PG*$D$15+(1-Cap_PG)*$D$16))*(1+0*$D$14),1)-E120-E136*IF((E126+E127)&gt;0,E126/(E126+E127),0)+E141/2-E139*IF((D114+D115+D116+D117)&gt;0,D116/(D114+D115+D116+D117),0)</f>
        <v>11538505.0014063</v>
      </c>
      <c r="F116" s="73" t="n">
        <f aca="false">E116*(1+Rend_PG/4)*IF(F95=1,(1-(Cap_PG*$D$15+(1-Cap_PG)*$D$16))*(1+0*$D$14),1)-F120-F136*IF((F126+F127)&gt;0,F126/(F126+F127),0)+F141/2-F139*IF((E114+E115+E116+E117)&gt;0,E116/(E114+E115+E116+E117),0)</f>
        <v>11198407.5664898</v>
      </c>
      <c r="G116" s="73" t="n">
        <f aca="false">F116*(1+Rend_PG/4)*IF(G95=1,(1-(Cap_PG*$D$15+(1-Cap_PG)*$D$16))*(1+0*$D$14),1)-G120-G136*IF((G126+G127)&gt;0,G126/(G126+G127),0)+G141/2-G139*IF((F114+F115+F116+F117)&gt;0,F116/(F114+F115+F116+F117),0)</f>
        <v>10868334.5034675</v>
      </c>
      <c r="H116" s="73" t="n">
        <f aca="false">G116*(1+Rend_PG/4)*IF(H95=1,(1-(Cap_PG*$D$15+(1-Cap_PG)*$D$16))*(1+0*$D$14),1)-H120-H136*IF((H126+H127)&gt;0,H126/(H126+H127),0)+H141/2-H139*IF((G114+G115+G116+G117)&gt;0,G116/(G114+G115+G116+G117),0)</f>
        <v>10547990.3439778</v>
      </c>
      <c r="I116" s="73" t="n">
        <f aca="false">H116*(1+Rend_PG/4)*IF(I95=1,(1-(Cap_PG*$D$15+(1-Cap_PG)*$D$16))*(1+0*$D$14),1)-I120-I136*IF((I126+I127)&gt;0,I126/(I126+I127),0)+I141/2-I139*IF((H114+H115+H116+H117)&gt;0,H116/(H114+H115+H116+H117),0)</f>
        <v>10237088.3285891</v>
      </c>
      <c r="J116" s="73" t="n">
        <f aca="false">I116*(1+Rend_PG/4)*IF(J95=1,(1-(Cap_PG*$D$15+(1-Cap_PG)*$D$16))*(1+0*$D$14),1)-J120-J136*IF((J126+J127)&gt;0,J126/(J126+J127),0)+J141/2-J139*IF((I114+I115+I116+I117)&gt;0,I116/(I114+I115+I116+I117),0)</f>
        <v>9935350.1501039</v>
      </c>
      <c r="K116" s="73" t="n">
        <f aca="false">J116*(1+Rend_PG/4)*IF(K95=1,(1-(Cap_PG*$D$15+(1-Cap_PG)*$D$16))*(1+0*$D$14),1)-K120-K136*IF((K126+K127)&gt;0,K126/(K126+K127),0)+K141/2-K139*IF((J114+J115+J116+J117)&gt;0,J116/(J114+J115+J116+J117),0)</f>
        <v>9642505.70442959</v>
      </c>
      <c r="L116" s="73" t="n">
        <f aca="false">K116*(1+Rend_PG/4)*IF(L95=1,(1-(Cap_PG*$D$15+(1-Cap_PG)*$D$16))*(1+0*$D$14),1)-L120-L136*IF((L126+L127)&gt;0,L126/(L126+L127),0)+L141/2-L139*IF((K114+K115+K116+K117)&gt;0,K116/(K114+K115+K116+K117),0)</f>
        <v>9358292.84879153</v>
      </c>
      <c r="M116" s="73" t="n">
        <f aca="false">L116*(1+Rend_PG/4)*IF(M95=1,(1-(Cap_PG*$D$15+(1-Cap_PG)*$D$16))*(1+0*$D$14),1)-M120-M136*IF((M126+M127)&gt;0,M126/(M126+M127),0)+M141/2-M139*IF((L114+L115+L116+L117)&gt;0,L116/(L114+L115+L116+L117),0)</f>
        <v>9082457.1670734</v>
      </c>
      <c r="N116" s="73" t="n">
        <f aca="false">M116*(1+Rend_PG/4)*IF(N95=1,(1-(Cap_PG*$D$15+(1-Cap_PG)*$D$16))*(1+0*$D$14),1)-N120-N136*IF((N126+N127)&gt;0,N126/(N126+N127),0)+N141/2-N139*IF((M114+M115+M116+M117)&gt;0,M116/(M114+M115+M116+M117),0)</f>
        <v>8814751.74207391</v>
      </c>
      <c r="O116" s="73" t="n">
        <f aca="false">N116*(1+Rend_PG/4)*IF(O95=1,(1-(Cap_PG*$D$15+(1-Cap_PG)*$D$16))*(1+0*$D$14),1)-O120-O136*IF((O126+O127)&gt;0,O126/(O126+O127),0)+O141/2-O139*IF((N114+N115+N116+N117)&gt;0,N116/(N114+N115+N116+N117),0)</f>
        <v>8554936.93447628</v>
      </c>
    </row>
    <row r="117" customFormat="false" ht="15" hidden="false" customHeight="false" outlineLevel="0" collapsed="false">
      <c r="B117" s="65" t="s">
        <v>1038</v>
      </c>
      <c r="C117" s="73" t="n">
        <f aca="false">AN_cible*Ws_ARES</f>
        <v>12250000</v>
      </c>
      <c r="D117" s="73" t="n">
        <f aca="false">C117*(1+Rend_ARES/4)*IF(D95=1,(1-(Cap_ARES*$D$15+(1-Cap_ARES)*$D$16))*(1+0*$D$14),1)-D121-D136*IF((D126+D127)&gt;0,D127/(D126+D127),0)/(1-IF(D95&lt;=Deduc_trim,Deduc_ares,0))+D141/2-D139*IF((C114+C115+C116+C117)&gt;0,C117/(C114+C115+C116+C117),0)</f>
        <v>11727537.5</v>
      </c>
      <c r="E117" s="73" t="n">
        <f aca="false">D117*(1+Rend_ARES/4)*IF(E95=1,(1-(Cap_ARES*$D$15+(1-Cap_ARES)*$D$16))*(1+0*$D$14),1)-E121-E136*IF((E126+E127)&gt;0,E127/(E126+E127),0)/(1-IF(E95&lt;=Deduc_trim,Deduc_ares,0))+E141/2-E139*IF((D114+D115+D116+D117)&gt;0,D117/(D114+D115+D116+D117),0)</f>
        <v>11227358.025625</v>
      </c>
      <c r="F117" s="73" t="n">
        <f aca="false">E117*(1+Rend_ARES/4)*IF(F95=1,(1-(Cap_ARES*$D$15+(1-Cap_ARES)*$D$16))*(1+0*$D$14),1)-F121-F136*IF((F126+F127)&gt;0,F127/(F126+F127),0)/(1-IF(F95&lt;=Deduc_trim,Deduc_ares,0))+F141/2-F139*IF((E114+E115+E116+E117)&gt;0,E117/(E114+E115+E116+E117),0)</f>
        <v>10748511.2058321</v>
      </c>
      <c r="G117" s="73" t="n">
        <f aca="false">F117*(1+Rend_ARES/4)*IF(G95=1,(1-(Cap_ARES*$D$15+(1-Cap_ARES)*$D$16))*(1+0*$D$14),1)-G121-G136*IF((G126+G127)&gt;0,G127/(G126+G127),0)/(1-IF(G95&lt;=Deduc_trim,Deduc_ares,0))+G141/2-G139*IF((F114+F115+F116+F117)&gt;0,F117/(F114+F115+F116+F117),0)</f>
        <v>10290087.2029034</v>
      </c>
      <c r="H117" s="73" t="n">
        <f aca="false">G117*(1+Rend_ARES/4)*IF(H95=1,(1-(Cap_ARES*$D$15+(1-Cap_ARES)*$D$16))*(1+0*$D$14),1)-H121-H136*IF((H126+H127)&gt;0,H127/(H126+H127),0)/(1-IF(H95&lt;=Deduc_trim,Deduc_ares,0))+H141/2-H139*IF((G114+G115+G116+G117)&gt;0,G117/(G114+G115+G116+G117),0)</f>
        <v>9851214.98369952</v>
      </c>
      <c r="I117" s="73" t="n">
        <f aca="false">H117*(1+Rend_ARES/4)*IF(I95=1,(1-(Cap_ARES*$D$15+(1-Cap_ARES)*$D$16))*(1+0*$D$14),1)-I121-I136*IF((I126+I127)&gt;0,I127/(I126+I127),0)/(1-IF(I95&lt;=Deduc_trim,Deduc_ares,0))+I141/2-I139*IF((H114+H115+H116+H117)&gt;0,H117/(H114+H115+H116+H117),0)</f>
        <v>9431060.66464474</v>
      </c>
      <c r="J117" s="73" t="n">
        <f aca="false">I117*(1+Rend_ARES/4)*IF(J95=1,(1-(Cap_ARES*$D$15+(1-Cap_ARES)*$D$16))*(1+0*$D$14),1)-J121-J136*IF((J126+J127)&gt;0,J127/(J126+J127),0)/(1-IF(J95&lt;=Deduc_trim,Deduc_ares,0))+J141/2-J139*IF((I114+I115+I116+I117)&gt;0,I117/(I114+I115+I116+I117),0)</f>
        <v>9028825.92729764</v>
      </c>
      <c r="K117" s="73" t="n">
        <f aca="false">J117*(1+Rend_ARES/4)*IF(K95=1,(1-(Cap_ARES*$D$15+(1-Cap_ARES)*$D$16))*(1+0*$D$14),1)-K121-K136*IF((K126+K127)&gt;0,K127/(K126+K127),0)/(1-IF(K95&lt;=Deduc_trim,Deduc_ares,0))+K141/2-K139*IF((J114+J115+J116+J117)&gt;0,J117/(J114+J115+J116+J117),0)</f>
        <v>8643746.5014984</v>
      </c>
      <c r="L117" s="73" t="n">
        <f aca="false">K117*(1+Rend_ARES/4)*IF(L95=1,(1-(Cap_ARES*$D$15+(1-Cap_ARES)*$D$16))*(1+0*$D$14),1)-L121-L136*IF((L126+L127)&gt;0,L127/(L126+L127),0)/(1-IF(L95&lt;=Deduc_trim,Deduc_ares,0))+L141/2-L139*IF((K114+K115+K116+K117)&gt;0,K117/(K114+K115+K116+K117),0)</f>
        <v>8275090.71320949</v>
      </c>
      <c r="M117" s="73" t="n">
        <f aca="false">L117*(1+Rend_ARES/4)*IF(M95=1,(1-(Cap_ARES*$D$15+(1-Cap_ARES)*$D$16))*(1+0*$D$14),1)-M121-M136*IF((M126+M127)&gt;0,M127/(M126+M127),0)/(1-IF(M95&lt;=Deduc_trim,Deduc_ares,0))+M141/2-M139*IF((L114+L115+L116+L117)&gt;0,L117/(L114+L115+L116+L117),0)</f>
        <v>7922158.0942911</v>
      </c>
      <c r="N117" s="73" t="n">
        <f aca="false">M117*(1+Rend_ARES/4)*IF(N95=1,(1-(Cap_ARES*$D$15+(1-Cap_ARES)*$D$16))*(1+0*$D$14),1)-N121-N136*IF((N126+N127)&gt;0,N127/(N126+N127),0)/(1-IF(N95&lt;=Deduc_trim,Deduc_ares,0))+N141/2-N139*IF((M114+M115+M116+M117)&gt;0,M117/(M114+M115+M116+M117),0)</f>
        <v>7584278.05156959</v>
      </c>
      <c r="O117" s="73" t="n">
        <f aca="false">N117*(1+Rend_ARES/4)*IF(O95=1,(1-(Cap_ARES*$D$15+(1-Cap_ARES)*$D$16))*(1+0*$D$14),1)-O121-O136*IF((O126+O127)&gt;0,O127/(O126+O127),0)/(1-IF(O95&lt;=Deduc_trim,Deduc_ares,0))+O141/2-O139*IF((N114+N115+N116+N117)&gt;0,N117/(N114+N115+N116+N117),0)</f>
        <v>7260808.59267014</v>
      </c>
    </row>
    <row r="118" customFormat="false" ht="15" hidden="false" customHeight="false" outlineLevel="0" collapsed="false">
      <c r="B118" s="65" t="s">
        <v>1039</v>
      </c>
      <c r="C118" s="25"/>
      <c r="D118" s="73" t="n">
        <f aca="false">C114*Dist_MAPIF/4*IF(D95&lt;=$D$11,0,$D$10)</f>
        <v>187500</v>
      </c>
      <c r="E118" s="73" t="n">
        <f aca="false">D114*Dist_MAPIF/4*IF(E95&lt;=$D$11,0,$D$10)</f>
        <v>194573.4375</v>
      </c>
      <c r="F118" s="73" t="n">
        <f aca="false">E114*Dist_MAPIF/4*IF(F95&lt;=$D$11,0,$D$10)</f>
        <v>201701.517304688</v>
      </c>
      <c r="G118" s="73" t="n">
        <f aca="false">F114*Dist_MAPIF/4*IF(G95&lt;=$D$11,0,$D$10)</f>
        <v>208884.661525866</v>
      </c>
      <c r="H118" s="73" t="n">
        <f aca="false">G114*Dist_MAPIF/4*IF(H95&lt;=$D$11,0,$D$10)</f>
        <v>216123.295536154</v>
      </c>
      <c r="I118" s="73" t="n">
        <f aca="false">H114*Dist_MAPIF/4*IF(I95&lt;=$D$11,0,$D$10)</f>
        <v>223417.84799417</v>
      </c>
      <c r="J118" s="73" t="n">
        <f aca="false">I114*Dist_MAPIF/4*IF(J95&lt;=$D$11,0,$D$10)</f>
        <v>230768.750869925</v>
      </c>
      <c r="K118" s="73" t="n">
        <f aca="false">J114*Dist_MAPIF/4*IF(K95&lt;=$D$11,0,$D$10)</f>
        <v>238176.439470396</v>
      </c>
      <c r="L118" s="73" t="n">
        <f aca="false">K114*Dist_MAPIF/4*IF(L95&lt;=$D$11,0,$D$10)</f>
        <v>245641.352465304</v>
      </c>
      <c r="M118" s="73" t="n">
        <f aca="false">L114*Dist_MAPIF/4*IF(M95&lt;=$D$11,0,$D$10)</f>
        <v>253163.931913099</v>
      </c>
      <c r="N118" s="73" t="n">
        <f aca="false">M114*Dist_MAPIF/4*IF(N95&lt;=$D$11,0,$D$10)</f>
        <v>260744.623287128</v>
      </c>
      <c r="O118" s="73" t="n">
        <f aca="false">N114*Dist_MAPIF/4*IF(O95&lt;=$D$11,0,$D$10)</f>
        <v>268383.875502021</v>
      </c>
    </row>
    <row r="119" customFormat="false" ht="15" hidden="false" customHeight="false" outlineLevel="0" collapsed="false">
      <c r="B119" s="65" t="s">
        <v>1040</v>
      </c>
      <c r="C119" s="25"/>
      <c r="D119" s="73" t="n">
        <f aca="false">C115*Dist_MSIG/4*IF(D95&lt;=$D$11,0,$D$10)</f>
        <v>96250</v>
      </c>
      <c r="E119" s="73" t="n">
        <f aca="false">D115*Dist_MSIG/4*IF(E95&lt;=$D$11,0,$D$10)</f>
        <v>101031.65625</v>
      </c>
      <c r="F119" s="73" t="n">
        <f aca="false">E115*Dist_MSIG/4*IF(F95&lt;=$D$11,0,$D$10)</f>
        <v>105833.514997656</v>
      </c>
      <c r="G119" s="73" t="n">
        <f aca="false">F115*Dist_MSIG/4*IF(G95&lt;=$D$11,0,$D$10)</f>
        <v>110655.661598521</v>
      </c>
      <c r="H119" s="73" t="n">
        <f aca="false">G115*Dist_MSIG/4*IF(H95&lt;=$D$11,0,$D$10)</f>
        <v>115498.181768775</v>
      </c>
      <c r="I119" s="73" t="n">
        <f aca="false">H115*Dist_MSIG/4*IF(I95&lt;=$D$11,0,$D$10)</f>
        <v>120361.161586748</v>
      </c>
      <c r="J119" s="73" t="n">
        <f aca="false">I115*Dist_MSIG/4*IF(J95&lt;=$D$11,0,$D$10)</f>
        <v>125244.687494452</v>
      </c>
      <c r="K119" s="73" t="n">
        <f aca="false">J115*Dist_MSIG/4*IF(K95&lt;=$D$11,0,$D$10)</f>
        <v>130148.846299116</v>
      </c>
      <c r="L119" s="73" t="n">
        <f aca="false">K115*Dist_MSIG/4*IF(L95&lt;=$D$11,0,$D$10)</f>
        <v>135073.72517473</v>
      </c>
      <c r="M119" s="73" t="n">
        <f aca="false">L115*Dist_MSIG/4*IF(M95&lt;=$D$11,0,$D$10)</f>
        <v>140019.411663593</v>
      </c>
      <c r="N119" s="73" t="n">
        <f aca="false">M115*Dist_MSIG/4*IF(N95&lt;=$D$11,0,$D$10)</f>
        <v>144985.993677872</v>
      </c>
      <c r="O119" s="73" t="n">
        <f aca="false">N115*Dist_MSIG/4*IF(O95&lt;=$D$11,0,$D$10)</f>
        <v>149973.559501161</v>
      </c>
    </row>
    <row r="120" customFormat="false" ht="15" hidden="false" customHeight="false" outlineLevel="0" collapsed="false">
      <c r="B120" s="65" t="s">
        <v>1041</v>
      </c>
      <c r="C120" s="25"/>
      <c r="D120" s="73" t="n">
        <f aca="false">C116*Dist_PG/4*IF(D95&lt;=$D$11,0,$D$10)</f>
        <v>61250</v>
      </c>
      <c r="E120" s="73" t="n">
        <f aca="false">D116*Dist_PG/4*IF(E95&lt;=$D$11,0,$D$10)</f>
        <v>59444.65625</v>
      </c>
      <c r="F120" s="73" t="n">
        <f aca="false">E116*Dist_PG/4*IF(F95&lt;=$D$11,0,$D$10)</f>
        <v>57692.5250070313</v>
      </c>
      <c r="G120" s="73" t="n">
        <f aca="false">F116*Dist_PG/4*IF(G95&lt;=$D$11,0,$D$10)</f>
        <v>55992.037832449</v>
      </c>
      <c r="H120" s="73" t="n">
        <f aca="false">G116*Dist_PG/4*IF(H95&lt;=$D$11,0,$D$10)</f>
        <v>54341.6725173376</v>
      </c>
      <c r="I120" s="73" t="n">
        <f aca="false">H116*Dist_PG/4*IF(I95&lt;=$D$11,0,$D$10)</f>
        <v>52739.9517198891</v>
      </c>
      <c r="J120" s="73" t="n">
        <f aca="false">I116*Dist_PG/4*IF(J95&lt;=$D$11,0,$D$10)</f>
        <v>51185.4416429453</v>
      </c>
      <c r="K120" s="73" t="n">
        <f aca="false">J116*Dist_PG/4*IF(K95&lt;=$D$11,0,$D$10)</f>
        <v>49676.7507505195</v>
      </c>
      <c r="L120" s="73" t="n">
        <f aca="false">K116*Dist_PG/4*IF(L95&lt;=$D$11,0,$D$10)</f>
        <v>48212.528522148</v>
      </c>
      <c r="M120" s="73" t="n">
        <f aca="false">L116*Dist_PG/4*IF(M95&lt;=$D$11,0,$D$10)</f>
        <v>46791.4642439576</v>
      </c>
      <c r="N120" s="73" t="n">
        <f aca="false">M116*Dist_PG/4*IF(N95&lt;=$D$11,0,$D$10)</f>
        <v>45412.285835367</v>
      </c>
      <c r="O120" s="73" t="n">
        <f aca="false">N116*Dist_PG/4*IF(O95&lt;=$D$11,0,$D$10)</f>
        <v>44073.7587103696</v>
      </c>
    </row>
    <row r="121" customFormat="false" ht="15" hidden="false" customHeight="false" outlineLevel="0" collapsed="false">
      <c r="B121" s="65" t="s">
        <v>1042</v>
      </c>
      <c r="C121" s="25"/>
      <c r="D121" s="73" t="n">
        <f aca="false">C117*Dist_ARES/4*IF(D95&lt;=$D$11,0,$D$10)</f>
        <v>153125</v>
      </c>
      <c r="E121" s="73" t="n">
        <f aca="false">D117*Dist_ARES/4*IF(E95&lt;=$D$11,0,$D$10)</f>
        <v>146594.21875</v>
      </c>
      <c r="F121" s="73" t="n">
        <f aca="false">E117*Dist_ARES/4*IF(F95&lt;=$D$11,0,$D$10)</f>
        <v>140341.975320313</v>
      </c>
      <c r="G121" s="73" t="n">
        <f aca="false">F117*Dist_ARES/4*IF(G95&lt;=$D$11,0,$D$10)</f>
        <v>134356.390072901</v>
      </c>
      <c r="H121" s="73" t="n">
        <f aca="false">G117*Dist_ARES/4*IF(H95&lt;=$D$11,0,$D$10)</f>
        <v>128626.090036292</v>
      </c>
      <c r="I121" s="73" t="n">
        <f aca="false">H117*Dist_ARES/4*IF(I95&lt;=$D$11,0,$D$10)</f>
        <v>123140.187296244</v>
      </c>
      <c r="J121" s="73" t="n">
        <f aca="false">I117*Dist_ARES/4*IF(J95&lt;=$D$11,0,$D$10)</f>
        <v>117888.258308059</v>
      </c>
      <c r="K121" s="73" t="n">
        <f aca="false">J117*Dist_ARES/4*IF(K95&lt;=$D$11,0,$D$10)</f>
        <v>112860.324091221</v>
      </c>
      <c r="L121" s="73" t="n">
        <f aca="false">K117*Dist_ARES/4*IF(L95&lt;=$D$11,0,$D$10)</f>
        <v>108046.83126873</v>
      </c>
      <c r="M121" s="73" t="n">
        <f aca="false">L117*Dist_ARES/4*IF(M95&lt;=$D$11,0,$D$10)</f>
        <v>103438.633915119</v>
      </c>
      <c r="N121" s="73" t="n">
        <f aca="false">M117*Dist_ARES/4*IF(N95&lt;=$D$11,0,$D$10)</f>
        <v>99026.9761786388</v>
      </c>
      <c r="O121" s="73" t="n">
        <f aca="false">N117*Dist_ARES/4*IF(O95&lt;=$D$11,0,$D$10)</f>
        <v>94803.4756446198</v>
      </c>
    </row>
    <row r="122" customFormat="false" ht="15" hidden="false" customHeight="false" outlineLevel="0" collapsed="false">
      <c r="B122" s="65" t="s">
        <v>1043</v>
      </c>
      <c r="C122" s="73" t="n">
        <f aca="false">AN_cible*$D$12*Part_MAPIF_NA</f>
        <v>4500000</v>
      </c>
      <c r="D122" s="73" t="n">
        <f aca="false">C122*IF(D95=1,1+$D$14,1)-D124</f>
        <v>4125000</v>
      </c>
      <c r="E122" s="73" t="n">
        <f aca="false">D122*IF(E95=1,1+$D$14,1)-E124</f>
        <v>3750000</v>
      </c>
      <c r="F122" s="73" t="n">
        <f aca="false">E122*IF(F95=1,1+$D$14,1)-F124</f>
        <v>3375000</v>
      </c>
      <c r="G122" s="73" t="n">
        <f aca="false">F122*IF(G95=1,1+$D$14,1)-G124</f>
        <v>3000000</v>
      </c>
      <c r="H122" s="73" t="n">
        <f aca="false">G122*IF(H95=1,1+$D$14,1)-H124</f>
        <v>2625000</v>
      </c>
      <c r="I122" s="73" t="n">
        <f aca="false">H122*IF(I95=1,1+$D$14,1)-I124</f>
        <v>2250000</v>
      </c>
      <c r="J122" s="73" t="n">
        <f aca="false">I122*IF(J95=1,1+$D$14,1)-J124</f>
        <v>1875000</v>
      </c>
      <c r="K122" s="73" t="n">
        <f aca="false">J122*IF(K95=1,1+$D$14,1)-K124</f>
        <v>1500000</v>
      </c>
      <c r="L122" s="73" t="n">
        <f aca="false">K122*IF(L95=1,1+$D$14,1)-L124</f>
        <v>1125000</v>
      </c>
      <c r="M122" s="73" t="n">
        <f aca="false">L122*IF(M95=1,1+$D$14,1)-M124</f>
        <v>750000</v>
      </c>
      <c r="N122" s="73" t="n">
        <f aca="false">M122*IF(N95=1,1+$D$14,1)-N124</f>
        <v>375000</v>
      </c>
      <c r="O122" s="73" t="n">
        <f aca="false">N122*IF(O95=1,1+$D$14,1)-O124</f>
        <v>0</v>
      </c>
    </row>
    <row r="123" customFormat="false" ht="15" hidden="false" customHeight="false" outlineLevel="0" collapsed="false">
      <c r="B123" s="65" t="s">
        <v>1044</v>
      </c>
      <c r="C123" s="73" t="n">
        <f aca="false">AN_cible*$D$12*(1-Part_MAPIF_NA)</f>
        <v>3000000</v>
      </c>
      <c r="D123" s="73" t="n">
        <f aca="false">C123*IF(D95=1,1+MSIG_USD*$D$14,1)-D125</f>
        <v>2750000</v>
      </c>
      <c r="E123" s="73" t="n">
        <f aca="false">D123*IF(E95=1,1+MSIG_USD*$D$14,1)-E125</f>
        <v>2500000</v>
      </c>
      <c r="F123" s="73" t="n">
        <f aca="false">E123*IF(F95=1,1+MSIG_USD*$D$14,1)-F125</f>
        <v>2250000</v>
      </c>
      <c r="G123" s="73" t="n">
        <f aca="false">F123*IF(G95=1,1+MSIG_USD*$D$14,1)-G125</f>
        <v>2000000</v>
      </c>
      <c r="H123" s="73" t="n">
        <f aca="false">G123*IF(H95=1,1+MSIG_USD*$D$14,1)-H125</f>
        <v>1750000</v>
      </c>
      <c r="I123" s="73" t="n">
        <f aca="false">H123*IF(I95=1,1+MSIG_USD*$D$14,1)-I125</f>
        <v>1500000</v>
      </c>
      <c r="J123" s="73" t="n">
        <f aca="false">I123*IF(J95=1,1+MSIG_USD*$D$14,1)-J125</f>
        <v>1250000</v>
      </c>
      <c r="K123" s="73" t="n">
        <f aca="false">J123*IF(K95=1,1+MSIG_USD*$D$14,1)-K125</f>
        <v>1000000</v>
      </c>
      <c r="L123" s="73" t="n">
        <f aca="false">K123*IF(L95=1,1+MSIG_USD*$D$14,1)-L125</f>
        <v>750000</v>
      </c>
      <c r="M123" s="73" t="n">
        <f aca="false">L123*IF(M95=1,1+MSIG_USD*$D$14,1)-M125</f>
        <v>500000</v>
      </c>
      <c r="N123" s="73" t="n">
        <f aca="false">M123*IF(N95=1,1+MSIG_USD*$D$14,1)-N125</f>
        <v>250000</v>
      </c>
      <c r="O123" s="73" t="n">
        <f aca="false">N123*IF(O95=1,1+MSIG_USD*$D$14,1)-O125</f>
        <v>0</v>
      </c>
    </row>
    <row r="124" customFormat="false" ht="15" hidden="false" customHeight="false" outlineLevel="0" collapsed="false">
      <c r="B124" s="65" t="s">
        <v>1045</v>
      </c>
      <c r="C124" s="25"/>
      <c r="D124" s="73" t="n">
        <f aca="false">MIN(C122*IF(D95=1,1+$D$14,1),$C122*(1+$D$14)*IF(D95&lt;=4,$D$13/4,Appels_base))</f>
        <v>375000</v>
      </c>
      <c r="E124" s="73" t="n">
        <f aca="false">MIN(D122*IF(E95=1,1+$D$14,1),$C122*(1+$D$14)*IF(E95&lt;=4,$D$13/4,Appels_base))</f>
        <v>375000</v>
      </c>
      <c r="F124" s="73" t="n">
        <f aca="false">MIN(E122*IF(F95=1,1+$D$14,1),$C122*(1+$D$14)*IF(F95&lt;=4,$D$13/4,Appels_base))</f>
        <v>375000</v>
      </c>
      <c r="G124" s="73" t="n">
        <f aca="false">MIN(F122*IF(G95=1,1+$D$14,1),$C122*(1+$D$14)*IF(G95&lt;=4,$D$13/4,Appels_base))</f>
        <v>375000</v>
      </c>
      <c r="H124" s="73" t="n">
        <f aca="false">MIN(G122*IF(H95=1,1+$D$14,1),$C122*(1+$D$14)*IF(H95&lt;=4,$D$13/4,Appels_base))</f>
        <v>375000</v>
      </c>
      <c r="I124" s="73" t="n">
        <f aca="false">MIN(H122*IF(I95=1,1+$D$14,1),$C122*(1+$D$14)*IF(I95&lt;=4,$D$13/4,Appels_base))</f>
        <v>375000</v>
      </c>
      <c r="J124" s="73" t="n">
        <f aca="false">MIN(I122*IF(J95=1,1+$D$14,1),$C122*(1+$D$14)*IF(J95&lt;=4,$D$13/4,Appels_base))</f>
        <v>375000</v>
      </c>
      <c r="K124" s="73" t="n">
        <f aca="false">MIN(J122*IF(K95=1,1+$D$14,1),$C122*(1+$D$14)*IF(K95&lt;=4,$D$13/4,Appels_base))</f>
        <v>375000</v>
      </c>
      <c r="L124" s="73" t="n">
        <f aca="false">MIN(K122*IF(L95=1,1+$D$14,1),$C122*(1+$D$14)*IF(L95&lt;=4,$D$13/4,Appels_base))</f>
        <v>375000</v>
      </c>
      <c r="M124" s="73" t="n">
        <f aca="false">MIN(L122*IF(M95=1,1+$D$14,1),$C122*(1+$D$14)*IF(M95&lt;=4,$D$13/4,Appels_base))</f>
        <v>375000</v>
      </c>
      <c r="N124" s="73" t="n">
        <f aca="false">MIN(M122*IF(N95=1,1+$D$14,1),$C122*(1+$D$14)*IF(N95&lt;=4,$D$13/4,Appels_base))</f>
        <v>375000</v>
      </c>
      <c r="O124" s="73" t="n">
        <f aca="false">MIN(N122*IF(O95=1,1+$D$14,1),$C122*(1+$D$14)*IF(O95&lt;=4,$D$13/4,Appels_base))</f>
        <v>375000</v>
      </c>
    </row>
    <row r="125" customFormat="false" ht="15" hidden="false" customHeight="false" outlineLevel="0" collapsed="false">
      <c r="B125" s="65" t="s">
        <v>1046</v>
      </c>
      <c r="C125" s="25"/>
      <c r="D125" s="73" t="n">
        <f aca="false">MIN(C123*IF(D95=1,1+MSIG_USD*$D$14,1),$C123*(1+MSIG_USD*$D$14)*IF(D95&lt;=4,$D$13/4,Appels_base))</f>
        <v>250000</v>
      </c>
      <c r="E125" s="73" t="n">
        <f aca="false">MIN(D123*IF(E95=1,1+MSIG_USD*$D$14,1),$C123*(1+MSIG_USD*$D$14)*IF(E95&lt;=4,$D$13/4,Appels_base))</f>
        <v>250000</v>
      </c>
      <c r="F125" s="73" t="n">
        <f aca="false">MIN(E123*IF(F95=1,1+MSIG_USD*$D$14,1),$C123*(1+MSIG_USD*$D$14)*IF(F95&lt;=4,$D$13/4,Appels_base))</f>
        <v>250000</v>
      </c>
      <c r="G125" s="73" t="n">
        <f aca="false">MIN(F123*IF(G95=1,1+MSIG_USD*$D$14,1),$C123*(1+MSIG_USD*$D$14)*IF(G95&lt;=4,$D$13/4,Appels_base))</f>
        <v>250000</v>
      </c>
      <c r="H125" s="73" t="n">
        <f aca="false">MIN(G123*IF(H95=1,1+MSIG_USD*$D$14,1),$C123*(1+MSIG_USD*$D$14)*IF(H95&lt;=4,$D$13/4,Appels_base))</f>
        <v>250000</v>
      </c>
      <c r="I125" s="73" t="n">
        <f aca="false">MIN(H123*IF(I95=1,1+MSIG_USD*$D$14,1),$C123*(1+MSIG_USD*$D$14)*IF(I95&lt;=4,$D$13/4,Appels_base))</f>
        <v>250000</v>
      </c>
      <c r="J125" s="73" t="n">
        <f aca="false">MIN(I123*IF(J95=1,1+MSIG_USD*$D$14,1),$C123*(1+MSIG_USD*$D$14)*IF(J95&lt;=4,$D$13/4,Appels_base))</f>
        <v>250000</v>
      </c>
      <c r="K125" s="73" t="n">
        <f aca="false">MIN(J123*IF(K95=1,1+MSIG_USD*$D$14,1),$C123*(1+MSIG_USD*$D$14)*IF(K95&lt;=4,$D$13/4,Appels_base))</f>
        <v>250000</v>
      </c>
      <c r="L125" s="73" t="n">
        <f aca="false">MIN(K123*IF(L95=1,1+MSIG_USD*$D$14,1),$C123*(1+MSIG_USD*$D$14)*IF(L95&lt;=4,$D$13/4,Appels_base))</f>
        <v>250000</v>
      </c>
      <c r="M125" s="73" t="n">
        <f aca="false">MIN(L123*IF(M95=1,1+MSIG_USD*$D$14,1),$C123*(1+MSIG_USD*$D$14)*IF(M95&lt;=4,$D$13/4,Appels_base))</f>
        <v>250000</v>
      </c>
      <c r="N125" s="73" t="n">
        <f aca="false">MIN(M123*IF(N95=1,1+MSIG_USD*$D$14,1),$C123*(1+MSIG_USD*$D$14)*IF(N95&lt;=4,$D$13/4,Appels_base))</f>
        <v>250000</v>
      </c>
      <c r="O125" s="73" t="n">
        <f aca="false">MIN(N123*IF(O95=1,1+MSIG_USD*$D$14,1),$C123*(1+MSIG_USD*$D$14)*IF(O95&lt;=4,$D$13/4,Appels_base))</f>
        <v>250000</v>
      </c>
    </row>
    <row r="126" customFormat="false" ht="15" hidden="false" customHeight="false" outlineLevel="0" collapsed="false">
      <c r="B126" s="65" t="s">
        <v>1047</v>
      </c>
      <c r="C126" s="25"/>
      <c r="D126" s="73" t="n">
        <f aca="false">C116*Capacite_evg*IF(D95&lt;=4,$D$17,$D$18)</f>
        <v>612500</v>
      </c>
      <c r="E126" s="73" t="n">
        <f aca="false">D116*Capacite_evg*IF(E95&lt;=4,$D$17,$D$18)</f>
        <v>594446.5625</v>
      </c>
      <c r="F126" s="73" t="n">
        <f aca="false">E116*Capacite_evg*IF(F95&lt;=4,$D$17,$D$18)</f>
        <v>576925.250070313</v>
      </c>
      <c r="G126" s="73" t="n">
        <f aca="false">F116*Capacite_evg*IF(G95&lt;=4,$D$17,$D$18)</f>
        <v>559920.37832449</v>
      </c>
      <c r="H126" s="73" t="n">
        <f aca="false">G116*Capacite_evg*IF(H95&lt;=4,$D$17,$D$18)</f>
        <v>543416.725173376</v>
      </c>
      <c r="I126" s="73" t="n">
        <f aca="false">H116*Capacite_evg*IF(I95&lt;=4,$D$17,$D$18)</f>
        <v>527399.517198891</v>
      </c>
      <c r="J126" s="73" t="n">
        <f aca="false">I116*Capacite_evg*IF(J95&lt;=4,$D$17,$D$18)</f>
        <v>511854.416429453</v>
      </c>
      <c r="K126" s="73" t="n">
        <f aca="false">J116*Capacite_evg*IF(K95&lt;=4,$D$17,$D$18)</f>
        <v>496767.507505195</v>
      </c>
      <c r="L126" s="73" t="n">
        <f aca="false">K116*Capacite_evg*IF(L95&lt;=4,$D$17,$D$18)</f>
        <v>482125.28522148</v>
      </c>
      <c r="M126" s="73" t="n">
        <f aca="false">L116*Capacite_evg*IF(M95&lt;=4,$D$17,$D$18)</f>
        <v>467914.642439576</v>
      </c>
      <c r="N126" s="73" t="n">
        <f aca="false">M116*Capacite_evg*IF(N95&lt;=4,$D$17,$D$18)</f>
        <v>454122.85835367</v>
      </c>
      <c r="O126" s="73" t="n">
        <f aca="false">N116*Capacite_evg*IF(O95&lt;=4,$D$17,$D$18)</f>
        <v>440737.587103696</v>
      </c>
    </row>
    <row r="127" customFormat="false" ht="15" hidden="false" customHeight="false" outlineLevel="0" collapsed="false">
      <c r="B127" s="65" t="s">
        <v>1048</v>
      </c>
      <c r="C127" s="25"/>
      <c r="D127" s="73" t="n">
        <f aca="false">C117*Capacite_evg*IF(D95&lt;=4,$D$17,$D$19)*(1-IF(D95&lt;=Deduc_trim,Deduc_ares,0))</f>
        <v>581875</v>
      </c>
      <c r="E127" s="73" t="n">
        <f aca="false">D117*Capacite_evg*IF(E95&lt;=4,$D$17,$D$19)*(1-IF(E95&lt;=Deduc_trim,Deduc_ares,0))</f>
        <v>557058.03125</v>
      </c>
      <c r="F127" s="73" t="n">
        <f aca="false">E117*Capacite_evg*IF(F95&lt;=4,$D$17,$D$19)*(1-IF(F95&lt;=Deduc_trim,Deduc_ares,0))</f>
        <v>533299.506217187</v>
      </c>
      <c r="G127" s="73" t="n">
        <f aca="false">F117*Capacite_evg*IF(G95&lt;=4,$D$17,$D$19)*(1-IF(G95&lt;=Deduc_trim,Deduc_ares,0))</f>
        <v>510554.282277024</v>
      </c>
      <c r="H127" s="73" t="n">
        <f aca="false">G117*Capacite_evg*IF(H95&lt;=4,$D$17,$D$19)*(1-IF(H95&lt;=Deduc_trim,Deduc_ares,0))</f>
        <v>514504.360145168</v>
      </c>
      <c r="I127" s="73" t="n">
        <f aca="false">H117*Capacite_evg*IF(I95&lt;=4,$D$17,$D$19)*(1-IF(I95&lt;=Deduc_trim,Deduc_ares,0))</f>
        <v>492560.749184976</v>
      </c>
      <c r="J127" s="73" t="n">
        <f aca="false">I117*Capacite_evg*IF(J95&lt;=4,$D$17,$D$19)*(1-IF(J95&lt;=Deduc_trim,Deduc_ares,0))</f>
        <v>471553.033232237</v>
      </c>
      <c r="K127" s="73" t="n">
        <f aca="false">J117*Capacite_evg*IF(K95&lt;=4,$D$17,$D$19)*(1-IF(K95&lt;=Deduc_trim,Deduc_ares,0))</f>
        <v>451441.296364882</v>
      </c>
      <c r="L127" s="73" t="n">
        <f aca="false">K117*Capacite_evg*IF(L95&lt;=4,$D$17,$D$19)*(1-IF(L95&lt;=Deduc_trim,Deduc_ares,0))</f>
        <v>432187.32507492</v>
      </c>
      <c r="M127" s="73" t="n">
        <f aca="false">L117*Capacite_evg*IF(M95&lt;=4,$D$17,$D$19)*(1-IF(M95&lt;=Deduc_trim,Deduc_ares,0))</f>
        <v>413754.535660474</v>
      </c>
      <c r="N127" s="73" t="n">
        <f aca="false">M117*Capacite_evg*IF(N95&lt;=4,$D$17,$D$19)*(1-IF(N95&lt;=Deduc_trim,Deduc_ares,0))</f>
        <v>396107.904714555</v>
      </c>
      <c r="O127" s="73" t="n">
        <f aca="false">N117*Capacite_evg*IF(O95&lt;=4,$D$17,$D$19)*(1-IF(O95&lt;=Deduc_trim,Deduc_ares,0))</f>
        <v>379213.902578479</v>
      </c>
    </row>
    <row r="128" customFormat="false" ht="15" hidden="false" customHeight="false" outlineLevel="0" collapsed="false">
      <c r="B128" s="65" t="s">
        <v>1049</v>
      </c>
      <c r="C128" s="25"/>
      <c r="D128" s="73" t="n">
        <f aca="false">C142</f>
        <v>7500000</v>
      </c>
      <c r="E128" s="73" t="n">
        <f aca="false">D142</f>
        <v>5739375</v>
      </c>
      <c r="F128" s="73" t="n">
        <f aca="false">E142</f>
        <v>6562891.4375</v>
      </c>
      <c r="G128" s="73" t="n">
        <f aca="false">F142</f>
        <v>4909430.45367109</v>
      </c>
      <c r="H128" s="73" t="n">
        <f aca="false">G142</f>
        <v>5659951.93568534</v>
      </c>
      <c r="I128" s="73" t="n">
        <f aca="false">H142</f>
        <v>4012380.04095581</v>
      </c>
      <c r="J128" s="73" t="n">
        <f aca="false">I142</f>
        <v>4721157.38504098</v>
      </c>
      <c r="K128" s="73" t="n">
        <f aca="false">J142</f>
        <v>3052969.10864954</v>
      </c>
      <c r="L128" s="73" t="n">
        <f aca="false">K142</f>
        <v>3699458.07298265</v>
      </c>
      <c r="M128" s="73" t="n">
        <f aca="false">L142</f>
        <v>4115168.57790564</v>
      </c>
      <c r="N128" s="73" t="n">
        <f aca="false">M142</f>
        <v>4707834.71715987</v>
      </c>
      <c r="O128" s="73" t="n">
        <f aca="false">N142</f>
        <v>5275757.63224544</v>
      </c>
    </row>
    <row r="129" customFormat="false" ht="15" hidden="false" customHeight="false" outlineLevel="0" collapsed="false">
      <c r="B129" s="65" t="s">
        <v>1050</v>
      </c>
      <c r="C129" s="25"/>
      <c r="D129" s="73" t="n">
        <f aca="false">D128*Taux_treso/4</f>
        <v>46875</v>
      </c>
      <c r="E129" s="73" t="n">
        <f aca="false">E128*Taux_treso/4</f>
        <v>35871.09375</v>
      </c>
      <c r="F129" s="73" t="n">
        <f aca="false">F128*Taux_treso/4</f>
        <v>41018.071484375</v>
      </c>
      <c r="G129" s="73" t="n">
        <f aca="false">G128*Taux_treso/4</f>
        <v>30683.9403354443</v>
      </c>
      <c r="H129" s="73" t="n">
        <f aca="false">H128*Taux_treso/4</f>
        <v>35374.6995980334</v>
      </c>
      <c r="I129" s="73" t="n">
        <f aca="false">I128*Taux_treso/4</f>
        <v>25077.3752559738</v>
      </c>
      <c r="J129" s="73" t="n">
        <f aca="false">J128*Taux_treso/4</f>
        <v>29507.2336565061</v>
      </c>
      <c r="K129" s="73" t="n">
        <f aca="false">K128*Taux_treso/4</f>
        <v>19081.0569290596</v>
      </c>
      <c r="L129" s="73" t="n">
        <f aca="false">L128*Taux_treso/4</f>
        <v>23121.6129561415</v>
      </c>
      <c r="M129" s="73" t="n">
        <f aca="false">M128*Taux_treso/4</f>
        <v>25719.8036119102</v>
      </c>
      <c r="N129" s="73" t="n">
        <f aca="false">N128*Taux_treso/4</f>
        <v>29423.9669822492</v>
      </c>
      <c r="O129" s="73" t="n">
        <f aca="false">O128*Taux_treso/4</f>
        <v>32973.485201534</v>
      </c>
    </row>
    <row r="130" customFormat="false" ht="15" hidden="false" customHeight="false" outlineLevel="0" collapsed="false">
      <c r="B130" s="65" t="s">
        <v>1051</v>
      </c>
      <c r="C130" s="25"/>
      <c r="D130" s="73" t="n">
        <f aca="false">SUM(D118:D121)</f>
        <v>498125</v>
      </c>
      <c r="E130" s="73" t="n">
        <f aca="false">SUM(E118:E121)</f>
        <v>501643.96875</v>
      </c>
      <c r="F130" s="73" t="n">
        <f aca="false">SUM(F118:F121)</f>
        <v>505569.532629688</v>
      </c>
      <c r="G130" s="73" t="n">
        <f aca="false">SUM(G118:G121)</f>
        <v>509888.751029738</v>
      </c>
      <c r="H130" s="73" t="n">
        <f aca="false">SUM(H118:H121)</f>
        <v>514589.239858558</v>
      </c>
      <c r="I130" s="73" t="n">
        <f aca="false">SUM(I118:I121)</f>
        <v>519659.148597052</v>
      </c>
      <c r="J130" s="73" t="n">
        <f aca="false">SUM(J118:J121)</f>
        <v>525087.138315382</v>
      </c>
      <c r="K130" s="73" t="n">
        <f aca="false">SUM(K118:K121)</f>
        <v>530862.360611252</v>
      </c>
      <c r="L130" s="73" t="n">
        <f aca="false">SUM(L118:L121)</f>
        <v>536974.437430912</v>
      </c>
      <c r="M130" s="73" t="n">
        <f aca="false">SUM(M118:M121)</f>
        <v>543413.441735769</v>
      </c>
      <c r="N130" s="73" t="n">
        <f aca="false">SUM(N118:N121)</f>
        <v>550169.878979005</v>
      </c>
      <c r="O130" s="73" t="n">
        <f aca="false">SUM(O118:O121)</f>
        <v>557234.669358171</v>
      </c>
    </row>
    <row r="131" customFormat="false" ht="15" hidden="false" customHeight="false" outlineLevel="0" collapsed="false">
      <c r="B131" s="65" t="s">
        <v>1052</v>
      </c>
      <c r="C131" s="25"/>
      <c r="D131" s="73" t="n">
        <f aca="false">IF(AND(Distrib_tension=1,OR(D103&gt;0.000001,C145&lt;Liq_min,C109=1)),0,MIN(Dist_porteurs/4*Part_d*D100,D130))</f>
        <v>125000</v>
      </c>
      <c r="E131" s="73" t="n">
        <f aca="false">IF(AND(Distrib_tension=1,OR(E103&gt;0.000001,D145&lt;Liq_min,D109=1)),0,MIN(Dist_porteurs/4*Part_d*E100,E130))</f>
        <v>0</v>
      </c>
      <c r="F131" s="73" t="n">
        <f aca="false">IF(AND(Distrib_tension=1,OR(F103&gt;0.000001,E145&lt;Liq_min,E109=1)),0,MIN(Dist_porteurs/4*Part_d*F100,F130))</f>
        <v>0</v>
      </c>
      <c r="G131" s="73" t="n">
        <f aca="false">IF(AND(Distrib_tension=1,OR(G103&gt;0.000001,F145&lt;Liq_min,F109=1)),0,MIN(Dist_porteurs/4*Part_d*G100,G130))</f>
        <v>0</v>
      </c>
      <c r="H131" s="73" t="n">
        <f aca="false">IF(AND(Distrib_tension=1,OR(H103&gt;0.000001,G145&lt;Liq_min,G109=1)),0,MIN(Dist_porteurs/4*Part_d*H100,H130))</f>
        <v>0</v>
      </c>
      <c r="I131" s="73" t="n">
        <f aca="false">IF(AND(Distrib_tension=1,OR(I103&gt;0.000001,H145&lt;Liq_min,H109=1)),0,MIN(Dist_porteurs/4*Part_d*I100,I130))</f>
        <v>0</v>
      </c>
      <c r="J131" s="73" t="n">
        <f aca="false">IF(AND(Distrib_tension=1,OR(J103&gt;0.000001,I145&lt;Liq_min,I109=1)),0,MIN(Dist_porteurs/4*Part_d*J100,J130))</f>
        <v>0</v>
      </c>
      <c r="K131" s="73" t="n">
        <f aca="false">IF(AND(Distrib_tension=1,OR(K103&gt;0.000001,J145&lt;Liq_min,J109=1)),0,MIN(Dist_porteurs/4*Part_d*K100,K130))</f>
        <v>0</v>
      </c>
      <c r="L131" s="73" t="n">
        <f aca="false">IF(AND(Distrib_tension=1,OR(L103&gt;0.000001,K145&lt;Liq_min,K109=1)),0,MIN(Dist_porteurs/4*Part_d*L100,L130))</f>
        <v>0</v>
      </c>
      <c r="M131" s="73" t="n">
        <f aca="false">IF(AND(Distrib_tension=1,OR(M103&gt;0.000001,L145&lt;Liq_min,L109=1)),0,MIN(Dist_porteurs/4*Part_d*M100,M130))</f>
        <v>0</v>
      </c>
      <c r="N131" s="73" t="n">
        <f aca="false">IF(AND(Distrib_tension=1,OR(N103&gt;0.000001,M145&lt;Liq_min,M109=1)),0,MIN(Dist_porteurs/4*Part_d*N100,N130))</f>
        <v>0</v>
      </c>
      <c r="O131" s="73" t="n">
        <f aca="false">IF(AND(Distrib_tension=1,OR(O103&gt;0.000001,N145&lt;Liq_min,N109=1)),0,MIN(Dist_porteurs/4*Part_d*O100,O130))</f>
        <v>0</v>
      </c>
    </row>
    <row r="132" customFormat="false" ht="15" hidden="false" customHeight="false" outlineLevel="0" collapsed="false">
      <c r="B132" s="65" t="s">
        <v>1053</v>
      </c>
      <c r="C132" s="25"/>
      <c r="D132" s="73" t="n">
        <f aca="false">D124+D125</f>
        <v>625000</v>
      </c>
      <c r="E132" s="73" t="n">
        <f aca="false">E124+E125</f>
        <v>625000</v>
      </c>
      <c r="F132" s="73" t="n">
        <f aca="false">F124+F125</f>
        <v>625000</v>
      </c>
      <c r="G132" s="73" t="n">
        <f aca="false">G124+G125</f>
        <v>625000</v>
      </c>
      <c r="H132" s="73" t="n">
        <f aca="false">H124+H125</f>
        <v>625000</v>
      </c>
      <c r="I132" s="73" t="n">
        <f aca="false">I124+I125</f>
        <v>625000</v>
      </c>
      <c r="J132" s="73" t="n">
        <f aca="false">J124+J125</f>
        <v>625000</v>
      </c>
      <c r="K132" s="73" t="n">
        <f aca="false">K124+K125</f>
        <v>625000</v>
      </c>
      <c r="L132" s="73" t="n">
        <f aca="false">L124+L125</f>
        <v>625000</v>
      </c>
      <c r="M132" s="73" t="n">
        <f aca="false">M124+M125</f>
        <v>625000</v>
      </c>
      <c r="N132" s="73" t="n">
        <f aca="false">N124+N125</f>
        <v>625000</v>
      </c>
      <c r="O132" s="73" t="n">
        <f aca="false">O124+O125</f>
        <v>625000</v>
      </c>
    </row>
    <row r="133" customFormat="false" ht="15" hidden="false" customHeight="false" outlineLevel="0" collapsed="false">
      <c r="B133" s="65" t="s">
        <v>1054</v>
      </c>
      <c r="C133" s="25"/>
      <c r="D133" s="73" t="n">
        <f aca="false">D100*Frais_an/4</f>
        <v>250000</v>
      </c>
      <c r="E133" s="73" t="n">
        <f aca="false">E100*Frais_an/4</f>
        <v>240503.21875</v>
      </c>
      <c r="F133" s="73" t="n">
        <f aca="false">F100*Frais_an/4</f>
        <v>244115.758566406</v>
      </c>
      <c r="G133" s="73" t="n">
        <f aca="false">G100*Frais_an/4</f>
        <v>235525.86995245</v>
      </c>
      <c r="H133" s="73" t="n">
        <f aca="false">H100*Frais_an/4</f>
        <v>239132.447227697</v>
      </c>
      <c r="I133" s="73" t="n">
        <f aca="false">I100*Frais_an/4</f>
        <v>230919.446151722</v>
      </c>
      <c r="J133" s="73" t="n">
        <f aca="false">J100*Frais_an/4</f>
        <v>234653.645275002</v>
      </c>
      <c r="K133" s="73" t="n">
        <f aca="false">K100*Frais_an/4</f>
        <v>226663.257077278</v>
      </c>
      <c r="L133" s="73" t="n">
        <f aca="false">L100*Frais_an/4</f>
        <v>230401.495123387</v>
      </c>
      <c r="M133" s="73" t="n">
        <f aca="false">M100*Frais_an/4</f>
        <v>233136.284193498</v>
      </c>
      <c r="N133" s="73" t="n">
        <f aca="false">N100*Frais_an/4</f>
        <v>236901.693943914</v>
      </c>
      <c r="O133" s="73" t="n">
        <f aca="false">O100*Frais_an/4</f>
        <v>240684.817392355</v>
      </c>
    </row>
    <row r="134" customFormat="false" ht="15" hidden="false" customHeight="false" outlineLevel="0" collapsed="false">
      <c r="B134" s="65" t="s">
        <v>1055</v>
      </c>
      <c r="C134" s="25"/>
      <c r="D134" s="73" t="n">
        <f aca="false">C143*Taux_emprunt/4</f>
        <v>0</v>
      </c>
      <c r="E134" s="73" t="n">
        <f aca="false">D143*Taux_emprunt/4</f>
        <v>0</v>
      </c>
      <c r="F134" s="73" t="n">
        <f aca="false">E143*Taux_emprunt/4</f>
        <v>0</v>
      </c>
      <c r="G134" s="73" t="n">
        <f aca="false">F143*Taux_emprunt/4</f>
        <v>0</v>
      </c>
      <c r="H134" s="73" t="n">
        <f aca="false">G143*Taux_emprunt/4</f>
        <v>0</v>
      </c>
      <c r="I134" s="73" t="n">
        <f aca="false">H143*Taux_emprunt/4</f>
        <v>0</v>
      </c>
      <c r="J134" s="73" t="n">
        <f aca="false">I143*Taux_emprunt/4</f>
        <v>0</v>
      </c>
      <c r="K134" s="73" t="n">
        <f aca="false">J143*Taux_emprunt/4</f>
        <v>0</v>
      </c>
      <c r="L134" s="73" t="n">
        <f aca="false">K143*Taux_emprunt/4</f>
        <v>0</v>
      </c>
      <c r="M134" s="73" t="n">
        <f aca="false">L143*Taux_emprunt/4</f>
        <v>0</v>
      </c>
      <c r="N134" s="73" t="n">
        <f aca="false">M143*Taux_emprunt/4</f>
        <v>0</v>
      </c>
      <c r="O134" s="73" t="n">
        <f aca="false">N143*Taux_emprunt/4</f>
        <v>0</v>
      </c>
    </row>
    <row r="135" customFormat="false" ht="15" hidden="false" customHeight="false" outlineLevel="0" collapsed="false">
      <c r="B135" s="65" t="s">
        <v>1056</v>
      </c>
      <c r="C135" s="25"/>
      <c r="D135" s="73" t="n">
        <f aca="false">D128+D129+D130-D131+D101-D132-D133-D134</f>
        <v>7045000</v>
      </c>
      <c r="E135" s="73" t="n">
        <f aca="false">E128+E129+E130-E131+E101-E132-E133-E134</f>
        <v>5411386.84375</v>
      </c>
      <c r="F135" s="73" t="n">
        <f aca="false">F128+F129+F130-F131+F101-F132-F133-F134</f>
        <v>6240363.28304766</v>
      </c>
      <c r="G135" s="73" t="n">
        <f aca="false">G128+G129+G130-G131+G101-G132-G133-G134</f>
        <v>4589477.27508382</v>
      </c>
      <c r="H135" s="73" t="n">
        <f aca="false">H128+H129+H130-H131+H101-H132-H133-H134</f>
        <v>5345783.42791423</v>
      </c>
      <c r="I135" s="73" t="n">
        <f aca="false">I128+I129+I130-I131+I101-I132-I133-I134</f>
        <v>3701197.11865711</v>
      </c>
      <c r="J135" s="73" t="n">
        <f aca="false">J128+J129+J130-J131+J101-J132-J133-J134</f>
        <v>4416098.11173787</v>
      </c>
      <c r="K135" s="73" t="n">
        <f aca="false">K128+K129+K130-K131+K101-K132-K133-K134</f>
        <v>2751249.26911257</v>
      </c>
      <c r="L135" s="73" t="n">
        <f aca="false">L128+L129+L130-L131+L101-L132-L133-L134</f>
        <v>3404152.62824631</v>
      </c>
      <c r="M135" s="73" t="n">
        <f aca="false">M128+M129+M130-M131+M101-M132-M133-M134</f>
        <v>3826165.53905982</v>
      </c>
      <c r="N135" s="73" t="n">
        <f aca="false">N128+N129+N130-N131+N101-N132-N133-N134</f>
        <v>4425526.86917721</v>
      </c>
      <c r="O135" s="73" t="n">
        <f aca="false">O128+O129+O130-O131+O101-O132-O133-O134</f>
        <v>5000280.96941279</v>
      </c>
    </row>
    <row r="136" customFormat="false" ht="15" hidden="false" customHeight="false" outlineLevel="0" collapsed="false">
      <c r="B136" s="65" t="s">
        <v>1057</v>
      </c>
      <c r="C136" s="25"/>
      <c r="D136" s="73" t="n">
        <f aca="false">MIN(D126+D127,MAX(0,Liq_cible*D100-(D135-D110)))</f>
        <v>1194375</v>
      </c>
      <c r="E136" s="73" t="n">
        <f aca="false">MIN(E126+E127,MAX(0,Liq_cible*E100-(E135-E110)))</f>
        <v>1151504.59375</v>
      </c>
      <c r="F136" s="73" t="n">
        <f aca="false">MIN(F126+F127,MAX(0,Liq_cible*F100-(F135-F110)))</f>
        <v>1110224.7562875</v>
      </c>
      <c r="G136" s="73" t="n">
        <f aca="false">MIN(G126+G127,MAX(0,Liq_cible*G100-(G135-G110)))</f>
        <v>1070474.66060151</v>
      </c>
      <c r="H136" s="73" t="n">
        <f aca="false">MIN(H126+H127,MAX(0,Liq_cible*H100-(H135-H110)))</f>
        <v>1057921.08531854</v>
      </c>
      <c r="I136" s="73" t="n">
        <f aca="false">MIN(I126+I127,MAX(0,Liq_cible*I100-(I135-I110)))</f>
        <v>1019960.26638387</v>
      </c>
      <c r="J136" s="73" t="n">
        <f aca="false">MIN(J126+J127,MAX(0,Liq_cible*J100-(J135-J110)))</f>
        <v>983407.44966169</v>
      </c>
      <c r="K136" s="73" t="n">
        <f aca="false">MIN(K126+K127,MAX(0,Liq_cible*K100-(K135-K110)))</f>
        <v>948208.803870077</v>
      </c>
      <c r="L136" s="73" t="n">
        <f aca="false">MIN(L126+L127,MAX(0,Liq_cible*L100-(L135-L110)))</f>
        <v>914312.610296399</v>
      </c>
      <c r="M136" s="73" t="n">
        <f aca="false">MIN(M126+M127,MAX(0,Liq_cible*M100-(M135-M110)))</f>
        <v>881669.178100051</v>
      </c>
      <c r="N136" s="73" t="n">
        <f aca="false">MIN(N126+N127,MAX(0,Liq_cible*N100-(N135-N110)))</f>
        <v>850230.763068225</v>
      </c>
      <c r="O136" s="73" t="n">
        <f aca="false">MIN(O126+O127,MAX(0,Liq_cible*O100-(O135-O110)))</f>
        <v>819951.489682175</v>
      </c>
    </row>
    <row r="137" customFormat="false" ht="15" hidden="false" customHeight="false" outlineLevel="0" collapsed="false">
      <c r="B137" s="65" t="s">
        <v>1058</v>
      </c>
      <c r="C137" s="25"/>
      <c r="D137" s="73" t="n">
        <f aca="false">D135-D110+D136</f>
        <v>5739375</v>
      </c>
      <c r="E137" s="73" t="n">
        <f aca="false">E135-E110+E136</f>
        <v>6562891.4375</v>
      </c>
      <c r="F137" s="73" t="n">
        <f aca="false">F135-F110+F136</f>
        <v>4909430.45367109</v>
      </c>
      <c r="G137" s="73" t="n">
        <f aca="false">G135-G110+G136</f>
        <v>5659951.93568534</v>
      </c>
      <c r="H137" s="73" t="n">
        <f aca="false">H135-H110+H136</f>
        <v>4012380.04095581</v>
      </c>
      <c r="I137" s="73" t="n">
        <f aca="false">I135-I110+I136</f>
        <v>4721157.38504098</v>
      </c>
      <c r="J137" s="73" t="n">
        <f aca="false">J135-J110+J136</f>
        <v>3052969.10864954</v>
      </c>
      <c r="K137" s="73" t="n">
        <f aca="false">K135-K110+K136</f>
        <v>3699458.07298265</v>
      </c>
      <c r="L137" s="73" t="n">
        <f aca="false">L135-L110+L136</f>
        <v>4115168.57790564</v>
      </c>
      <c r="M137" s="73" t="n">
        <f aca="false">M135-M110+M136</f>
        <v>4707834.71715987</v>
      </c>
      <c r="N137" s="73" t="n">
        <f aca="false">N135-N110+N136</f>
        <v>5275757.63224544</v>
      </c>
      <c r="O137" s="73" t="n">
        <f aca="false">O135-O110+O136</f>
        <v>5820232.45909496</v>
      </c>
    </row>
    <row r="138" customFormat="false" ht="15" hidden="false" customHeight="false" outlineLevel="0" collapsed="false">
      <c r="B138" s="65" t="s">
        <v>1059</v>
      </c>
      <c r="C138" s="25"/>
      <c r="D138" s="73" t="n">
        <f aca="false">MIN(MAX(0,MIN($D$20*AN_cible,Emprunt_max*D100)-C143),MAX(0,IF($D$20&gt;0,Poche_min_exec*D100,0)-D137))-IF(D137&gt;Liq_cible*D100,MIN(C143,D137-Liq_cible*D100),0)</f>
        <v>0</v>
      </c>
      <c r="E138" s="73" t="n">
        <f aca="false">MIN(MAX(0,MIN($D$20*AN_cible,Emprunt_max*E100)-D143),MAX(0,IF($D$20&gt;0,Poche_min_exec*E100,0)-E137))-IF(E137&gt;Liq_cible*E100,MIN(D143,E137-Liq_cible*E100),0)</f>
        <v>0</v>
      </c>
      <c r="F138" s="73" t="n">
        <f aca="false">MIN(MAX(0,MIN($D$20*AN_cible,Emprunt_max*F100)-E143),MAX(0,IF($D$20&gt;0,Poche_min_exec*F100,0)-F137))-IF(F137&gt;Liq_cible*F100,MIN(E143,F137-Liq_cible*F100),0)</f>
        <v>0</v>
      </c>
      <c r="G138" s="73" t="n">
        <f aca="false">MIN(MAX(0,MIN($D$20*AN_cible,Emprunt_max*G100)-F143),MAX(0,IF($D$20&gt;0,Poche_min_exec*G100,0)-G137))-IF(G137&gt;Liq_cible*G100,MIN(F143,G137-Liq_cible*G100),0)</f>
        <v>0</v>
      </c>
      <c r="H138" s="73" t="n">
        <f aca="false">MIN(MAX(0,MIN($D$20*AN_cible,Emprunt_max*H100)-G143),MAX(0,IF($D$20&gt;0,Poche_min_exec*H100,0)-H137))-IF(H137&gt;Liq_cible*H100,MIN(G143,H137-Liq_cible*H100),0)</f>
        <v>0</v>
      </c>
      <c r="I138" s="73" t="n">
        <f aca="false">MIN(MAX(0,MIN($D$20*AN_cible,Emprunt_max*I100)-H143),MAX(0,IF($D$20&gt;0,Poche_min_exec*I100,0)-I137))-IF(I137&gt;Liq_cible*I100,MIN(H143,I137-Liq_cible*I100),0)</f>
        <v>0</v>
      </c>
      <c r="J138" s="73" t="n">
        <f aca="false">MIN(MAX(0,MIN($D$20*AN_cible,Emprunt_max*J100)-I143),MAX(0,IF($D$20&gt;0,Poche_min_exec*J100,0)-J137))-IF(J137&gt;Liq_cible*J100,MIN(I143,J137-Liq_cible*J100),0)</f>
        <v>0</v>
      </c>
      <c r="K138" s="73" t="n">
        <f aca="false">MIN(MAX(0,MIN($D$20*AN_cible,Emprunt_max*K100)-J143),MAX(0,IF($D$20&gt;0,Poche_min_exec*K100,0)-K137))-IF(K137&gt;Liq_cible*K100,MIN(J143,K137-Liq_cible*K100),0)</f>
        <v>0</v>
      </c>
      <c r="L138" s="73" t="n">
        <f aca="false">MIN(MAX(0,MIN($D$20*AN_cible,Emprunt_max*L100)-K143),MAX(0,IF($D$20&gt;0,Poche_min_exec*L100,0)-L137))-IF(L137&gt;Liq_cible*L100,MIN(K143,L137-Liq_cible*L100),0)</f>
        <v>0</v>
      </c>
      <c r="M138" s="73" t="n">
        <f aca="false">MIN(MAX(0,MIN($D$20*AN_cible,Emprunt_max*M100)-L143),MAX(0,IF($D$20&gt;0,Poche_min_exec*M100,0)-M137))-IF(M137&gt;Liq_cible*M100,MIN(L143,M137-Liq_cible*M100),0)</f>
        <v>0</v>
      </c>
      <c r="N138" s="73" t="n">
        <f aca="false">MIN(MAX(0,MIN($D$20*AN_cible,Emprunt_max*N100)-M143),MAX(0,IF($D$20&gt;0,Poche_min_exec*N100,0)-N137))-IF(N137&gt;Liq_cible*N100,MIN(M143,N137-Liq_cible*N100),0)</f>
        <v>0</v>
      </c>
      <c r="O138" s="73" t="n">
        <f aca="false">MIN(MAX(0,MIN($D$20*AN_cible,Emprunt_max*O100)-N143),MAX(0,IF($D$20&gt;0,Poche_min_exec*O100,0)-O137))-IF(O137&gt;Liq_cible*O100,MIN(N143,O137-Liq_cible*O100),0)</f>
        <v>0</v>
      </c>
    </row>
    <row r="139" customFormat="false" ht="15" hidden="false" customHeight="false" outlineLevel="0" collapsed="false">
      <c r="B139" s="65" t="s">
        <v>1060</v>
      </c>
      <c r="C139" s="25"/>
      <c r="D139" s="73" t="n">
        <f aca="false">MIN((C114+C115+C116+C117),MAX(0,-(D137+D138))/(1-Decote))</f>
        <v>0</v>
      </c>
      <c r="E139" s="73" t="n">
        <f aca="false">MIN((D114+D115+D116+D117),MAX(0,-(E137+E138))/(1-Decote))</f>
        <v>0</v>
      </c>
      <c r="F139" s="73" t="n">
        <f aca="false">MIN((E114+E115+E116+E117),MAX(0,-(F137+F138))/(1-Decote))</f>
        <v>0</v>
      </c>
      <c r="G139" s="73" t="n">
        <f aca="false">MIN((F114+F115+F116+F117),MAX(0,-(G137+G138))/(1-Decote))</f>
        <v>0</v>
      </c>
      <c r="H139" s="73" t="n">
        <f aca="false">MIN((G114+G115+G116+G117),MAX(0,-(H137+H138))/(1-Decote))</f>
        <v>0</v>
      </c>
      <c r="I139" s="73" t="n">
        <f aca="false">MIN((H114+H115+H116+H117),MAX(0,-(I137+I138))/(1-Decote))</f>
        <v>0</v>
      </c>
      <c r="J139" s="73" t="n">
        <f aca="false">MIN((I114+I115+I116+I117),MAX(0,-(J137+J138))/(1-Decote))</f>
        <v>0</v>
      </c>
      <c r="K139" s="73" t="n">
        <f aca="false">MIN((J114+J115+J116+J117),MAX(0,-(K137+K138))/(1-Decote))</f>
        <v>0</v>
      </c>
      <c r="L139" s="73" t="n">
        <f aca="false">MIN((K114+K115+K116+K117),MAX(0,-(L137+L138))/(1-Decote))</f>
        <v>0</v>
      </c>
      <c r="M139" s="73" t="n">
        <f aca="false">MIN((L114+L115+L116+L117),MAX(0,-(M137+M138))/(1-Decote))</f>
        <v>0</v>
      </c>
      <c r="N139" s="73" t="n">
        <f aca="false">MIN((M114+M115+M116+M117),MAX(0,-(N137+N138))/(1-Decote))</f>
        <v>0</v>
      </c>
      <c r="O139" s="73" t="n">
        <f aca="false">MIN((N114+N115+N116+N117),MAX(0,-(O137+O138))/(1-Decote))</f>
        <v>0</v>
      </c>
    </row>
    <row r="140" customFormat="false" ht="15" hidden="false" customHeight="false" outlineLevel="0" collapsed="false">
      <c r="B140" s="65" t="s">
        <v>1061</v>
      </c>
      <c r="C140" s="25"/>
      <c r="D140" s="73" t="n">
        <f aca="false">D139*Decote</f>
        <v>0</v>
      </c>
      <c r="E140" s="73" t="n">
        <f aca="false">E139*Decote</f>
        <v>0</v>
      </c>
      <c r="F140" s="73" t="n">
        <f aca="false">F139*Decote</f>
        <v>0</v>
      </c>
      <c r="G140" s="73" t="n">
        <f aca="false">G139*Decote</f>
        <v>0</v>
      </c>
      <c r="H140" s="73" t="n">
        <f aca="false">H139*Decote</f>
        <v>0</v>
      </c>
      <c r="I140" s="73" t="n">
        <f aca="false">I139*Decote</f>
        <v>0</v>
      </c>
      <c r="J140" s="73" t="n">
        <f aca="false">J139*Decote</f>
        <v>0</v>
      </c>
      <c r="K140" s="73" t="n">
        <f aca="false">K139*Decote</f>
        <v>0</v>
      </c>
      <c r="L140" s="73" t="n">
        <f aca="false">L139*Decote</f>
        <v>0</v>
      </c>
      <c r="M140" s="73" t="n">
        <f aca="false">M139*Decote</f>
        <v>0</v>
      </c>
      <c r="N140" s="73" t="n">
        <f aca="false">N139*Decote</f>
        <v>0</v>
      </c>
      <c r="O140" s="73" t="n">
        <f aca="false">O139*Decote</f>
        <v>0</v>
      </c>
    </row>
    <row r="141" customFormat="false" ht="15" hidden="false" customHeight="false" outlineLevel="0" collapsed="false">
      <c r="B141" s="65" t="s">
        <v>1062</v>
      </c>
      <c r="C141" s="25"/>
      <c r="D141" s="73" t="n">
        <f aca="false">IF(AND(D111&lt;0.000001,C143+D138&lt;0.000001),MAX(0,D137+D138-Seuil_reinv*D100),0)</f>
        <v>0</v>
      </c>
      <c r="E141" s="73" t="n">
        <f aca="false">IF(AND(E111&lt;0.000001,D143+E138&lt;0.000001),MAX(0,E137+E138-Seuil_reinv*E100),0)</f>
        <v>0</v>
      </c>
      <c r="F141" s="73" t="n">
        <f aca="false">IF(AND(F111&lt;0.000001,E143+F138&lt;0.000001),MAX(0,F137+F138-Seuil_reinv*F100),0)</f>
        <v>0</v>
      </c>
      <c r="G141" s="73" t="n">
        <f aca="false">IF(AND(G111&lt;0.000001,F143+G138&lt;0.000001),MAX(0,G137+G138-Seuil_reinv*G100),0)</f>
        <v>0</v>
      </c>
      <c r="H141" s="73" t="n">
        <f aca="false">IF(AND(H111&lt;0.000001,G143+H138&lt;0.000001),MAX(0,H137+H138-Seuil_reinv*H100),0)</f>
        <v>0</v>
      </c>
      <c r="I141" s="73" t="n">
        <f aca="false">IF(AND(I111&lt;0.000001,H143+I138&lt;0.000001),MAX(0,I137+I138-Seuil_reinv*I100),0)</f>
        <v>0</v>
      </c>
      <c r="J141" s="73" t="n">
        <f aca="false">IF(AND(J111&lt;0.000001,I143+J138&lt;0.000001),MAX(0,J137+J138-Seuil_reinv*J100),0)</f>
        <v>0</v>
      </c>
      <c r="K141" s="73" t="n">
        <f aca="false">IF(AND(K111&lt;0.000001,J143+K138&lt;0.000001),MAX(0,K137+K138-Seuil_reinv*K100),0)</f>
        <v>0</v>
      </c>
      <c r="L141" s="73" t="n">
        <f aca="false">IF(AND(L111&lt;0.000001,K143+L138&lt;0.000001),MAX(0,L137+L138-Seuil_reinv*L100),0)</f>
        <v>0</v>
      </c>
      <c r="M141" s="73" t="n">
        <f aca="false">IF(AND(M111&lt;0.000001,L143+M138&lt;0.000001),MAX(0,M137+M138-Seuil_reinv*M100),0)</f>
        <v>0</v>
      </c>
      <c r="N141" s="73" t="n">
        <f aca="false">IF(AND(N111&lt;0.000001,M143+N138&lt;0.000001),MAX(0,N137+N138-Seuil_reinv*N100),0)</f>
        <v>0</v>
      </c>
      <c r="O141" s="73" t="n">
        <f aca="false">IF(AND(O111&lt;0.000001,N143+O138&lt;0.000001),MAX(0,O137+O138-Seuil_reinv*O100),0)</f>
        <v>0</v>
      </c>
    </row>
    <row r="142" customFormat="false" ht="15" hidden="false" customHeight="false" outlineLevel="0" collapsed="false">
      <c r="B142" s="65" t="s">
        <v>1063</v>
      </c>
      <c r="C142" s="73" t="n">
        <f aca="false">AN_cible*Ws_LIQ</f>
        <v>7500000</v>
      </c>
      <c r="D142" s="73" t="n">
        <f aca="false">D137+D138+D139-D140-D141</f>
        <v>5739375</v>
      </c>
      <c r="E142" s="73" t="n">
        <f aca="false">E137+E138+E139-E140-E141</f>
        <v>6562891.4375</v>
      </c>
      <c r="F142" s="73" t="n">
        <f aca="false">F137+F138+F139-F140-F141</f>
        <v>4909430.45367109</v>
      </c>
      <c r="G142" s="73" t="n">
        <f aca="false">G137+G138+G139-G140-G141</f>
        <v>5659951.93568534</v>
      </c>
      <c r="H142" s="73" t="n">
        <f aca="false">H137+H138+H139-H140-H141</f>
        <v>4012380.04095581</v>
      </c>
      <c r="I142" s="73" t="n">
        <f aca="false">I137+I138+I139-I140-I141</f>
        <v>4721157.38504098</v>
      </c>
      <c r="J142" s="73" t="n">
        <f aca="false">J137+J138+J139-J140-J141</f>
        <v>3052969.10864954</v>
      </c>
      <c r="K142" s="73" t="n">
        <f aca="false">K137+K138+K139-K140-K141</f>
        <v>3699458.07298265</v>
      </c>
      <c r="L142" s="73" t="n">
        <f aca="false">L137+L138+L139-L140-L141</f>
        <v>4115168.57790564</v>
      </c>
      <c r="M142" s="73" t="n">
        <f aca="false">M137+M138+M139-M140-M141</f>
        <v>4707834.71715987</v>
      </c>
      <c r="N142" s="73" t="n">
        <f aca="false">N137+N138+N139-N140-N141</f>
        <v>5275757.63224544</v>
      </c>
      <c r="O142" s="73" t="n">
        <f aca="false">O137+O138+O139-O140-O141</f>
        <v>5820232.45909496</v>
      </c>
    </row>
    <row r="143" customFormat="false" ht="15" hidden="false" customHeight="false" outlineLevel="0" collapsed="false">
      <c r="B143" s="65" t="s">
        <v>1064</v>
      </c>
      <c r="C143" s="73" t="n">
        <v>0</v>
      </c>
      <c r="D143" s="73" t="n">
        <f aca="false">C143+D138</f>
        <v>0</v>
      </c>
      <c r="E143" s="73" t="n">
        <f aca="false">D143+E138</f>
        <v>0</v>
      </c>
      <c r="F143" s="73" t="n">
        <f aca="false">E143+F138</f>
        <v>0</v>
      </c>
      <c r="G143" s="73" t="n">
        <f aca="false">F143+G138</f>
        <v>0</v>
      </c>
      <c r="H143" s="73" t="n">
        <f aca="false">G143+H138</f>
        <v>0</v>
      </c>
      <c r="I143" s="73" t="n">
        <f aca="false">H143+I138</f>
        <v>0</v>
      </c>
      <c r="J143" s="73" t="n">
        <f aca="false">I143+J138</f>
        <v>0</v>
      </c>
      <c r="K143" s="73" t="n">
        <f aca="false">J143+K138</f>
        <v>0</v>
      </c>
      <c r="L143" s="73" t="n">
        <f aca="false">K143+L138</f>
        <v>0</v>
      </c>
      <c r="M143" s="73" t="n">
        <f aca="false">L143+M138</f>
        <v>0</v>
      </c>
      <c r="N143" s="73" t="n">
        <f aca="false">M143+N138</f>
        <v>0</v>
      </c>
      <c r="O143" s="73" t="n">
        <f aca="false">N143+O138</f>
        <v>0</v>
      </c>
    </row>
    <row r="144" customFormat="false" ht="15" hidden="false" customHeight="false" outlineLevel="0" collapsed="false">
      <c r="B144" s="74" t="s">
        <v>1065</v>
      </c>
      <c r="C144" s="73" t="n">
        <f aca="false">C114+C115+C116+C117+C142-C143</f>
        <v>50000000</v>
      </c>
      <c r="D144" s="73" t="n">
        <f aca="false">D114+D115+D116+D117+D142-D143</f>
        <v>48100643.75</v>
      </c>
      <c r="E144" s="73" t="n">
        <f aca="false">E114+E115+E116+E117+E142-E143</f>
        <v>48823151.7132813</v>
      </c>
      <c r="F144" s="73" t="n">
        <f aca="false">F114+F115+F116+F117+F142-F143</f>
        <v>47105173.9904901</v>
      </c>
      <c r="G144" s="73" t="n">
        <f aca="false">G114+G115+G116+G117+G142-G143</f>
        <v>47826489.4455393</v>
      </c>
      <c r="H144" s="73" t="n">
        <f aca="false">H114+H115+H116+H117+H142-H143</f>
        <v>46183889.2303444</v>
      </c>
      <c r="I144" s="73" t="n">
        <f aca="false">I114+I115+I116+I117+I142-I143</f>
        <v>46930729.0550004</v>
      </c>
      <c r="J144" s="73" t="n">
        <f aca="false">J114+J115+J116+J117+J142-J143</f>
        <v>45332651.4154555</v>
      </c>
      <c r="K144" s="73" t="n">
        <f aca="false">K114+K115+K116+K117+K142-K143</f>
        <v>46080299.0246774</v>
      </c>
      <c r="L144" s="73" t="n">
        <f aca="false">L114+L115+L116+L117+L142-L143</f>
        <v>46627256.8386995</v>
      </c>
      <c r="M144" s="73" t="n">
        <f aca="false">M114+M115+M116+M117+M142-M143</f>
        <v>47380338.7887827</v>
      </c>
      <c r="N144" s="73" t="n">
        <f aca="false">N114+N115+N116+N117+N142-N143</f>
        <v>48136963.4784709</v>
      </c>
      <c r="O144" s="73" t="n">
        <f aca="false">O114+O115+O116+O117+O142-O143</f>
        <v>48897579.6369294</v>
      </c>
    </row>
    <row r="145" customFormat="false" ht="15" hidden="false" customHeight="false" outlineLevel="0" collapsed="false">
      <c r="B145" s="65" t="s">
        <v>1066</v>
      </c>
      <c r="C145" s="72" t="n">
        <f aca="false">IF((C144+C143)&gt;0,C142/(C144+C143),0)</f>
        <v>0.15</v>
      </c>
      <c r="D145" s="72" t="n">
        <f aca="false">IF((D144+D143)&gt;0,D142/(D144+D143),0)</f>
        <v>0.119320128641729</v>
      </c>
      <c r="E145" s="72" t="n">
        <f aca="false">IF((E144+E143)&gt;0,E142/(E144+E143),0)</f>
        <v>0.134421707882384</v>
      </c>
      <c r="F145" s="72" t="n">
        <f aca="false">IF((F144+F143)&gt;0,F142/(F144+F143),0)</f>
        <v>0.104222743231184</v>
      </c>
      <c r="G145" s="72" t="n">
        <f aca="false">IF((G144+G143)&gt;0,G142/(G144+G143),0)</f>
        <v>0.118343453623758</v>
      </c>
      <c r="H145" s="72" t="n">
        <f aca="false">IF((H144+H143)&gt;0,H142/(H144+H143),0)</f>
        <v>0.0868783488749479</v>
      </c>
      <c r="I145" s="72" t="n">
        <f aca="false">IF((I144+I143)&gt;0,I142/(I144+I143),0)</f>
        <v>0.100598424105196</v>
      </c>
      <c r="J145" s="72" t="n">
        <f aca="false">IF((J144+J143)&gt;0,J142/(J144+J143),0)</f>
        <v>0.0673459198463885</v>
      </c>
      <c r="K145" s="72" t="n">
        <f aca="false">IF((K144+K143)&gt;0,K142/(K144+K143),0)</f>
        <v>0.0802828573443387</v>
      </c>
      <c r="L145" s="72" t="n">
        <f aca="false">IF((L144+L143)&gt;0,L142/(L144+L143),0)</f>
        <v>0.0882567162838142</v>
      </c>
      <c r="M145" s="72" t="n">
        <f aca="false">IF((M144+M143)&gt;0,M142/(M144+M143),0)</f>
        <v>0.0993626225035447</v>
      </c>
      <c r="N145" s="72" t="n">
        <f aca="false">IF((N144+N143)&gt;0,N142/(N144+N143),0)</f>
        <v>0.109598887237767</v>
      </c>
      <c r="O145" s="72" t="n">
        <f aca="false">IF((O144+O143)&gt;0,O142/(O144+O143),0)</f>
        <v>0.119029050155671</v>
      </c>
    </row>
    <row r="146" customFormat="false" ht="15" hidden="false" customHeight="false" outlineLevel="0" collapsed="false">
      <c r="B146" s="65" t="s">
        <v>1067</v>
      </c>
      <c r="C146" s="72" t="n">
        <f aca="false">0</f>
        <v>0</v>
      </c>
      <c r="D146" s="72" t="n">
        <f aca="false">IF(D144&gt;0,D111/D144,0)</f>
        <v>0.0519743563723095</v>
      </c>
      <c r="E146" s="72" t="n">
        <f aca="false">IF(E144&gt;0,E111/E144,0)</f>
        <v>0.0512052154002981</v>
      </c>
      <c r="F146" s="72" t="n">
        <f aca="false">IF(F144&gt;0,F111/F144,0)</f>
        <v>0.104896281386449</v>
      </c>
      <c r="G146" s="72" t="n">
        <f aca="false">IF(G144&gt;0,G111/G144,0)</f>
        <v>0.103314243695236</v>
      </c>
      <c r="H146" s="72" t="n">
        <f aca="false">IF(H144&gt;0,H111/H144,0)</f>
        <v>0.055210445804373</v>
      </c>
      <c r="I146" s="72" t="n">
        <f aca="false">IF(I144&gt;0,I111/I144,0)</f>
        <v>0.0543318453544334</v>
      </c>
      <c r="J146" s="72" t="n">
        <f aca="false">IF(J144&gt;0,J111/J144,0)</f>
        <v>0.00448455261912532</v>
      </c>
      <c r="K146" s="72" t="n">
        <f aca="false">IF(K144&gt;0,K111/K144,0)</f>
        <v>0.00441179126307762</v>
      </c>
      <c r="L146" s="72" t="n">
        <f aca="false">IF(L144&gt;0,L111/L144,0)</f>
        <v>0</v>
      </c>
      <c r="M146" s="72" t="n">
        <f aca="false">IF(M144&gt;0,M111/M144,0)</f>
        <v>0</v>
      </c>
      <c r="N146" s="72" t="n">
        <f aca="false">IF(N144&gt;0,N111/N144,0)</f>
        <v>0</v>
      </c>
      <c r="O146" s="72" t="n">
        <f aca="false">IF(O144&gt;0,O111/O144,0)</f>
        <v>0</v>
      </c>
    </row>
    <row r="147" customFormat="false" ht="15" hidden="false" customHeight="false" outlineLevel="0" collapsed="false">
      <c r="B147" s="65" t="s">
        <v>1068</v>
      </c>
      <c r="C147" s="75" t="n">
        <f aca="false">IF((C111+SUM(D102:G102)+SUM(D132:G132)+SUM(D133:G133)+SUM(D131:G131))&lt;=0,9.99,MIN(9.99,(C142+SUM(D130:G130)+SUM(D126:G127)+MAX(0,MIN($D$20*AN_cible,Emprunt_max*C144)-C143))/(C111+SUM(D102:G102)+SUM(D132:G132)+SUM(D133:G133)+SUM(D131:G131))))</f>
        <v>1.04187333842376</v>
      </c>
      <c r="D147" s="73" t="n">
        <f aca="false">IF((D111+SUM(E102:H102)+SUM(E132:H132)+SUM(E133:H133)+SUM(E131:H131))&lt;=0,9.99,MIN(9.99,(D142+SUM(E130:H130)+SUM(E126:H127)+MAX(0,MIN($D$20*AN_cible,Emprunt_max*D144)-D143))/(D111+SUM(E102:H102)+SUM(E132:H132)+SUM(E133:H133)+SUM(E131:H131))))</f>
        <v>1.1217163554672</v>
      </c>
      <c r="E147" s="73" t="n">
        <f aca="false">IF((E111+SUM(F102:I102)+SUM(F132:I132)+SUM(F133:I133)+SUM(F131:I131))&lt;=0,9.99,MIN(9.99,(E142+SUM(F130:I130)+SUM(F126:I127)+MAX(0,MIN($D$20*AN_cible,Emprunt_max*E144)-E143))/(E111+SUM(F102:I102)+SUM(F132:I132)+SUM(F133:I133)+SUM(F131:I131))))</f>
        <v>1.18825411267028</v>
      </c>
      <c r="F147" s="73" t="n">
        <f aca="false">IF((F111+SUM(G102:J102)+SUM(G132:J132)+SUM(G133:J133)+SUM(G131:J131))&lt;=0,9.99,MIN(9.99,(F142+SUM(G130:J130)+SUM(G126:J127)+MAX(0,MIN($D$20*AN_cible,Emprunt_max*F144)-F143))/(F111+SUM(G102:J102)+SUM(G132:J132)+SUM(G133:J133)+SUM(G131:J131))))</f>
        <v>1.32560583944164</v>
      </c>
      <c r="G147" s="73" t="n">
        <f aca="false">IF((G111+SUM(H102:K102)+SUM(H132:K132)+SUM(H133:K133)+SUM(H131:K131))&lt;=0,9.99,MIN(9.99,(G142+SUM(H130:K130)+SUM(H126:K127)+MAX(0,MIN($D$20*AN_cible,Emprunt_max*G144)-G143))/(G111+SUM(H102:K102)+SUM(H132:K132)+SUM(H133:K133)+SUM(H131:K131))))</f>
        <v>1.40455185121093</v>
      </c>
      <c r="H147" s="73" t="n">
        <f aca="false">IF((H111+SUM(I102:L102)+SUM(I132:L132)+SUM(I133:L133)+SUM(I131:L131))&lt;=0,9.99,MIN(9.99,(H142+SUM(I130:L130)+SUM(I126:L127)+MAX(0,MIN($D$20*AN_cible,Emprunt_max*H144)-H143))/(H111+SUM(I102:L102)+SUM(I132:L132)+SUM(I133:L133)+SUM(I131:L131))))</f>
        <v>1.67281721887463</v>
      </c>
      <c r="I147" s="73" t="n">
        <f aca="false">IF((I111+SUM(J102:M102)+SUM(J132:M132)+SUM(J133:M133)+SUM(J131:M131))&lt;=0,9.99,MIN(9.99,(I142+SUM(J130:M130)+SUM(J126:M127)+MAX(0,MIN($D$20*AN_cible,Emprunt_max*I144)-I143))/(I111+SUM(J102:M102)+SUM(J132:M132)+SUM(J133:M133)+SUM(J131:M131))))</f>
        <v>1.77165622173951</v>
      </c>
      <c r="J147" s="73" t="n">
        <f aca="false">IF((J111+SUM(K102:N102)+SUM(K132:N132)+SUM(K133:N133)+SUM(K131:N131))&lt;=0,9.99,MIN(9.99,(J142+SUM(K130:N130)+SUM(K126:N127)+MAX(0,MIN($D$20*AN_cible,Emprunt_max*J144)-J143))/(J111+SUM(K102:N102)+SUM(K132:N132)+SUM(K133:N133)+SUM(K131:N131))))</f>
        <v>2.42640261692395</v>
      </c>
      <c r="K147" s="73" t="n">
        <f aca="false">IF((K111+SUM(L102:O102)+SUM(L132:O132)+SUM(L133:O133)+SUM(L131:O131))&lt;=0,9.99,MIN(9.99,(K142+SUM(L130:O130)+SUM(L126:O127)+MAX(0,MIN($D$20*AN_cible,Emprunt_max*K144)-K143))/(K111+SUM(L102:O102)+SUM(L132:O132)+SUM(L133:O133)+SUM(L131:O131))))</f>
        <v>2.56650224182307</v>
      </c>
      <c r="L147" s="73" t="n">
        <f aca="false">IF((L111+SUM(M102:O102)+SUM(M132:O132)+SUM(M133:O133)+SUM(M131:O131))&lt;=0,9.99,MIN(9.99,(L142+SUM(M130:O130)+SUM(M126:O127)+MAX(0,MIN($D$20*AN_cible,Emprunt_max*L144)-L143))/(L111+SUM(M102:O102)+SUM(M132:O132)+SUM(M133:O133)+SUM(M131:O131))))</f>
        <v>3.21683283807879</v>
      </c>
      <c r="M147" s="73" t="n">
        <f aca="false">IF((M111+SUM(N102:O102)+SUM(N132:O132)+SUM(N133:O133)+SUM(N131:O131))&lt;=0,9.99,MIN(9.99,(M142+SUM(N130:O130)+SUM(N126:O127)+MAX(0,MIN($D$20*AN_cible,Emprunt_max*M144)-M143))/(M111+SUM(N102:O102)+SUM(N132:O132)+SUM(N133:O133)+SUM(N131:O131))))</f>
        <v>4.33287795958627</v>
      </c>
      <c r="N147" s="73" t="n">
        <f aca="false">IF((N111+SUM(O102:O102)+SUM(O132:O132)+SUM(O133:O133)+SUM(O131:O131))&lt;=0,9.99,MIN(9.99,(N142+SUM(O130:O130)+SUM(O126:O127)+MAX(0,MIN($D$20*AN_cible,Emprunt_max*N144)-N143))/(N111+SUM(O102:O102)+SUM(O132:O132)+SUM(O133:O133)+SUM(O131:O131))))</f>
        <v>7.68518016906662</v>
      </c>
      <c r="O147" s="73" t="n">
        <f aca="false">9.99</f>
        <v>9.99</v>
      </c>
    </row>
    <row r="148" customFormat="false" ht="15" hidden="false" customHeight="false" outlineLevel="0" collapsed="false">
      <c r="B148" s="65" t="s">
        <v>1069</v>
      </c>
      <c r="C148" s="72" t="n">
        <f aca="false">(C114+C115+C116+C117+C122+C123)/C144</f>
        <v>1</v>
      </c>
      <c r="D148" s="72" t="n">
        <f aca="false">(D114+D115+D116+D117+D122+D123)/D144</f>
        <v>1.02360935138212</v>
      </c>
      <c r="E148" s="72" t="n">
        <f aca="false">(E114+E115+E116+E117+E122+E123)/E144</f>
        <v>0.993591330618362</v>
      </c>
      <c r="F148" s="72" t="n">
        <f aca="false">(F114+F115+F116+F117+F122+F123)/F144</f>
        <v>1.01519089063281</v>
      </c>
      <c r="G148" s="72" t="n">
        <f aca="false">(G114+G115+G116+G117+G122+G123)/G144</f>
        <v>0.986201121108067</v>
      </c>
      <c r="H148" s="72" t="n">
        <f aca="false">(H114+H115+H116+H117+H122+H123)/H144</f>
        <v>1.00785165487548</v>
      </c>
      <c r="I148" s="72" t="n">
        <f aca="false">(I114+I115+I116+I117+I122+I123)/I144</f>
        <v>0.979306577916085</v>
      </c>
      <c r="J148" s="72" t="n">
        <f aca="false">(J114+J115+J116+J117+J122+J123)/J144</f>
        <v>1.0015889406223</v>
      </c>
      <c r="K148" s="72" t="n">
        <f aca="false">(K114+K115+K116+K117+K122+K123)/K144</f>
        <v>0.97397026281578</v>
      </c>
      <c r="L148" s="72" t="n">
        <f aca="false">(L114+L115+L116+L117+L122+L123)/L144</f>
        <v>0.951955814478746</v>
      </c>
      <c r="M148" s="72" t="n">
        <f aca="false">(M114+M115+M116+M117+M122+M123)/M144</f>
        <v>0.927019628699267</v>
      </c>
      <c r="N148" s="72" t="n">
        <f aca="false">(N114+N115+N116+N117+N122+N123)/N144</f>
        <v>0.903384898087195</v>
      </c>
      <c r="O148" s="72" t="n">
        <f aca="false">(O114+O115+O116+O117+O122+O123)/O144</f>
        <v>0.880970949844329</v>
      </c>
    </row>
    <row r="149" customFormat="false" ht="15" hidden="false" customHeight="false" outlineLevel="0" collapsed="false">
      <c r="B149" s="65" t="s">
        <v>849</v>
      </c>
      <c r="C149" s="72" t="n">
        <f aca="false">(C144+C143)/C144</f>
        <v>1</v>
      </c>
      <c r="D149" s="72" t="n">
        <f aca="false">(D144+D143)/D144</f>
        <v>1</v>
      </c>
      <c r="E149" s="72" t="n">
        <f aca="false">(E144+E143)/E144</f>
        <v>1</v>
      </c>
      <c r="F149" s="72" t="n">
        <f aca="false">(F144+F143)/F144</f>
        <v>1</v>
      </c>
      <c r="G149" s="72" t="n">
        <f aca="false">(G144+G143)/G144</f>
        <v>1</v>
      </c>
      <c r="H149" s="72" t="n">
        <f aca="false">(H144+H143)/H144</f>
        <v>1</v>
      </c>
      <c r="I149" s="72" t="n">
        <f aca="false">(I144+I143)/I144</f>
        <v>1</v>
      </c>
      <c r="J149" s="72" t="n">
        <f aca="false">(J144+J143)/J144</f>
        <v>1</v>
      </c>
      <c r="K149" s="72" t="n">
        <f aca="false">(K144+K143)/K144</f>
        <v>1</v>
      </c>
      <c r="L149" s="72" t="n">
        <f aca="false">(L144+L143)/L144</f>
        <v>1</v>
      </c>
      <c r="M149" s="72" t="n">
        <f aca="false">(M144+M143)/M144</f>
        <v>1</v>
      </c>
      <c r="N149" s="72" t="n">
        <f aca="false">(N144+N143)/N144</f>
        <v>1</v>
      </c>
      <c r="O149" s="72" t="n">
        <f aca="false">(O144+O143)/O144</f>
        <v>1</v>
      </c>
    </row>
    <row r="150" customFormat="false" ht="15" hidden="false" customHeight="false" outlineLevel="0" collapsed="false">
      <c r="B150" s="65" t="s">
        <v>1070</v>
      </c>
      <c r="C150" s="72" t="n">
        <f aca="false">(C114+C115*MSIG_USD)/C144</f>
        <v>0.25</v>
      </c>
      <c r="D150" s="72" t="n">
        <f aca="false">(D114+D115*MSIG_USD)/D144</f>
        <v>0.269675444832274</v>
      </c>
      <c r="E150" s="72" t="n">
        <f aca="false">(E114+E115*MSIG_USD)/E144</f>
        <v>0.27541785707076</v>
      </c>
      <c r="F150" s="72" t="n">
        <f aca="false">(F114+F115*MSIG_USD)/F144</f>
        <v>0.295628758414858</v>
      </c>
      <c r="G150" s="72" t="n">
        <f aca="false">(G114+G115*MSIG_USD)/G144</f>
        <v>0.301260240286235</v>
      </c>
      <c r="H150" s="72" t="n">
        <f aca="false">(H114+H115*MSIG_USD)/H144</f>
        <v>0.3225047402423</v>
      </c>
      <c r="I150" s="72" t="n">
        <f aca="false">(I114+I115*MSIG_USD)/I144</f>
        <v>0.327814711194842</v>
      </c>
      <c r="J150" s="72" t="n">
        <f aca="false">(J114+J115*MSIG_USD)/J144</f>
        <v>0.350264738598829</v>
      </c>
      <c r="K150" s="72" t="n">
        <f aca="false">(K114+K115*MSIG_USD)/K144</f>
        <v>0.355381594975843</v>
      </c>
      <c r="L150" s="72" t="n">
        <f aca="false">(L114+L115*MSIG_USD)/L144</f>
        <v>0.36196844088982</v>
      </c>
      <c r="M150" s="72" t="n">
        <f aca="false">(M114+M115*MSIG_USD)/M144</f>
        <v>0.366881608071657</v>
      </c>
      <c r="N150" s="72" t="n">
        <f aca="false">(N114+N115*MSIG_USD)/N144</f>
        <v>0.371694786581285</v>
      </c>
      <c r="O150" s="72" t="n">
        <f aca="false">(O114+O115*MSIG_USD)/O144</f>
        <v>0.376408734324846</v>
      </c>
    </row>
    <row r="151" customFormat="false" ht="15" hidden="false" customHeight="false" outlineLevel="0" collapsed="false">
      <c r="B151" s="65" t="s">
        <v>1071</v>
      </c>
      <c r="C151" s="25"/>
      <c r="D151" s="65" t="n">
        <f aca="false">IF(AND($D$9&lt;0.5*Collecte_norm,IF(D95&lt;=$D$11,0,$D$10)&lt;0.5,IF(D95&lt;=4,$D$17,($D$18+$D$19)/2)&lt;0.7),1,0)</f>
        <v>0</v>
      </c>
      <c r="E151" s="65" t="n">
        <f aca="false">IF(AND($D$9&lt;0.5*Collecte_norm,IF(E95&lt;=$D$11,0,$D$10)&lt;0.5,IF(E95&lt;=4,$D$17,($D$18+$D$19)/2)&lt;0.7),1,0)</f>
        <v>0</v>
      </c>
      <c r="F151" s="65" t="n">
        <f aca="false">IF(AND($D$9&lt;0.5*Collecte_norm,IF(F95&lt;=$D$11,0,$D$10)&lt;0.5,IF(F95&lt;=4,$D$17,($D$18+$D$19)/2)&lt;0.7),1,0)</f>
        <v>0</v>
      </c>
      <c r="G151" s="65" t="n">
        <f aca="false">IF(AND($D$9&lt;0.5*Collecte_norm,IF(G95&lt;=$D$11,0,$D$10)&lt;0.5,IF(G95&lt;=4,$D$17,($D$18+$D$19)/2)&lt;0.7),1,0)</f>
        <v>0</v>
      </c>
      <c r="H151" s="65" t="n">
        <f aca="false">IF(AND($D$9&lt;0.5*Collecte_norm,IF(H95&lt;=$D$11,0,$D$10)&lt;0.5,IF(H95&lt;=4,$D$17,($D$18+$D$19)/2)&lt;0.7),1,0)</f>
        <v>0</v>
      </c>
      <c r="I151" s="65" t="n">
        <f aca="false">IF(AND($D$9&lt;0.5*Collecte_norm,IF(I95&lt;=$D$11,0,$D$10)&lt;0.5,IF(I95&lt;=4,$D$17,($D$18+$D$19)/2)&lt;0.7),1,0)</f>
        <v>0</v>
      </c>
      <c r="J151" s="65" t="n">
        <f aca="false">IF(AND($D$9&lt;0.5*Collecte_norm,IF(J95&lt;=$D$11,0,$D$10)&lt;0.5,IF(J95&lt;=4,$D$17,($D$18+$D$19)/2)&lt;0.7),1,0)</f>
        <v>0</v>
      </c>
      <c r="K151" s="65" t="n">
        <f aca="false">IF(AND($D$9&lt;0.5*Collecte_norm,IF(K95&lt;=$D$11,0,$D$10)&lt;0.5,IF(K95&lt;=4,$D$17,($D$18+$D$19)/2)&lt;0.7),1,0)</f>
        <v>0</v>
      </c>
      <c r="L151" s="65" t="n">
        <f aca="false">IF(AND($D$9&lt;0.5*Collecte_norm,IF(L95&lt;=$D$11,0,$D$10)&lt;0.5,IF(L95&lt;=4,$D$17,($D$18+$D$19)/2)&lt;0.7),1,0)</f>
        <v>0</v>
      </c>
      <c r="M151" s="65" t="n">
        <f aca="false">IF(AND($D$9&lt;0.5*Collecte_norm,IF(M95&lt;=$D$11,0,$D$10)&lt;0.5,IF(M95&lt;=4,$D$17,($D$18+$D$19)/2)&lt;0.7),1,0)</f>
        <v>0</v>
      </c>
      <c r="N151" s="65" t="n">
        <f aca="false">IF(AND($D$9&lt;0.5*Collecte_norm,IF(N95&lt;=$D$11,0,$D$10)&lt;0.5,IF(N95&lt;=4,$D$17,($D$18+$D$19)/2)&lt;0.7),1,0)</f>
        <v>0</v>
      </c>
      <c r="O151" s="65" t="n">
        <f aca="false">IF(AND($D$9&lt;0.5*Collecte_norm,IF(O95&lt;=$D$11,0,$D$10)&lt;0.5,IF(O95&lt;=4,$D$17,($D$18+$D$19)/2)&lt;0.7),1,0)</f>
        <v>0</v>
      </c>
    </row>
    <row r="152" customFormat="false" ht="15" hidden="false" customHeight="false" outlineLevel="0" collapsed="false">
      <c r="B152" s="76" t="s">
        <v>1072</v>
      </c>
      <c r="C152" s="76" t="n">
        <v>99</v>
      </c>
      <c r="D152" s="76" t="n">
        <f aca="false">IF(D112=1,D98,99)</f>
        <v>1</v>
      </c>
      <c r="E152" s="76" t="n">
        <f aca="false">IF(E112=1,E98,99)</f>
        <v>99</v>
      </c>
      <c r="F152" s="76" t="n">
        <f aca="false">IF(F112=1,F98,99)</f>
        <v>2</v>
      </c>
      <c r="G152" s="76" t="n">
        <f aca="false">IF(G112=1,G98,99)</f>
        <v>99</v>
      </c>
      <c r="H152" s="76" t="n">
        <f aca="false">IF(H112=1,H98,99)</f>
        <v>3</v>
      </c>
      <c r="I152" s="76" t="n">
        <f aca="false">IF(I112=1,I98,99)</f>
        <v>99</v>
      </c>
      <c r="J152" s="76" t="n">
        <f aca="false">IF(J112=1,J98,99)</f>
        <v>4</v>
      </c>
      <c r="K152" s="76" t="n">
        <f aca="false">IF(K112=1,K98,99)</f>
        <v>99</v>
      </c>
      <c r="L152" s="76" t="n">
        <f aca="false">IF(L112=1,L98,99)</f>
        <v>99</v>
      </c>
      <c r="M152" s="76" t="n">
        <f aca="false">IF(M112=1,M98,99)</f>
        <v>99</v>
      </c>
      <c r="N152" s="76" t="n">
        <f aca="false">IF(N112=1,N98,99)</f>
        <v>99</v>
      </c>
      <c r="O152" s="76" t="n">
        <f aca="false">IF(O112=1,O98,99)</f>
        <v>99</v>
      </c>
    </row>
    <row r="153" customFormat="false" ht="15" hidden="false" customHeight="false" outlineLevel="0" collapsed="false">
      <c r="B153" s="76" t="s">
        <v>1073</v>
      </c>
      <c r="C153" s="76" t="n">
        <v>99</v>
      </c>
      <c r="D153" s="76" t="n">
        <f aca="false">IF(AND(D97=1,D98&gt;MIN($D152:$O152),D111&lt;=0.000001),D98,99)</f>
        <v>99</v>
      </c>
      <c r="E153" s="76" t="n">
        <f aca="false">IF(AND(E97=1,E98&gt;MIN($D152:$O152),E111&lt;=0.000001),E98,99)</f>
        <v>99</v>
      </c>
      <c r="F153" s="76" t="n">
        <f aca="false">IF(AND(F97=1,F98&gt;MIN($D152:$O152),F111&lt;=0.000001),F98,99)</f>
        <v>99</v>
      </c>
      <c r="G153" s="76" t="n">
        <f aca="false">IF(AND(G97=1,G98&gt;MIN($D152:$O152),G111&lt;=0.000001),G98,99)</f>
        <v>99</v>
      </c>
      <c r="H153" s="76" t="n">
        <f aca="false">IF(AND(H97=1,H98&gt;MIN($D152:$O152),H111&lt;=0.000001),H98,99)</f>
        <v>99</v>
      </c>
      <c r="I153" s="76" t="n">
        <f aca="false">IF(AND(I97=1,I98&gt;MIN($D152:$O152),I111&lt;=0.000001),I98,99)</f>
        <v>99</v>
      </c>
      <c r="J153" s="76" t="n">
        <f aca="false">IF(AND(J97=1,J98&gt;MIN($D152:$O152),J111&lt;=0.000001),J98,99)</f>
        <v>99</v>
      </c>
      <c r="K153" s="76" t="n">
        <f aca="false">IF(AND(K97=1,K98&gt;MIN($D152:$O152),K111&lt;=0.000001),K98,99)</f>
        <v>99</v>
      </c>
      <c r="L153" s="76" t="n">
        <f aca="false">IF(AND(L97=1,L98&gt;MIN($D152:$O152),L111&lt;=0.000001),L98,99)</f>
        <v>5</v>
      </c>
      <c r="M153" s="76" t="n">
        <f aca="false">IF(AND(M97=1,M98&gt;MIN($D152:$O152),M111&lt;=0.000001),M98,99)</f>
        <v>99</v>
      </c>
      <c r="N153" s="76" t="n">
        <f aca="false">IF(AND(N97=1,N98&gt;MIN($D152:$O152),N111&lt;=0.000001),N98,99)</f>
        <v>6</v>
      </c>
      <c r="O153" s="76" t="n">
        <f aca="false">IF(AND(O97=1,O98&gt;MIN($D152:$O152),O111&lt;=0.000001),O98,99)</f>
        <v>99</v>
      </c>
    </row>
    <row r="154" customFormat="false" ht="15" hidden="false" customHeight="false" outlineLevel="0" collapsed="false">
      <c r="B154" s="76" t="s">
        <v>1074</v>
      </c>
      <c r="C154" s="76" t="n">
        <v>9999999</v>
      </c>
      <c r="D154" s="76" t="n">
        <f aca="false">IF(D109=1,D96,9999999)</f>
        <v>9999999</v>
      </c>
      <c r="E154" s="76" t="n">
        <f aca="false">IF(E109=1,E96,9999999)</f>
        <v>9999999</v>
      </c>
      <c r="F154" s="76" t="n">
        <f aca="false">IF(F109=1,F96,9999999)</f>
        <v>9999999</v>
      </c>
      <c r="G154" s="76" t="n">
        <f aca="false">IF(G109=1,G96,9999999)</f>
        <v>9999999</v>
      </c>
      <c r="H154" s="76" t="n">
        <f aca="false">IF(H109=1,H96,9999999)</f>
        <v>9999999</v>
      </c>
      <c r="I154" s="76" t="n">
        <f aca="false">IF(I109=1,I96,9999999)</f>
        <v>9999999</v>
      </c>
      <c r="J154" s="76" t="n">
        <f aca="false">IF(J109=1,J96,9999999)</f>
        <v>9999999</v>
      </c>
      <c r="K154" s="76" t="n">
        <f aca="false">IF(K109=1,K96,9999999)</f>
        <v>9999999</v>
      </c>
      <c r="L154" s="76" t="n">
        <f aca="false">IF(L109=1,L96,9999999)</f>
        <v>9999999</v>
      </c>
      <c r="M154" s="76" t="n">
        <f aca="false">IF(M109=1,M96,9999999)</f>
        <v>9999999</v>
      </c>
      <c r="N154" s="76" t="n">
        <f aca="false">IF(N109=1,N96,9999999)</f>
        <v>9999999</v>
      </c>
      <c r="O154" s="76" t="n">
        <f aca="false">IF(O109=1,O96,9999999)</f>
        <v>9999999</v>
      </c>
    </row>
    <row r="155" customFormat="false" ht="15" hidden="false" customHeight="false" outlineLevel="0" collapsed="false">
      <c r="B155" s="76" t="s">
        <v>1075</v>
      </c>
      <c r="C155" s="76" t="n">
        <v>9999999</v>
      </c>
      <c r="D155" s="76" t="n">
        <f aca="false">IF(D151=1,D96,9999999)</f>
        <v>9999999</v>
      </c>
      <c r="E155" s="76" t="n">
        <f aca="false">IF(E151=1,E96,9999999)</f>
        <v>9999999</v>
      </c>
      <c r="F155" s="76" t="n">
        <f aca="false">IF(F151=1,F96,9999999)</f>
        <v>9999999</v>
      </c>
      <c r="G155" s="76" t="n">
        <f aca="false">IF(G151=1,G96,9999999)</f>
        <v>9999999</v>
      </c>
      <c r="H155" s="76" t="n">
        <f aca="false">IF(H151=1,H96,9999999)</f>
        <v>9999999</v>
      </c>
      <c r="I155" s="76" t="n">
        <f aca="false">IF(I151=1,I96,9999999)</f>
        <v>9999999</v>
      </c>
      <c r="J155" s="76" t="n">
        <f aca="false">IF(J151=1,J96,9999999)</f>
        <v>9999999</v>
      </c>
      <c r="K155" s="76" t="n">
        <f aca="false">IF(K151=1,K96,9999999)</f>
        <v>9999999</v>
      </c>
      <c r="L155" s="76" t="n">
        <f aca="false">IF(L151=1,L96,9999999)</f>
        <v>9999999</v>
      </c>
      <c r="M155" s="76" t="n">
        <f aca="false">IF(M151=1,M96,9999999)</f>
        <v>9999999</v>
      </c>
      <c r="N155" s="76" t="n">
        <f aca="false">IF(N151=1,N96,9999999)</f>
        <v>9999999</v>
      </c>
      <c r="O155" s="76" t="n">
        <f aca="false">IF(O151=1,O96,9999999)</f>
        <v>9999999</v>
      </c>
    </row>
    <row r="160" customFormat="false" ht="15" hidden="false" customHeight="false" outlineLevel="0" collapsed="false">
      <c r="B160" s="45" t="str">
        <f aca="false">E$5</f>
        <v>Extrême : rachats de 15 % puis 20 %</v>
      </c>
      <c r="C160" s="45" t="s">
        <v>55</v>
      </c>
      <c r="D160" s="45" t="n">
        <v>3</v>
      </c>
      <c r="E160" s="2"/>
      <c r="F160" s="2"/>
      <c r="G160" s="2"/>
      <c r="H160" s="2"/>
      <c r="I160" s="2"/>
      <c r="J160" s="2"/>
      <c r="K160" s="2"/>
      <c r="L160" s="2"/>
      <c r="M160" s="2"/>
      <c r="N160" s="2"/>
      <c r="O160" s="2"/>
    </row>
    <row r="161" customFormat="false" ht="15" hidden="false" customHeight="false" outlineLevel="0" collapsed="false">
      <c r="B161" s="65" t="s">
        <v>1019</v>
      </c>
      <c r="C161" s="65" t="n">
        <v>0</v>
      </c>
      <c r="D161" s="65" t="n">
        <v>1</v>
      </c>
      <c r="E161" s="65" t="n">
        <v>2</v>
      </c>
      <c r="F161" s="65" t="n">
        <v>3</v>
      </c>
      <c r="G161" s="65" t="n">
        <v>4</v>
      </c>
      <c r="H161" s="65" t="n">
        <v>5</v>
      </c>
      <c r="I161" s="65" t="n">
        <v>6</v>
      </c>
      <c r="J161" s="65" t="n">
        <v>7</v>
      </c>
      <c r="K161" s="65" t="n">
        <v>8</v>
      </c>
      <c r="L161" s="65" t="n">
        <v>9</v>
      </c>
      <c r="M161" s="65" t="n">
        <v>10</v>
      </c>
      <c r="N161" s="65" t="n">
        <v>11</v>
      </c>
      <c r="O161" s="65" t="n">
        <v>12</v>
      </c>
    </row>
    <row r="162" customFormat="false" ht="15" hidden="false" customHeight="false" outlineLevel="0" collapsed="false">
      <c r="B162" s="65" t="s">
        <v>209</v>
      </c>
      <c r="C162" s="71" t="n">
        <f aca="false">Date_depart</f>
        <v>47026</v>
      </c>
      <c r="D162" s="71" t="n">
        <f aca="false">EOMONTH(Date_depart,3*D161)</f>
        <v>47118</v>
      </c>
      <c r="E162" s="71" t="n">
        <f aca="false">EOMONTH(Date_depart,3*E161)</f>
        <v>47208</v>
      </c>
      <c r="F162" s="71" t="n">
        <f aca="false">EOMONTH(Date_depart,3*F161)</f>
        <v>47299</v>
      </c>
      <c r="G162" s="71" t="n">
        <f aca="false">EOMONTH(Date_depart,3*G161)</f>
        <v>47391</v>
      </c>
      <c r="H162" s="71" t="n">
        <f aca="false">EOMONTH(Date_depart,3*H161)</f>
        <v>47483</v>
      </c>
      <c r="I162" s="71" t="n">
        <f aca="false">EOMONTH(Date_depart,3*I161)</f>
        <v>47573</v>
      </c>
      <c r="J162" s="71" t="n">
        <f aca="false">EOMONTH(Date_depart,3*J161)</f>
        <v>47664</v>
      </c>
      <c r="K162" s="71" t="n">
        <f aca="false">EOMONTH(Date_depart,3*K161)</f>
        <v>47756</v>
      </c>
      <c r="L162" s="71" t="n">
        <f aca="false">EOMONTH(Date_depart,3*L161)</f>
        <v>47848</v>
      </c>
      <c r="M162" s="71" t="n">
        <f aca="false">EOMONTH(Date_depart,3*M161)</f>
        <v>47938</v>
      </c>
      <c r="N162" s="71" t="n">
        <f aca="false">EOMONTH(Date_depart,3*N161)</f>
        <v>48029</v>
      </c>
      <c r="O162" s="71" t="n">
        <f aca="false">EOMONTH(Date_depart,3*O161)</f>
        <v>48121</v>
      </c>
    </row>
    <row r="163" customFormat="false" ht="15" hidden="false" customHeight="false" outlineLevel="0" collapsed="false">
      <c r="B163" s="65" t="s">
        <v>1020</v>
      </c>
      <c r="C163" s="65" t="n">
        <v>0</v>
      </c>
      <c r="D163" s="65" t="n">
        <f aca="false">IF(OR(MONTH(D162)=6,MONTH(D162)=12),1,0)</f>
        <v>1</v>
      </c>
      <c r="E163" s="65" t="n">
        <f aca="false">IF(OR(MONTH(E162)=6,MONTH(E162)=12),1,0)</f>
        <v>0</v>
      </c>
      <c r="F163" s="65" t="n">
        <f aca="false">IF(OR(MONTH(F162)=6,MONTH(F162)=12),1,0)</f>
        <v>1</v>
      </c>
      <c r="G163" s="65" t="n">
        <f aca="false">IF(OR(MONTH(G162)=6,MONTH(G162)=12),1,0)</f>
        <v>0</v>
      </c>
      <c r="H163" s="65" t="n">
        <f aca="false">IF(OR(MONTH(H162)=6,MONTH(H162)=12),1,0)</f>
        <v>1</v>
      </c>
      <c r="I163" s="65" t="n">
        <f aca="false">IF(OR(MONTH(I162)=6,MONTH(I162)=12),1,0)</f>
        <v>0</v>
      </c>
      <c r="J163" s="65" t="n">
        <f aca="false">IF(OR(MONTH(J162)=6,MONTH(J162)=12),1,0)</f>
        <v>1</v>
      </c>
      <c r="K163" s="65" t="n">
        <f aca="false">IF(OR(MONTH(K162)=6,MONTH(K162)=12),1,0)</f>
        <v>0</v>
      </c>
      <c r="L163" s="65" t="n">
        <f aca="false">IF(OR(MONTH(L162)=6,MONTH(L162)=12),1,0)</f>
        <v>1</v>
      </c>
      <c r="M163" s="65" t="n">
        <f aca="false">IF(OR(MONTH(M162)=6,MONTH(M162)=12),1,0)</f>
        <v>0</v>
      </c>
      <c r="N163" s="65" t="n">
        <f aca="false">IF(OR(MONTH(N162)=6,MONTH(N162)=12),1,0)</f>
        <v>1</v>
      </c>
      <c r="O163" s="65" t="n">
        <f aca="false">IF(OR(MONTH(O162)=6,MONTH(O162)=12),1,0)</f>
        <v>0</v>
      </c>
    </row>
    <row r="164" customFormat="false" ht="15" hidden="false" customHeight="false" outlineLevel="0" collapsed="false">
      <c r="B164" s="65" t="s">
        <v>1021</v>
      </c>
      <c r="C164" s="65" t="n">
        <v>0</v>
      </c>
      <c r="D164" s="65" t="n">
        <f aca="false">C164+D163</f>
        <v>1</v>
      </c>
      <c r="E164" s="65" t="n">
        <f aca="false">D164+E163</f>
        <v>1</v>
      </c>
      <c r="F164" s="65" t="n">
        <f aca="false">E164+F163</f>
        <v>2</v>
      </c>
      <c r="G164" s="65" t="n">
        <f aca="false">F164+G163</f>
        <v>2</v>
      </c>
      <c r="H164" s="65" t="n">
        <f aca="false">G164+H163</f>
        <v>3</v>
      </c>
      <c r="I164" s="65" t="n">
        <f aca="false">H164+I163</f>
        <v>3</v>
      </c>
      <c r="J164" s="65" t="n">
        <f aca="false">I164+J163</f>
        <v>4</v>
      </c>
      <c r="K164" s="65" t="n">
        <f aca="false">J164+K163</f>
        <v>4</v>
      </c>
      <c r="L164" s="65" t="n">
        <f aca="false">K164+L163</f>
        <v>5</v>
      </c>
      <c r="M164" s="65" t="n">
        <f aca="false">L164+M163</f>
        <v>5</v>
      </c>
      <c r="N164" s="65" t="n">
        <f aca="false">M164+N163</f>
        <v>6</v>
      </c>
      <c r="O164" s="65" t="n">
        <f aca="false">N164+O163</f>
        <v>6</v>
      </c>
    </row>
    <row r="165" customFormat="false" ht="15" hidden="false" customHeight="false" outlineLevel="0" collapsed="false">
      <c r="B165" s="65" t="s">
        <v>1022</v>
      </c>
      <c r="C165" s="25"/>
      <c r="D165" s="72" t="n">
        <f aca="false">IF(D163=1,IF(C175=1,0,IF(D164=1,$E$6,IF(D164=2,$E$7,$E$8))),0)</f>
        <v>0.15</v>
      </c>
      <c r="E165" s="72" t="n">
        <f aca="false">IF(E163=1,IF(D175=1,0,IF(E164=1,$E$6,IF(E164=2,$E$7,$E$8))),0)</f>
        <v>0</v>
      </c>
      <c r="F165" s="72" t="n">
        <f aca="false">IF(F163=1,IF(E175=1,0,IF(F164=1,$E$6,IF(F164=2,$E$7,$E$8))),0)</f>
        <v>0.2</v>
      </c>
      <c r="G165" s="72" t="n">
        <f aca="false">IF(G163=1,IF(F175=1,0,IF(G164=1,$E$6,IF(G164=2,$E$7,$E$8))),0)</f>
        <v>0</v>
      </c>
      <c r="H165" s="72" t="n">
        <f aca="false">IF(H163=1,IF(G175=1,0,IF(H164=1,$E$6,IF(H164=2,$E$7,$E$8))),0)</f>
        <v>0</v>
      </c>
      <c r="I165" s="72" t="n">
        <f aca="false">IF(I163=1,IF(H175=1,0,IF(I164=1,$E$6,IF(I164=2,$E$7,$E$8))),0)</f>
        <v>0</v>
      </c>
      <c r="J165" s="72" t="n">
        <f aca="false">IF(J163=1,IF(I175=1,0,IF(J164=1,$E$6,IF(J164=2,$E$7,$E$8))),0)</f>
        <v>0</v>
      </c>
      <c r="K165" s="72" t="n">
        <f aca="false">IF(K163=1,IF(J175=1,0,IF(K164=1,$E$6,IF(K164=2,$E$7,$E$8))),0)</f>
        <v>0</v>
      </c>
      <c r="L165" s="72" t="n">
        <f aca="false">IF(L163=1,IF(K175=1,0,IF(L164=1,$E$6,IF(L164=2,$E$7,$E$8))),0)</f>
        <v>0</v>
      </c>
      <c r="M165" s="72" t="n">
        <f aca="false">IF(M163=1,IF(L175=1,0,IF(M164=1,$E$6,IF(M164=2,$E$7,$E$8))),0)</f>
        <v>0</v>
      </c>
      <c r="N165" s="72" t="n">
        <f aca="false">IF(N163=1,IF(M175=1,0,IF(N164=1,$E$6,IF(N164=2,$E$7,$E$8))),0)</f>
        <v>0</v>
      </c>
      <c r="O165" s="72" t="n">
        <f aca="false">IF(O163=1,IF(N175=1,0,IF(O164=1,$E$6,IF(O164=2,$E$7,$E$8))),0)</f>
        <v>0</v>
      </c>
    </row>
    <row r="166" customFormat="false" ht="15" hidden="false" customHeight="false" outlineLevel="0" collapsed="false">
      <c r="B166" s="65" t="s">
        <v>1023</v>
      </c>
      <c r="C166" s="25"/>
      <c r="D166" s="73" t="n">
        <f aca="false">C210</f>
        <v>50000000</v>
      </c>
      <c r="E166" s="73" t="n">
        <f aca="false">D210</f>
        <v>48100643.75</v>
      </c>
      <c r="F166" s="73" t="n">
        <f aca="false">E210</f>
        <v>48823151.7132813</v>
      </c>
      <c r="G166" s="73" t="n">
        <f aca="false">F210</f>
        <v>47105173.9904901</v>
      </c>
      <c r="H166" s="73" t="n">
        <f aca="false">G210</f>
        <v>47826489.4455393</v>
      </c>
      <c r="I166" s="73" t="n">
        <f aca="false">H210</f>
        <v>46183889.2303444</v>
      </c>
      <c r="J166" s="73" t="n">
        <f aca="false">I210</f>
        <v>46930729.0550004</v>
      </c>
      <c r="K166" s="73" t="n">
        <f aca="false">J210</f>
        <v>45332651.4154555</v>
      </c>
      <c r="L166" s="73" t="n">
        <f aca="false">K210</f>
        <v>46080299.0246774</v>
      </c>
      <c r="M166" s="73" t="n">
        <f aca="false">L210</f>
        <v>46830553.4993366</v>
      </c>
      <c r="N166" s="73" t="n">
        <f aca="false">M210</f>
        <v>47583889.5702456</v>
      </c>
      <c r="O166" s="73" t="n">
        <f aca="false">N210</f>
        <v>48340768.6984106</v>
      </c>
    </row>
    <row r="167" customFormat="false" ht="15" hidden="false" customHeight="false" outlineLevel="0" collapsed="false">
      <c r="B167" s="65" t="s">
        <v>177</v>
      </c>
      <c r="C167" s="25"/>
      <c r="D167" s="73" t="n">
        <f aca="false">IF(C175=1,0,$E$9*D166)</f>
        <v>0</v>
      </c>
      <c r="E167" s="73" t="n">
        <f aca="false">IF(D175=1,0,$E$9*E166)</f>
        <v>0</v>
      </c>
      <c r="F167" s="73" t="n">
        <f aca="false">IF(E175=1,0,$E$9*F166)</f>
        <v>0</v>
      </c>
      <c r="G167" s="73" t="n">
        <f aca="false">IF(F175=1,0,$E$9*G166)</f>
        <v>0</v>
      </c>
      <c r="H167" s="73" t="n">
        <f aca="false">IF(G175=1,0,$E$9*H166)</f>
        <v>0</v>
      </c>
      <c r="I167" s="73" t="n">
        <f aca="false">IF(H175=1,0,$E$9*I166)</f>
        <v>0</v>
      </c>
      <c r="J167" s="73" t="n">
        <f aca="false">IF(I175=1,0,$E$9*J166)</f>
        <v>0</v>
      </c>
      <c r="K167" s="73" t="n">
        <f aca="false">IF(J175=1,0,$E$9*K166)</f>
        <v>0</v>
      </c>
      <c r="L167" s="73" t="n">
        <f aca="false">IF(K175=1,0,$E$9*L166)</f>
        <v>0</v>
      </c>
      <c r="M167" s="73" t="n">
        <f aca="false">IF(L175=1,0,$E$9*M166)</f>
        <v>0</v>
      </c>
      <c r="N167" s="73" t="n">
        <f aca="false">IF(M175=1,0,$E$9*N166)</f>
        <v>0</v>
      </c>
      <c r="O167" s="73" t="n">
        <f aca="false">IF(N175=1,0,$E$9*O166)</f>
        <v>0</v>
      </c>
    </row>
    <row r="168" customFormat="false" ht="15" hidden="false" customHeight="false" outlineLevel="0" collapsed="false">
      <c r="B168" s="65" t="s">
        <v>1024</v>
      </c>
      <c r="C168" s="25"/>
      <c r="D168" s="73" t="n">
        <f aca="false">D165*D166</f>
        <v>7500000</v>
      </c>
      <c r="E168" s="73" t="n">
        <f aca="false">E165*E166</f>
        <v>0</v>
      </c>
      <c r="F168" s="73" t="n">
        <f aca="false">F165*F166</f>
        <v>9764630.34265625</v>
      </c>
      <c r="G168" s="73" t="n">
        <f aca="false">G165*G166</f>
        <v>0</v>
      </c>
      <c r="H168" s="73" t="n">
        <f aca="false">H165*H166</f>
        <v>0</v>
      </c>
      <c r="I168" s="73" t="n">
        <f aca="false">I165*I166</f>
        <v>0</v>
      </c>
      <c r="J168" s="73" t="n">
        <f aca="false">J165*J166</f>
        <v>0</v>
      </c>
      <c r="K168" s="73" t="n">
        <f aca="false">K165*K166</f>
        <v>0</v>
      </c>
      <c r="L168" s="73" t="n">
        <f aca="false">L165*L166</f>
        <v>0</v>
      </c>
      <c r="M168" s="73" t="n">
        <f aca="false">M165*M166</f>
        <v>0</v>
      </c>
      <c r="N168" s="73" t="n">
        <f aca="false">N165*N166</f>
        <v>0</v>
      </c>
      <c r="O168" s="73" t="n">
        <f aca="false">O165*O166</f>
        <v>0</v>
      </c>
    </row>
    <row r="169" customFormat="false" ht="15" hidden="false" customHeight="false" outlineLevel="0" collapsed="false">
      <c r="B169" s="65" t="s">
        <v>1025</v>
      </c>
      <c r="C169" s="25"/>
      <c r="D169" s="73" t="n">
        <f aca="false">C177</f>
        <v>0</v>
      </c>
      <c r="E169" s="73" t="n">
        <f aca="false">D177</f>
        <v>5000000</v>
      </c>
      <c r="F169" s="73" t="n">
        <f aca="false">E177</f>
        <v>5000000</v>
      </c>
      <c r="G169" s="73" t="n">
        <f aca="false">F177</f>
        <v>12323472.7569922</v>
      </c>
      <c r="H169" s="73" t="n">
        <f aca="false">G177</f>
        <v>12323472.7569922</v>
      </c>
      <c r="I169" s="73" t="n">
        <f aca="false">H177</f>
        <v>9932148.28471522</v>
      </c>
      <c r="J169" s="73" t="n">
        <f aca="false">I177</f>
        <v>9932148.28471522</v>
      </c>
      <c r="K169" s="73" t="n">
        <f aca="false">J177</f>
        <v>7585611.8319652</v>
      </c>
      <c r="L169" s="73" t="n">
        <f aca="false">K177</f>
        <v>7585611.8319652</v>
      </c>
      <c r="M169" s="73" t="n">
        <f aca="false">L177</f>
        <v>7585611.8319652</v>
      </c>
      <c r="N169" s="73" t="n">
        <f aca="false">M177</f>
        <v>7585611.8319652</v>
      </c>
      <c r="O169" s="73" t="n">
        <f aca="false">N177</f>
        <v>7585611.8319652</v>
      </c>
    </row>
    <row r="170" customFormat="false" ht="15" hidden="false" customHeight="false" outlineLevel="0" collapsed="false">
      <c r="B170" s="65" t="s">
        <v>1026</v>
      </c>
      <c r="C170" s="25"/>
      <c r="D170" s="73" t="n">
        <f aca="false">D168+D169</f>
        <v>7500000</v>
      </c>
      <c r="E170" s="73" t="n">
        <f aca="false">E168+E169</f>
        <v>5000000</v>
      </c>
      <c r="F170" s="73" t="n">
        <f aca="false">F168+F169</f>
        <v>14764630.3426563</v>
      </c>
      <c r="G170" s="73" t="n">
        <f aca="false">G168+G169</f>
        <v>12323472.7569922</v>
      </c>
      <c r="H170" s="73" t="n">
        <f aca="false">H168+H169</f>
        <v>12323472.7569922</v>
      </c>
      <c r="I170" s="73" t="n">
        <f aca="false">I168+I169</f>
        <v>9932148.28471522</v>
      </c>
      <c r="J170" s="73" t="n">
        <f aca="false">J168+J169</f>
        <v>9932148.28471522</v>
      </c>
      <c r="K170" s="73" t="n">
        <f aca="false">K168+K169</f>
        <v>7585611.8319652</v>
      </c>
      <c r="L170" s="73" t="n">
        <f aca="false">L168+L169</f>
        <v>7585611.8319652</v>
      </c>
      <c r="M170" s="73" t="n">
        <f aca="false">M168+M169</f>
        <v>7585611.8319652</v>
      </c>
      <c r="N170" s="73" t="n">
        <f aca="false">N168+N169</f>
        <v>7585611.8319652</v>
      </c>
      <c r="O170" s="73" t="n">
        <f aca="false">O168+O169</f>
        <v>7585611.8319652</v>
      </c>
    </row>
    <row r="171" customFormat="false" ht="15" hidden="false" customHeight="false" outlineLevel="0" collapsed="false">
      <c r="B171" s="65" t="s">
        <v>1027</v>
      </c>
      <c r="C171" s="25"/>
      <c r="D171" s="73" t="n">
        <f aca="false">IF($E$21=1,Gate*D166+D167,D170)</f>
        <v>2500000</v>
      </c>
      <c r="E171" s="73" t="n">
        <f aca="false">IF($E$21=1,Gate*E166+E167,E170)</f>
        <v>2405032.1875</v>
      </c>
      <c r="F171" s="73" t="n">
        <f aca="false">IF($E$21=1,Gate*F166+F167,F170)</f>
        <v>2441157.58566406</v>
      </c>
      <c r="G171" s="73" t="n">
        <f aca="false">IF($E$21=1,Gate*G166+G167,G170)</f>
        <v>2355258.6995245</v>
      </c>
      <c r="H171" s="73" t="n">
        <f aca="false">IF($E$21=1,Gate*H166+H167,H170)</f>
        <v>2391324.47227697</v>
      </c>
      <c r="I171" s="73" t="n">
        <f aca="false">IF($E$21=1,Gate*I166+I167,I170)</f>
        <v>2309194.46151722</v>
      </c>
      <c r="J171" s="73" t="n">
        <f aca="false">IF($E$21=1,Gate*J166+J167,J170)</f>
        <v>2346536.45275002</v>
      </c>
      <c r="K171" s="73" t="n">
        <f aca="false">IF($E$21=1,Gate*K166+K167,K170)</f>
        <v>2266632.57077278</v>
      </c>
      <c r="L171" s="73" t="n">
        <f aca="false">IF($E$21=1,Gate*L166+L167,L170)</f>
        <v>2304014.95123387</v>
      </c>
      <c r="M171" s="73" t="n">
        <f aca="false">IF($E$21=1,Gate*M166+M167,M170)</f>
        <v>2341527.67496683</v>
      </c>
      <c r="N171" s="73" t="n">
        <f aca="false">IF($E$21=1,Gate*N166+N167,N170)</f>
        <v>2379194.47851228</v>
      </c>
      <c r="O171" s="73" t="n">
        <f aca="false">IF($E$21=1,Gate*O166+O167,O170)</f>
        <v>2417038.43492053</v>
      </c>
    </row>
    <row r="172" customFormat="false" ht="15" hidden="false" customHeight="false" outlineLevel="0" collapsed="false">
      <c r="B172" s="65" t="s">
        <v>1028</v>
      </c>
      <c r="C172" s="25"/>
      <c r="D172" s="73" t="n">
        <f aca="false">IF(D163=1,MIN(D170,D171),0)</f>
        <v>2500000</v>
      </c>
      <c r="E172" s="73" t="n">
        <f aca="false">IF(E163=1,MIN(E170,E171),0)</f>
        <v>0</v>
      </c>
      <c r="F172" s="73" t="n">
        <f aca="false">IF(F163=1,MIN(F170,F171),0)</f>
        <v>2441157.58566406</v>
      </c>
      <c r="G172" s="73" t="n">
        <f aca="false">IF(G163=1,MIN(G170,G171),0)</f>
        <v>0</v>
      </c>
      <c r="H172" s="73" t="n">
        <f aca="false">IF(H163=1,MIN(H170,H171),0)</f>
        <v>2391324.47227697</v>
      </c>
      <c r="I172" s="73" t="n">
        <f aca="false">IF(I163=1,MIN(I170,I171),0)</f>
        <v>0</v>
      </c>
      <c r="J172" s="73" t="n">
        <f aca="false">IF(J163=1,MIN(J170,J171),0)</f>
        <v>2346536.45275002</v>
      </c>
      <c r="K172" s="73" t="n">
        <f aca="false">IF(K163=1,MIN(K170,K171),0)</f>
        <v>0</v>
      </c>
      <c r="L172" s="73" t="n">
        <f aca="false">IF(L163=1,MIN(L170,L171),0)</f>
        <v>2304014.95123387</v>
      </c>
      <c r="M172" s="73" t="n">
        <f aca="false">IF(M163=1,MIN(M170,M171),0)</f>
        <v>0</v>
      </c>
      <c r="N172" s="73" t="n">
        <f aca="false">IF(N163=1,MIN(N170,N171),0)</f>
        <v>2379194.47851228</v>
      </c>
      <c r="O172" s="73" t="n">
        <f aca="false">IF(O163=1,MIN(O170,O171),0)</f>
        <v>0</v>
      </c>
    </row>
    <row r="173" customFormat="false" ht="15" hidden="false" customHeight="false" outlineLevel="0" collapsed="false">
      <c r="B173" s="65" t="s">
        <v>1029</v>
      </c>
      <c r="C173" s="25"/>
      <c r="D173" s="73" t="n">
        <f aca="false">MAX(0,D201+D192+D193-Poche_min_exec*D166-D172-SUM(E198:F198)+MAX(0,MIN($E$20*AN_cible,Emprunt_max*D166)-C209))</f>
        <v>0</v>
      </c>
      <c r="E173" s="73" t="n">
        <f aca="false">MAX(0,E201+E192+E193-Poche_min_exec*E166-E172-SUM(F198:G198)+MAX(0,MIN($E$20*AN_cible,Emprunt_max*E166)-D209))</f>
        <v>502827.0625</v>
      </c>
      <c r="F173" s="73" t="n">
        <f aca="false">MAX(0,F201+F192+F193-Poche_min_exec*F166-F172-SUM(G198:H198)+MAX(0,MIN($E$20*AN_cible,Emprunt_max*F166)-E209))</f>
        <v>0</v>
      </c>
      <c r="G173" s="73" t="n">
        <f aca="false">MAX(0,G201+G192+G193-Poche_min_exec*G166-G172-SUM(H198:I198)+MAX(0,MIN($E$20*AN_cible,Emprunt_max*G166)-F209))</f>
        <v>0</v>
      </c>
      <c r="H173" s="73" t="n">
        <f aca="false">MAX(0,H201+H192+H193-Poche_min_exec*H166-H172-SUM(I198:J198)+MAX(0,MIN($E$20*AN_cible,Emprunt_max*H166)-G209))</f>
        <v>0</v>
      </c>
      <c r="I173" s="73" t="n">
        <f aca="false">MAX(0,I201+I192+I193-Poche_min_exec*I166-I172-SUM(J198:K198)+MAX(0,MIN($E$20*AN_cible,Emprunt_max*I166)-H209))</f>
        <v>0</v>
      </c>
      <c r="J173" s="73" t="n">
        <f aca="false">MAX(0,J201+J192+J193-Poche_min_exec*J166-J172-SUM(K198:L198)+MAX(0,MIN($E$20*AN_cible,Emprunt_max*J166)-I209))</f>
        <v>0</v>
      </c>
      <c r="K173" s="73" t="n">
        <f aca="false">MAX(0,K201+K192+K193-Poche_min_exec*K166-K172-SUM(L198:M198)+MAX(0,MIN($E$20*AN_cible,Emprunt_max*K166)-J209))</f>
        <v>0</v>
      </c>
      <c r="L173" s="73" t="n">
        <f aca="false">MAX(0,L201+L192+L193-Poche_min_exec*L166-L172-SUM(M198:N198)+MAX(0,MIN($E$20*AN_cible,Emprunt_max*L166)-K209))</f>
        <v>0</v>
      </c>
      <c r="M173" s="73" t="n">
        <f aca="false">MAX(0,M201+M192+M193-Poche_min_exec*M166-M172-SUM(N198:O198)+MAX(0,MIN($E$20*AN_cible,Emprunt_max*M166)-L209))</f>
        <v>0</v>
      </c>
      <c r="N173" s="73" t="n">
        <f aca="false">MAX(0,N201+N192+N193-Poche_min_exec*N166-N172-SUM(O198:O198)+MAX(0,MIN($E$20*AN_cible,Emprunt_max*N166)-M209))</f>
        <v>0</v>
      </c>
      <c r="O173" s="73" t="n">
        <f aca="false">MAX(0,O201+O192+O193-Poche_min_exec*O166-O172-0+MAX(0,MIN($E$20*AN_cible,Emprunt_max*O166)-N209))</f>
        <v>1190215.56571852</v>
      </c>
    </row>
    <row r="174" customFormat="false" ht="15" hidden="false" customHeight="false" outlineLevel="0" collapsed="false">
      <c r="B174" s="65" t="s">
        <v>1030</v>
      </c>
      <c r="C174" s="25"/>
      <c r="D174" s="73" t="n">
        <f aca="false">IF(AND(D163=1,$E$21=1,$E$22=1),MIN(D170-D172,D173),0)</f>
        <v>0</v>
      </c>
      <c r="E174" s="73" t="n">
        <f aca="false">IF(AND(E163=1,$E$21=1,$E$22=1),MIN(E170-E172,E173),0)</f>
        <v>0</v>
      </c>
      <c r="F174" s="73" t="n">
        <f aca="false">IF(AND(F163=1,$E$21=1,$E$22=1),MIN(F170-F172,F173),0)</f>
        <v>0</v>
      </c>
      <c r="G174" s="73" t="n">
        <f aca="false">IF(AND(G163=1,$E$21=1,$E$22=1),MIN(G170-G172,G173),0)</f>
        <v>0</v>
      </c>
      <c r="H174" s="73" t="n">
        <f aca="false">IF(AND(H163=1,$E$21=1,$E$22=1),MIN(H170-H172,H173),0)</f>
        <v>0</v>
      </c>
      <c r="I174" s="73" t="n">
        <f aca="false">IF(AND(I163=1,$E$21=1,$E$22=1),MIN(I170-I172,I173),0)</f>
        <v>0</v>
      </c>
      <c r="J174" s="73" t="n">
        <f aca="false">IF(AND(J163=1,$E$21=1,$E$22=1),MIN(J170-J172,J173),0)</f>
        <v>0</v>
      </c>
      <c r="K174" s="73" t="n">
        <f aca="false">IF(AND(K163=1,$E$21=1,$E$22=1),MIN(K170-K172,K173),0)</f>
        <v>0</v>
      </c>
      <c r="L174" s="73" t="n">
        <f aca="false">IF(AND(L163=1,$E$21=1,$E$22=1),MIN(L170-L172,L173),0)</f>
        <v>0</v>
      </c>
      <c r="M174" s="73" t="n">
        <f aca="false">IF(AND(M163=1,$E$21=1,$E$22=1),MIN(M170-M172,M173),0)</f>
        <v>0</v>
      </c>
      <c r="N174" s="73" t="n">
        <f aca="false">IF(AND(N163=1,$E$21=1,$E$22=1),MIN(N170-N172,N173),0)</f>
        <v>0</v>
      </c>
      <c r="O174" s="73" t="n">
        <f aca="false">IF(AND(O163=1,$E$21=1,$E$22=1),MIN(O170-O172,O173),0)</f>
        <v>0</v>
      </c>
    </row>
    <row r="175" customFormat="false" ht="15" hidden="false" customHeight="false" outlineLevel="0" collapsed="false">
      <c r="B175" s="65" t="s">
        <v>1031</v>
      </c>
      <c r="C175" s="65" t="n">
        <v>0</v>
      </c>
      <c r="D175" s="65" t="n">
        <f aca="false">IF(C175=1,1,IF(AND(D163=1,$E$21=1,C179&gt;=Gate_dates,D170-D172-D174&gt;0.000001),1,0))</f>
        <v>0</v>
      </c>
      <c r="E175" s="65" t="n">
        <f aca="false">IF(D175=1,1,IF(AND(E163=1,$E$21=1,D179&gt;=Gate_dates,E170-E172-E174&gt;0.000001),1,0))</f>
        <v>0</v>
      </c>
      <c r="F175" s="65" t="n">
        <f aca="false">IF(E175=1,1,IF(AND(F163=1,$E$21=1,E179&gt;=Gate_dates,F170-F172-F174&gt;0.000001),1,0))</f>
        <v>0</v>
      </c>
      <c r="G175" s="65" t="n">
        <f aca="false">IF(F175=1,1,IF(AND(G163=1,$E$21=1,F179&gt;=Gate_dates,G170-G172-G174&gt;0.000001),1,0))</f>
        <v>0</v>
      </c>
      <c r="H175" s="65" t="n">
        <f aca="false">IF(G175=1,1,IF(AND(H163=1,$E$21=1,G179&gt;=Gate_dates,H170-H172-H174&gt;0.000001),1,0))</f>
        <v>0</v>
      </c>
      <c r="I175" s="65" t="n">
        <f aca="false">IF(H175=1,1,IF(AND(I163=1,$E$21=1,H179&gt;=Gate_dates,I170-I172-I174&gt;0.000001),1,0))</f>
        <v>0</v>
      </c>
      <c r="J175" s="65" t="n">
        <f aca="false">IF(I175=1,1,IF(AND(J163=1,$E$21=1,I179&gt;=Gate_dates,J170-J172-J174&gt;0.000001),1,0))</f>
        <v>0</v>
      </c>
      <c r="K175" s="65" t="n">
        <f aca="false">IF(J175=1,1,IF(AND(K163=1,$E$21=1,J179&gt;=Gate_dates,K170-K172-K174&gt;0.000001),1,0))</f>
        <v>0</v>
      </c>
      <c r="L175" s="65" t="n">
        <f aca="false">IF(K175=1,1,IF(AND(L163=1,$E$21=1,K179&gt;=Gate_dates,L170-L172-L174&gt;0.000001),1,0))</f>
        <v>1</v>
      </c>
      <c r="M175" s="65" t="n">
        <f aca="false">IF(L175=1,1,IF(AND(M163=1,$E$21=1,L179&gt;=Gate_dates,M170-M172-M174&gt;0.000001),1,0))</f>
        <v>1</v>
      </c>
      <c r="N175" s="65" t="n">
        <f aca="false">IF(M175=1,1,IF(AND(N163=1,$E$21=1,M179&gt;=Gate_dates,N170-N172-N174&gt;0.000001),1,0))</f>
        <v>1</v>
      </c>
      <c r="O175" s="65" t="n">
        <f aca="false">IF(N175=1,1,IF(AND(O163=1,$E$21=1,N179&gt;=Gate_dates,O170-O172-O174&gt;0.000001),1,0))</f>
        <v>1</v>
      </c>
    </row>
    <row r="176" customFormat="false" ht="15" hidden="false" customHeight="false" outlineLevel="0" collapsed="false">
      <c r="B176" s="65" t="s">
        <v>1032</v>
      </c>
      <c r="C176" s="25"/>
      <c r="D176" s="73" t="n">
        <f aca="false">IF(D175=1,0,D172+D174)</f>
        <v>2500000</v>
      </c>
      <c r="E176" s="73" t="n">
        <f aca="false">IF(E175=1,0,E172+E174)</f>
        <v>0</v>
      </c>
      <c r="F176" s="73" t="n">
        <f aca="false">IF(F175=1,0,F172+F174)</f>
        <v>2441157.58566406</v>
      </c>
      <c r="G176" s="73" t="n">
        <f aca="false">IF(G175=1,0,G172+G174)</f>
        <v>0</v>
      </c>
      <c r="H176" s="73" t="n">
        <f aca="false">IF(H175=1,0,H172+H174)</f>
        <v>2391324.47227697</v>
      </c>
      <c r="I176" s="73" t="n">
        <f aca="false">IF(I175=1,0,I172+I174)</f>
        <v>0</v>
      </c>
      <c r="J176" s="73" t="n">
        <f aca="false">IF(J175=1,0,J172+J174)</f>
        <v>2346536.45275002</v>
      </c>
      <c r="K176" s="73" t="n">
        <f aca="false">IF(K175=1,0,K172+K174)</f>
        <v>0</v>
      </c>
      <c r="L176" s="73" t="n">
        <f aca="false">IF(L175=1,0,L172+L174)</f>
        <v>0</v>
      </c>
      <c r="M176" s="73" t="n">
        <f aca="false">IF(M175=1,0,M172+M174)</f>
        <v>0</v>
      </c>
      <c r="N176" s="73" t="n">
        <f aca="false">IF(N175=1,0,N172+N174)</f>
        <v>0</v>
      </c>
      <c r="O176" s="73" t="n">
        <f aca="false">IF(O175=1,0,O172+O174)</f>
        <v>0</v>
      </c>
    </row>
    <row r="177" customFormat="false" ht="15" hidden="false" customHeight="false" outlineLevel="0" collapsed="false">
      <c r="B177" s="65" t="s">
        <v>1033</v>
      </c>
      <c r="C177" s="73" t="n">
        <v>0</v>
      </c>
      <c r="D177" s="73" t="n">
        <f aca="false">D170-D176</f>
        <v>5000000</v>
      </c>
      <c r="E177" s="73" t="n">
        <f aca="false">E170-E176</f>
        <v>5000000</v>
      </c>
      <c r="F177" s="73" t="n">
        <f aca="false">F170-F176</f>
        <v>12323472.7569922</v>
      </c>
      <c r="G177" s="73" t="n">
        <f aca="false">G170-G176</f>
        <v>12323472.7569922</v>
      </c>
      <c r="H177" s="73" t="n">
        <f aca="false">H170-H176</f>
        <v>9932148.28471522</v>
      </c>
      <c r="I177" s="73" t="n">
        <f aca="false">I170-I176</f>
        <v>9932148.28471522</v>
      </c>
      <c r="J177" s="73" t="n">
        <f aca="false">J170-J176</f>
        <v>7585611.8319652</v>
      </c>
      <c r="K177" s="73" t="n">
        <f aca="false">K170-K176</f>
        <v>7585611.8319652</v>
      </c>
      <c r="L177" s="73" t="n">
        <f aca="false">L170-L176</f>
        <v>7585611.8319652</v>
      </c>
      <c r="M177" s="73" t="n">
        <f aca="false">M170-M176</f>
        <v>7585611.8319652</v>
      </c>
      <c r="N177" s="73" t="n">
        <f aca="false">N170-N176</f>
        <v>7585611.8319652</v>
      </c>
      <c r="O177" s="73" t="n">
        <f aca="false">O170-O176</f>
        <v>7585611.8319652</v>
      </c>
    </row>
    <row r="178" customFormat="false" ht="15" hidden="false" customHeight="false" outlineLevel="0" collapsed="false">
      <c r="B178" s="65" t="s">
        <v>1034</v>
      </c>
      <c r="C178" s="25"/>
      <c r="D178" s="65" t="n">
        <f aca="false">IF(AND(D163=1,D175=0,D177&gt;0.000001),1,0)</f>
        <v>1</v>
      </c>
      <c r="E178" s="65" t="n">
        <f aca="false">IF(AND(E163=1,E175=0,E177&gt;0.000001),1,0)</f>
        <v>0</v>
      </c>
      <c r="F178" s="65" t="n">
        <f aca="false">IF(AND(F163=1,F175=0,F177&gt;0.000001),1,0)</f>
        <v>1</v>
      </c>
      <c r="G178" s="65" t="n">
        <f aca="false">IF(AND(G163=1,G175=0,G177&gt;0.000001),1,0)</f>
        <v>0</v>
      </c>
      <c r="H178" s="65" t="n">
        <f aca="false">IF(AND(H163=1,H175=0,H177&gt;0.000001),1,0)</f>
        <v>1</v>
      </c>
      <c r="I178" s="65" t="n">
        <f aca="false">IF(AND(I163=1,I175=0,I177&gt;0.000001),1,0)</f>
        <v>0</v>
      </c>
      <c r="J178" s="65" t="n">
        <f aca="false">IF(AND(J163=1,J175=0,J177&gt;0.000001),1,0)</f>
        <v>1</v>
      </c>
      <c r="K178" s="65" t="n">
        <f aca="false">IF(AND(K163=1,K175=0,K177&gt;0.000001),1,0)</f>
        <v>0</v>
      </c>
      <c r="L178" s="65" t="n">
        <f aca="false">IF(AND(L163=1,L175=0,L177&gt;0.000001),1,0)</f>
        <v>0</v>
      </c>
      <c r="M178" s="65" t="n">
        <f aca="false">IF(AND(M163=1,M175=0,M177&gt;0.000001),1,0)</f>
        <v>0</v>
      </c>
      <c r="N178" s="65" t="n">
        <f aca="false">IF(AND(N163=1,N175=0,N177&gt;0.000001),1,0)</f>
        <v>0</v>
      </c>
      <c r="O178" s="65" t="n">
        <f aca="false">IF(AND(O163=1,O175=0,O177&gt;0.000001),1,0)</f>
        <v>0</v>
      </c>
    </row>
    <row r="179" customFormat="false" ht="15" hidden="false" customHeight="false" outlineLevel="0" collapsed="false">
      <c r="B179" s="65" t="s">
        <v>843</v>
      </c>
      <c r="C179" s="65" t="n">
        <v>0</v>
      </c>
      <c r="D179" s="65" t="n">
        <f aca="false">IF(D163=1,IF(D178=1,C179+1,0),C179)</f>
        <v>1</v>
      </c>
      <c r="E179" s="65" t="n">
        <f aca="false">IF(E163=1,IF(E178=1,D179+1,0),D179)</f>
        <v>1</v>
      </c>
      <c r="F179" s="65" t="n">
        <f aca="false">IF(F163=1,IF(F178=1,E179+1,0),E179)</f>
        <v>2</v>
      </c>
      <c r="G179" s="65" t="n">
        <f aca="false">IF(G163=1,IF(G178=1,F179+1,0),F179)</f>
        <v>2</v>
      </c>
      <c r="H179" s="65" t="n">
        <f aca="false">IF(H163=1,IF(H178=1,G179+1,0),G179)</f>
        <v>3</v>
      </c>
      <c r="I179" s="65" t="n">
        <f aca="false">IF(I163=1,IF(I178=1,H179+1,0),H179)</f>
        <v>3</v>
      </c>
      <c r="J179" s="65" t="n">
        <f aca="false">IF(J163=1,IF(J178=1,I179+1,0),I179)</f>
        <v>4</v>
      </c>
      <c r="K179" s="65" t="n">
        <f aca="false">IF(K163=1,IF(K178=1,J179+1,0),J179)</f>
        <v>4</v>
      </c>
      <c r="L179" s="65" t="n">
        <f aca="false">IF(L163=1,IF(L178=1,K179+1,0),K179)</f>
        <v>0</v>
      </c>
      <c r="M179" s="65" t="n">
        <f aca="false">IF(M163=1,IF(M178=1,L179+1,0),L179)</f>
        <v>0</v>
      </c>
      <c r="N179" s="65" t="n">
        <f aca="false">IF(N163=1,IF(N178=1,M179+1,0),M179)</f>
        <v>0</v>
      </c>
      <c r="O179" s="65" t="n">
        <f aca="false">IF(O163=1,IF(O178=1,N179+1,0),N179)</f>
        <v>0</v>
      </c>
    </row>
    <row r="180" customFormat="false" ht="15" hidden="false" customHeight="false" outlineLevel="0" collapsed="false">
      <c r="B180" s="65" t="s">
        <v>1035</v>
      </c>
      <c r="C180" s="73" t="n">
        <f aca="false">AN_cible*Ws_MAPIF</f>
        <v>12500000</v>
      </c>
      <c r="D180" s="73" t="n">
        <f aca="false">C180*(1+Rend_MAPIF/4)*IF(D161=1,(1-(Cap_MAPIF*$E$15+(1-Cap_MAPIF)*$E$16))*(1+1*$E$14),1)+D190-D184-D205*IF((C180+C181+C182+C183)&gt;0,C180/(C180+C181+C182+C183),0)</f>
        <v>12971562.5</v>
      </c>
      <c r="E180" s="73" t="n">
        <f aca="false">D180*(1+Rend_MAPIF/4)*IF(E161=1,(1-(Cap_MAPIF*$E$15+(1-Cap_MAPIF)*$E$16))*(1+1*$E$14),1)+E190-E184-E205*IF((D180+D181+D182+D183)&gt;0,D180/(D180+D181+D182+D183),0)</f>
        <v>13446767.8203125</v>
      </c>
      <c r="F180" s="73" t="n">
        <f aca="false">E180*(1+Rend_MAPIF/4)*IF(F161=1,(1-(Cap_MAPIF*$E$15+(1-Cap_MAPIF)*$E$16))*(1+1*$E$14),1)+F190-F184-F205*IF((E180+E181+E182+E183)&gt;0,E180/(E180+E181+E182+E183),0)</f>
        <v>13925644.1017244</v>
      </c>
      <c r="G180" s="73" t="n">
        <f aca="false">F180*(1+Rend_MAPIF/4)*IF(G161=1,(1-(Cap_MAPIF*$E$15+(1-Cap_MAPIF)*$E$16))*(1+1*$E$14),1)+G190-G184-G205*IF((F180+F181+F182+F183)&gt;0,F180/(F180+F181+F182+F183),0)</f>
        <v>14408219.7024102</v>
      </c>
      <c r="H180" s="73" t="n">
        <f aca="false">G180*(1+Rend_MAPIF/4)*IF(H161=1,(1-(Cap_MAPIF*$E$15+(1-Cap_MAPIF)*$E$16))*(1+1*$E$14),1)+H190-H184-H205*IF((G180+G181+G182+G183)&gt;0,G180/(G180+G181+G182+G183),0)</f>
        <v>14894523.1996114</v>
      </c>
      <c r="I180" s="73" t="n">
        <f aca="false">H180*(1+Rend_MAPIF/4)*IF(I161=1,(1-(Cap_MAPIF*$E$15+(1-Cap_MAPIF)*$E$16))*(1+1*$E$14),1)+I190-I184-I205*IF((H180+H181+H182+H183)&gt;0,H180/(H180+H181+H182+H183),0)</f>
        <v>15384583.3913284</v>
      </c>
      <c r="J180" s="73" t="n">
        <f aca="false">I180*(1+Rend_MAPIF/4)*IF(J161=1,(1-(Cap_MAPIF*$E$15+(1-Cap_MAPIF)*$E$16))*(1+1*$E$14),1)+J190-J184-J205*IF((I180+I181+I182+I183)&gt;0,I180/(I180+I181+I182+I183),0)</f>
        <v>15878429.2980264</v>
      </c>
      <c r="K180" s="73" t="n">
        <f aca="false">J180*(1+Rend_MAPIF/4)*IF(K161=1,(1-(Cap_MAPIF*$E$15+(1-Cap_MAPIF)*$E$16))*(1+1*$E$14),1)+K190-K184-K205*IF((J180+J181+J182+J183)&gt;0,J180/(J180+J181+J182+J183),0)</f>
        <v>16376090.1643536</v>
      </c>
      <c r="L180" s="73" t="n">
        <f aca="false">K180*(1+Rend_MAPIF/4)*IF(L161=1,(1-(Cap_MAPIF*$E$15+(1-Cap_MAPIF)*$E$16))*(1+1*$E$14),1)+L190-L184-L205*IF((K180+K181+K182+K183)&gt;0,K180/(K180+K181+K182+K183),0)</f>
        <v>16877595.4608733</v>
      </c>
      <c r="M180" s="73" t="n">
        <f aca="false">L180*(1+Rend_MAPIF/4)*IF(M161=1,(1-(Cap_MAPIF*$E$15+(1-Cap_MAPIF)*$E$16))*(1+1*$E$14),1)+M190-M184-M205*IF((L180+L181+L182+L183)&gt;0,L180/(L180+L181+L182+L183),0)</f>
        <v>17382974.8858085</v>
      </c>
      <c r="N180" s="73" t="n">
        <f aca="false">M180*(1+Rend_MAPIF/4)*IF(N161=1,(1-(Cap_MAPIF*$E$15+(1-Cap_MAPIF)*$E$16))*(1+1*$E$14),1)+N190-N184-N205*IF((M180+M181+M182+M183)&gt;0,M180/(M180+M181+M182+M183),0)</f>
        <v>17892258.3668014</v>
      </c>
      <c r="O180" s="73" t="n">
        <f aca="false">N180*(1+Rend_MAPIF/4)*IF(O161=1,(1-(Cap_MAPIF*$E$15+(1-Cap_MAPIF)*$E$16))*(1+1*$E$14),1)+O190-O184-O205*IF((N180+N181+N182+N183)&gt;0,N180/(N180+N181+N182+N183),0)</f>
        <v>18405476.0626849</v>
      </c>
    </row>
    <row r="181" customFormat="false" ht="15" hidden="false" customHeight="false" outlineLevel="0" collapsed="false">
      <c r="B181" s="65" t="s">
        <v>1036</v>
      </c>
      <c r="C181" s="73" t="n">
        <f aca="false">AN_cible*Ws_MSIG</f>
        <v>5500000</v>
      </c>
      <c r="D181" s="73" t="n">
        <f aca="false">C181*(1+Rend_MSIG/4)*IF(D161=1,(1-(Cap_MSIG*$E$15+(1-Cap_MSIG)*$E$16))*(1+MSIG_USD*$E$14),1)+D191-D185-D205*IF((C180+C181+C182+C183)&gt;0,C181/(C180+C181+C182+C183),0)</f>
        <v>5773237.5</v>
      </c>
      <c r="E181" s="73" t="n">
        <f aca="false">D181*(1+Rend_MSIG/4)*IF(E161=1,(1-(Cap_MSIG*$E$15+(1-Cap_MSIG)*$E$16))*(1+MSIG_USD*$E$14),1)+E191-E185-E205*IF((D180+D181+D182+D183)&gt;0,D181/(D180+D181+D182+D183),0)</f>
        <v>6047629.4284375</v>
      </c>
      <c r="F181" s="73" t="n">
        <f aca="false">E181*(1+Rend_MSIG/4)*IF(F161=1,(1-(Cap_MSIG*$E$15+(1-Cap_MSIG)*$E$16))*(1+MSIG_USD*$E$14),1)+F191-F185-F205*IF((E180+E181+E182+E183)&gt;0,E181/(E180+E181+E182+E183),0)</f>
        <v>6323180.66277265</v>
      </c>
      <c r="G181" s="73" t="n">
        <f aca="false">F181*(1+Rend_MSIG/4)*IF(G161=1,(1-(Cap_MSIG*$E$15+(1-Cap_MSIG)*$E$16))*(1+MSIG_USD*$E$14),1)+G191-G185-G205*IF((F180+F181+F182+F183)&gt;0,F181/(F180+F181+F182+F183),0)</f>
        <v>6599896.10107286</v>
      </c>
      <c r="H181" s="73" t="n">
        <f aca="false">G181*(1+Rend_MSIG/4)*IF(H161=1,(1-(Cap_MSIG*$E$15+(1-Cap_MSIG)*$E$16))*(1+MSIG_USD*$E$14),1)+H191-H185-H205*IF((G180+G181+G182+G183)&gt;0,G181/(G180+G181+G182+G183),0)</f>
        <v>6877780.6620999</v>
      </c>
      <c r="I181" s="73" t="n">
        <f aca="false">H181*(1+Rend_MSIG/4)*IF(I161=1,(1-(Cap_MSIG*$E$15+(1-Cap_MSIG)*$E$16))*(1+MSIG_USD*$E$14),1)+I191-I185-I205*IF((H180+H181+H182+H183)&gt;0,H181/(H180+H181+H182+H183),0)</f>
        <v>7156839.28539727</v>
      </c>
      <c r="J181" s="73" t="n">
        <f aca="false">I181*(1+Rend_MSIG/4)*IF(J161=1,(1-(Cap_MSIG*$E$15+(1-Cap_MSIG)*$E$16))*(1+MSIG_USD*$E$14),1)+J191-J185-J205*IF((I180+I181+I182+I183)&gt;0,I181/(I180+I181+I182+I183),0)</f>
        <v>7437076.93137807</v>
      </c>
      <c r="K181" s="73" t="n">
        <f aca="false">J181*(1+Rend_MSIG/4)*IF(K161=1,(1-(Cap_MSIG*$E$15+(1-Cap_MSIG)*$E$16))*(1+MSIG_USD*$E$14),1)+K191-K185-K205*IF((J180+J181+J182+J183)&gt;0,J181/(J180+J181+J182+J183),0)</f>
        <v>7718498.58141314</v>
      </c>
      <c r="L181" s="73" t="n">
        <f aca="false">K181*(1+Rend_MSIG/4)*IF(L161=1,(1-(Cap_MSIG*$E$15+(1-Cap_MSIG)*$E$16))*(1+MSIG_USD*$E$14),1)+L191-L185-L205*IF((K180+K181+K182+K183)&gt;0,K181/(K180+K181+K182+K183),0)</f>
        <v>8001109.23791962</v>
      </c>
      <c r="M181" s="73" t="n">
        <f aca="false">L181*(1+Rend_MSIG/4)*IF(M161=1,(1-(Cap_MSIG*$E$15+(1-Cap_MSIG)*$E$16))*(1+MSIG_USD*$E$14),1)+M191-M185-M205*IF((L180+L181+L182+L183)&gt;0,L181/(L180+L181+L182+L183),0)</f>
        <v>8284913.92444983</v>
      </c>
      <c r="N181" s="73" t="n">
        <f aca="false">M181*(1+Rend_MSIG/4)*IF(N161=1,(1-(Cap_MSIG*$E$15+(1-Cap_MSIG)*$E$16))*(1+MSIG_USD*$E$14),1)+N191-N185-N205*IF((M180+M181+M182+M183)&gt;0,M181/(M180+M181+M182+M183),0)</f>
        <v>8569917.68578063</v>
      </c>
      <c r="O181" s="73" t="n">
        <f aca="false">N181*(1+Rend_MSIG/4)*IF(O161=1,(1-(Cap_MSIG*$E$15+(1-Cap_MSIG)*$E$16))*(1+MSIG_USD*$E$14),1)+O191-O185-O205*IF((N180+N181+N182+N183)&gt;0,N181/(N180+N181+N182+N183),0)</f>
        <v>8856125.58800305</v>
      </c>
    </row>
    <row r="182" customFormat="false" ht="15" hidden="false" customHeight="false" outlineLevel="0" collapsed="false">
      <c r="B182" s="65" t="s">
        <v>1037</v>
      </c>
      <c r="C182" s="73" t="n">
        <f aca="false">AN_cible*Ws_PG</f>
        <v>12250000</v>
      </c>
      <c r="D182" s="73" t="n">
        <f aca="false">C182*(1+Rend_PG/4)*IF(D161=1,(1-(Cap_PG*$E$15+(1-Cap_PG)*$E$16))*(1+0*$E$14),1)-D186-D202*IF((D192+D193)&gt;0,D192/(D192+D193),0)+D207/2-D205*IF((C180+C181+C182+C183)&gt;0,C182/(C180+C181+C182+C183),0)</f>
        <v>11888931.25</v>
      </c>
      <c r="E182" s="73" t="n">
        <f aca="false">D182*(1+Rend_PG/4)*IF(E161=1,(1-(Cap_PG*$E$15+(1-Cap_PG)*$E$16))*(1+0*$E$14),1)-E186-E202*IF((E192+E193)&gt;0,E192/(E192+E193),0)+E207/2-E205*IF((D180+D181+D182+D183)&gt;0,D182/(D180+D181+D182+D183),0)</f>
        <v>11538505.0014063</v>
      </c>
      <c r="F182" s="73" t="n">
        <f aca="false">E182*(1+Rend_PG/4)*IF(F161=1,(1-(Cap_PG*$E$15+(1-Cap_PG)*$E$16))*(1+0*$E$14),1)-F186-F202*IF((F192+F193)&gt;0,F192/(F192+F193),0)+F207/2-F205*IF((E180+E181+E182+E183)&gt;0,E182/(E180+E181+E182+E183),0)</f>
        <v>11198407.5664898</v>
      </c>
      <c r="G182" s="73" t="n">
        <f aca="false">F182*(1+Rend_PG/4)*IF(G161=1,(1-(Cap_PG*$E$15+(1-Cap_PG)*$E$16))*(1+0*$E$14),1)-G186-G202*IF((G192+G193)&gt;0,G192/(G192+G193),0)+G207/2-G205*IF((F180+F181+F182+F183)&gt;0,F182/(F180+F181+F182+F183),0)</f>
        <v>10868334.5034675</v>
      </c>
      <c r="H182" s="73" t="n">
        <f aca="false">G182*(1+Rend_PG/4)*IF(H161=1,(1-(Cap_PG*$E$15+(1-Cap_PG)*$E$16))*(1+0*$E$14),1)-H186-H202*IF((H192+H193)&gt;0,H192/(H192+H193),0)+H207/2-H205*IF((G180+G181+G182+G183)&gt;0,G182/(G180+G181+G182+G183),0)</f>
        <v>10547990.3439778</v>
      </c>
      <c r="I182" s="73" t="n">
        <f aca="false">H182*(1+Rend_PG/4)*IF(I161=1,(1-(Cap_PG*$E$15+(1-Cap_PG)*$E$16))*(1+0*$E$14),1)-I186-I202*IF((I192+I193)&gt;0,I192/(I192+I193),0)+I207/2-I205*IF((H180+H181+H182+H183)&gt;0,H182/(H180+H181+H182+H183),0)</f>
        <v>10237088.3285891</v>
      </c>
      <c r="J182" s="73" t="n">
        <f aca="false">I182*(1+Rend_PG/4)*IF(J161=1,(1-(Cap_PG*$E$15+(1-Cap_PG)*$E$16))*(1+0*$E$14),1)-J186-J202*IF((J192+J193)&gt;0,J192/(J192+J193),0)+J207/2-J205*IF((I180+I181+I182+I183)&gt;0,I182/(I180+I181+I182+I183),0)</f>
        <v>9935350.1501039</v>
      </c>
      <c r="K182" s="73" t="n">
        <f aca="false">J182*(1+Rend_PG/4)*IF(K161=1,(1-(Cap_PG*$E$15+(1-Cap_PG)*$E$16))*(1+0*$E$14),1)-K186-K202*IF((K192+K193)&gt;0,K192/(K192+K193),0)+K207/2-K205*IF((J180+J181+J182+J183)&gt;0,J182/(J180+J181+J182+J183),0)</f>
        <v>9642505.70442959</v>
      </c>
      <c r="L182" s="73" t="n">
        <f aca="false">K182*(1+Rend_PG/4)*IF(L161=1,(1-(Cap_PG*$E$15+(1-Cap_PG)*$E$16))*(1+0*$E$14),1)-L186-L202*IF((L192+L193)&gt;0,L192/(L192+L193),0)+L207/2-L205*IF((K180+K181+K182+K183)&gt;0,K182/(K180+K181+K182+K183),0)</f>
        <v>9358292.84879153</v>
      </c>
      <c r="M182" s="73" t="n">
        <f aca="false">L182*(1+Rend_PG/4)*IF(M161=1,(1-(Cap_PG*$E$15+(1-Cap_PG)*$E$16))*(1+0*$E$14),1)-M186-M202*IF((M192+M193)&gt;0,M192/(M192+M193),0)+M207/2-M205*IF((L180+L181+L182+L183)&gt;0,L182/(L180+L181+L182+L183),0)</f>
        <v>9082457.1670734</v>
      </c>
      <c r="N182" s="73" t="n">
        <f aca="false">M182*(1+Rend_PG/4)*IF(N161=1,(1-(Cap_PG*$E$15+(1-Cap_PG)*$E$16))*(1+0*$E$14),1)-N186-N202*IF((N192+N193)&gt;0,N192/(N192+N193),0)+N207/2-N205*IF((M180+M181+M182+M183)&gt;0,M182/(M180+M181+M182+M183),0)</f>
        <v>8814751.74207391</v>
      </c>
      <c r="O182" s="73" t="n">
        <f aca="false">N182*(1+Rend_PG/4)*IF(O161=1,(1-(Cap_PG*$E$15+(1-Cap_PG)*$E$16))*(1+0*$E$14),1)-O186-O202*IF((O192+O193)&gt;0,O192/(O192+O193),0)+O207/2-O205*IF((N180+N181+N182+N183)&gt;0,N182/(N180+N181+N182+N183),0)</f>
        <v>8554936.93447628</v>
      </c>
    </row>
    <row r="183" customFormat="false" ht="15" hidden="false" customHeight="false" outlineLevel="0" collapsed="false">
      <c r="B183" s="65" t="s">
        <v>1038</v>
      </c>
      <c r="C183" s="73" t="n">
        <f aca="false">AN_cible*Ws_ARES</f>
        <v>12250000</v>
      </c>
      <c r="D183" s="73" t="n">
        <f aca="false">C183*(1+Rend_ARES/4)*IF(D161=1,(1-(Cap_ARES*$E$15+(1-Cap_ARES)*$E$16))*(1+0*$E$14),1)-D187-D202*IF((D192+D193)&gt;0,D193/(D192+D193),0)/(1-IF(D161&lt;=Deduc_trim,Deduc_ares,0))+D207/2-D205*IF((C180+C181+C182+C183)&gt;0,C183/(C180+C181+C182+C183),0)</f>
        <v>11727537.5</v>
      </c>
      <c r="E183" s="73" t="n">
        <f aca="false">D183*(1+Rend_ARES/4)*IF(E161=1,(1-(Cap_ARES*$E$15+(1-Cap_ARES)*$E$16))*(1+0*$E$14),1)-E187-E202*IF((E192+E193)&gt;0,E193/(E192+E193),0)/(1-IF(E161&lt;=Deduc_trim,Deduc_ares,0))+E207/2-E205*IF((D180+D181+D182+D183)&gt;0,D183/(D180+D181+D182+D183),0)</f>
        <v>11227358.025625</v>
      </c>
      <c r="F183" s="73" t="n">
        <f aca="false">E183*(1+Rend_ARES/4)*IF(F161=1,(1-(Cap_ARES*$E$15+(1-Cap_ARES)*$E$16))*(1+0*$E$14),1)-F187-F202*IF((F192+F193)&gt;0,F193/(F192+F193),0)/(1-IF(F161&lt;=Deduc_trim,Deduc_ares,0))+F207/2-F205*IF((E180+E181+E182+E183)&gt;0,E183/(E180+E181+E182+E183),0)</f>
        <v>10748511.2058321</v>
      </c>
      <c r="G183" s="73" t="n">
        <f aca="false">F183*(1+Rend_ARES/4)*IF(G161=1,(1-(Cap_ARES*$E$15+(1-Cap_ARES)*$E$16))*(1+0*$E$14),1)-G187-G202*IF((G192+G193)&gt;0,G193/(G192+G193),0)/(1-IF(G161&lt;=Deduc_trim,Deduc_ares,0))+G207/2-G205*IF((F180+F181+F182+F183)&gt;0,F183/(F180+F181+F182+F183),0)</f>
        <v>10290087.2029034</v>
      </c>
      <c r="H183" s="73" t="n">
        <f aca="false">G183*(1+Rend_ARES/4)*IF(H161=1,(1-(Cap_ARES*$E$15+(1-Cap_ARES)*$E$16))*(1+0*$E$14),1)-H187-H202*IF((H192+H193)&gt;0,H193/(H192+H193),0)/(1-IF(H161&lt;=Deduc_trim,Deduc_ares,0))+H207/2-H205*IF((G180+G181+G182+G183)&gt;0,G183/(G180+G181+G182+G183),0)</f>
        <v>9851214.98369952</v>
      </c>
      <c r="I183" s="73" t="n">
        <f aca="false">H183*(1+Rend_ARES/4)*IF(I161=1,(1-(Cap_ARES*$E$15+(1-Cap_ARES)*$E$16))*(1+0*$E$14),1)-I187-I202*IF((I192+I193)&gt;0,I193/(I192+I193),0)/(1-IF(I161&lt;=Deduc_trim,Deduc_ares,0))+I207/2-I205*IF((H180+H181+H182+H183)&gt;0,H183/(H180+H181+H182+H183),0)</f>
        <v>9431060.66464474</v>
      </c>
      <c r="J183" s="73" t="n">
        <f aca="false">I183*(1+Rend_ARES/4)*IF(J161=1,(1-(Cap_ARES*$E$15+(1-Cap_ARES)*$E$16))*(1+0*$E$14),1)-J187-J202*IF((J192+J193)&gt;0,J193/(J192+J193),0)/(1-IF(J161&lt;=Deduc_trim,Deduc_ares,0))+J207/2-J205*IF((I180+I181+I182+I183)&gt;0,I183/(I180+I181+I182+I183),0)</f>
        <v>9028825.92729764</v>
      </c>
      <c r="K183" s="73" t="n">
        <f aca="false">J183*(1+Rend_ARES/4)*IF(K161=1,(1-(Cap_ARES*$E$15+(1-Cap_ARES)*$E$16))*(1+0*$E$14),1)-K187-K202*IF((K192+K193)&gt;0,K193/(K192+K193),0)/(1-IF(K161&lt;=Deduc_trim,Deduc_ares,0))+K207/2-K205*IF((J180+J181+J182+J183)&gt;0,J183/(J180+J181+J182+J183),0)</f>
        <v>8643746.5014984</v>
      </c>
      <c r="L183" s="73" t="n">
        <f aca="false">K183*(1+Rend_ARES/4)*IF(L161=1,(1-(Cap_ARES*$E$15+(1-Cap_ARES)*$E$16))*(1+0*$E$14),1)-L187-L202*IF((L192+L193)&gt;0,L193/(L192+L193),0)/(1-IF(L161&lt;=Deduc_trim,Deduc_ares,0))+L207/2-L205*IF((K180+K181+K182+K183)&gt;0,K183/(K180+K181+K182+K183),0)</f>
        <v>8275090.71320949</v>
      </c>
      <c r="M183" s="73" t="n">
        <f aca="false">L183*(1+Rend_ARES/4)*IF(M161=1,(1-(Cap_ARES*$E$15+(1-Cap_ARES)*$E$16))*(1+0*$E$14),1)-M187-M202*IF((M192+M193)&gt;0,M193/(M192+M193),0)/(1-IF(M161&lt;=Deduc_trim,Deduc_ares,0))+M207/2-M205*IF((L180+L181+L182+L183)&gt;0,L183/(L180+L181+L182+L183),0)</f>
        <v>7922158.0942911</v>
      </c>
      <c r="N183" s="73" t="n">
        <f aca="false">M183*(1+Rend_ARES/4)*IF(N161=1,(1-(Cap_ARES*$E$15+(1-Cap_ARES)*$E$16))*(1+0*$E$14),1)-N187-N202*IF((N192+N193)&gt;0,N193/(N192+N193),0)/(1-IF(N161&lt;=Deduc_trim,Deduc_ares,0))+N207/2-N205*IF((M180+M181+M182+M183)&gt;0,M183/(M180+M181+M182+M183),0)</f>
        <v>7584278.05156959</v>
      </c>
      <c r="O183" s="73" t="n">
        <f aca="false">N183*(1+Rend_ARES/4)*IF(O161=1,(1-(Cap_ARES*$E$15+(1-Cap_ARES)*$E$16))*(1+0*$E$14),1)-O187-O202*IF((O192+O193)&gt;0,O193/(O192+O193),0)/(1-IF(O161&lt;=Deduc_trim,Deduc_ares,0))+O207/2-O205*IF((N180+N181+N182+N183)&gt;0,N183/(N180+N181+N182+N183),0)</f>
        <v>7260808.59267014</v>
      </c>
    </row>
    <row r="184" customFormat="false" ht="15" hidden="false" customHeight="false" outlineLevel="0" collapsed="false">
      <c r="B184" s="65" t="s">
        <v>1039</v>
      </c>
      <c r="C184" s="25"/>
      <c r="D184" s="73" t="n">
        <f aca="false">C180*Dist_MAPIF/4*IF(D161&lt;=$E$11,0,$E$10)</f>
        <v>187500</v>
      </c>
      <c r="E184" s="73" t="n">
        <f aca="false">D180*Dist_MAPIF/4*IF(E161&lt;=$E$11,0,$E$10)</f>
        <v>194573.4375</v>
      </c>
      <c r="F184" s="73" t="n">
        <f aca="false">E180*Dist_MAPIF/4*IF(F161&lt;=$E$11,0,$E$10)</f>
        <v>201701.517304688</v>
      </c>
      <c r="G184" s="73" t="n">
        <f aca="false">F180*Dist_MAPIF/4*IF(G161&lt;=$E$11,0,$E$10)</f>
        <v>208884.661525866</v>
      </c>
      <c r="H184" s="73" t="n">
        <f aca="false">G180*Dist_MAPIF/4*IF(H161&lt;=$E$11,0,$E$10)</f>
        <v>216123.295536154</v>
      </c>
      <c r="I184" s="73" t="n">
        <f aca="false">H180*Dist_MAPIF/4*IF(I161&lt;=$E$11,0,$E$10)</f>
        <v>223417.84799417</v>
      </c>
      <c r="J184" s="73" t="n">
        <f aca="false">I180*Dist_MAPIF/4*IF(J161&lt;=$E$11,0,$E$10)</f>
        <v>230768.750869925</v>
      </c>
      <c r="K184" s="73" t="n">
        <f aca="false">J180*Dist_MAPIF/4*IF(K161&lt;=$E$11,0,$E$10)</f>
        <v>238176.439470396</v>
      </c>
      <c r="L184" s="73" t="n">
        <f aca="false">K180*Dist_MAPIF/4*IF(L161&lt;=$E$11,0,$E$10)</f>
        <v>245641.352465304</v>
      </c>
      <c r="M184" s="73" t="n">
        <f aca="false">L180*Dist_MAPIF/4*IF(M161&lt;=$E$11,0,$E$10)</f>
        <v>253163.931913099</v>
      </c>
      <c r="N184" s="73" t="n">
        <f aca="false">M180*Dist_MAPIF/4*IF(N161&lt;=$E$11,0,$E$10)</f>
        <v>260744.623287128</v>
      </c>
      <c r="O184" s="73" t="n">
        <f aca="false">N180*Dist_MAPIF/4*IF(O161&lt;=$E$11,0,$E$10)</f>
        <v>268383.875502021</v>
      </c>
    </row>
    <row r="185" customFormat="false" ht="15" hidden="false" customHeight="false" outlineLevel="0" collapsed="false">
      <c r="B185" s="65" t="s">
        <v>1040</v>
      </c>
      <c r="C185" s="25"/>
      <c r="D185" s="73" t="n">
        <f aca="false">C181*Dist_MSIG/4*IF(D161&lt;=$E$11,0,$E$10)</f>
        <v>96250</v>
      </c>
      <c r="E185" s="73" t="n">
        <f aca="false">D181*Dist_MSIG/4*IF(E161&lt;=$E$11,0,$E$10)</f>
        <v>101031.65625</v>
      </c>
      <c r="F185" s="73" t="n">
        <f aca="false">E181*Dist_MSIG/4*IF(F161&lt;=$E$11,0,$E$10)</f>
        <v>105833.514997656</v>
      </c>
      <c r="G185" s="73" t="n">
        <f aca="false">F181*Dist_MSIG/4*IF(G161&lt;=$E$11,0,$E$10)</f>
        <v>110655.661598521</v>
      </c>
      <c r="H185" s="73" t="n">
        <f aca="false">G181*Dist_MSIG/4*IF(H161&lt;=$E$11,0,$E$10)</f>
        <v>115498.181768775</v>
      </c>
      <c r="I185" s="73" t="n">
        <f aca="false">H181*Dist_MSIG/4*IF(I161&lt;=$E$11,0,$E$10)</f>
        <v>120361.161586748</v>
      </c>
      <c r="J185" s="73" t="n">
        <f aca="false">I181*Dist_MSIG/4*IF(J161&lt;=$E$11,0,$E$10)</f>
        <v>125244.687494452</v>
      </c>
      <c r="K185" s="73" t="n">
        <f aca="false">J181*Dist_MSIG/4*IF(K161&lt;=$E$11,0,$E$10)</f>
        <v>130148.846299116</v>
      </c>
      <c r="L185" s="73" t="n">
        <f aca="false">K181*Dist_MSIG/4*IF(L161&lt;=$E$11,0,$E$10)</f>
        <v>135073.72517473</v>
      </c>
      <c r="M185" s="73" t="n">
        <f aca="false">L181*Dist_MSIG/4*IF(M161&lt;=$E$11,0,$E$10)</f>
        <v>140019.411663593</v>
      </c>
      <c r="N185" s="73" t="n">
        <f aca="false">M181*Dist_MSIG/4*IF(N161&lt;=$E$11,0,$E$10)</f>
        <v>144985.993677872</v>
      </c>
      <c r="O185" s="73" t="n">
        <f aca="false">N181*Dist_MSIG/4*IF(O161&lt;=$E$11,0,$E$10)</f>
        <v>149973.559501161</v>
      </c>
    </row>
    <row r="186" customFormat="false" ht="15" hidden="false" customHeight="false" outlineLevel="0" collapsed="false">
      <c r="B186" s="65" t="s">
        <v>1041</v>
      </c>
      <c r="C186" s="25"/>
      <c r="D186" s="73" t="n">
        <f aca="false">C182*Dist_PG/4*IF(D161&lt;=$E$11,0,$E$10)</f>
        <v>61250</v>
      </c>
      <c r="E186" s="73" t="n">
        <f aca="false">D182*Dist_PG/4*IF(E161&lt;=$E$11,0,$E$10)</f>
        <v>59444.65625</v>
      </c>
      <c r="F186" s="73" t="n">
        <f aca="false">E182*Dist_PG/4*IF(F161&lt;=$E$11,0,$E$10)</f>
        <v>57692.5250070313</v>
      </c>
      <c r="G186" s="73" t="n">
        <f aca="false">F182*Dist_PG/4*IF(G161&lt;=$E$11,0,$E$10)</f>
        <v>55992.037832449</v>
      </c>
      <c r="H186" s="73" t="n">
        <f aca="false">G182*Dist_PG/4*IF(H161&lt;=$E$11,0,$E$10)</f>
        <v>54341.6725173376</v>
      </c>
      <c r="I186" s="73" t="n">
        <f aca="false">H182*Dist_PG/4*IF(I161&lt;=$E$11,0,$E$10)</f>
        <v>52739.9517198891</v>
      </c>
      <c r="J186" s="73" t="n">
        <f aca="false">I182*Dist_PG/4*IF(J161&lt;=$E$11,0,$E$10)</f>
        <v>51185.4416429453</v>
      </c>
      <c r="K186" s="73" t="n">
        <f aca="false">J182*Dist_PG/4*IF(K161&lt;=$E$11,0,$E$10)</f>
        <v>49676.7507505195</v>
      </c>
      <c r="L186" s="73" t="n">
        <f aca="false">K182*Dist_PG/4*IF(L161&lt;=$E$11,0,$E$10)</f>
        <v>48212.528522148</v>
      </c>
      <c r="M186" s="73" t="n">
        <f aca="false">L182*Dist_PG/4*IF(M161&lt;=$E$11,0,$E$10)</f>
        <v>46791.4642439576</v>
      </c>
      <c r="N186" s="73" t="n">
        <f aca="false">M182*Dist_PG/4*IF(N161&lt;=$E$11,0,$E$10)</f>
        <v>45412.285835367</v>
      </c>
      <c r="O186" s="73" t="n">
        <f aca="false">N182*Dist_PG/4*IF(O161&lt;=$E$11,0,$E$10)</f>
        <v>44073.7587103696</v>
      </c>
    </row>
    <row r="187" customFormat="false" ht="15" hidden="false" customHeight="false" outlineLevel="0" collapsed="false">
      <c r="B187" s="65" t="s">
        <v>1042</v>
      </c>
      <c r="C187" s="25"/>
      <c r="D187" s="73" t="n">
        <f aca="false">C183*Dist_ARES/4*IF(D161&lt;=$E$11,0,$E$10)</f>
        <v>153125</v>
      </c>
      <c r="E187" s="73" t="n">
        <f aca="false">D183*Dist_ARES/4*IF(E161&lt;=$E$11,0,$E$10)</f>
        <v>146594.21875</v>
      </c>
      <c r="F187" s="73" t="n">
        <f aca="false">E183*Dist_ARES/4*IF(F161&lt;=$E$11,0,$E$10)</f>
        <v>140341.975320313</v>
      </c>
      <c r="G187" s="73" t="n">
        <f aca="false">F183*Dist_ARES/4*IF(G161&lt;=$E$11,0,$E$10)</f>
        <v>134356.390072901</v>
      </c>
      <c r="H187" s="73" t="n">
        <f aca="false">G183*Dist_ARES/4*IF(H161&lt;=$E$11,0,$E$10)</f>
        <v>128626.090036292</v>
      </c>
      <c r="I187" s="73" t="n">
        <f aca="false">H183*Dist_ARES/4*IF(I161&lt;=$E$11,0,$E$10)</f>
        <v>123140.187296244</v>
      </c>
      <c r="J187" s="73" t="n">
        <f aca="false">I183*Dist_ARES/4*IF(J161&lt;=$E$11,0,$E$10)</f>
        <v>117888.258308059</v>
      </c>
      <c r="K187" s="73" t="n">
        <f aca="false">J183*Dist_ARES/4*IF(K161&lt;=$E$11,0,$E$10)</f>
        <v>112860.324091221</v>
      </c>
      <c r="L187" s="73" t="n">
        <f aca="false">K183*Dist_ARES/4*IF(L161&lt;=$E$11,0,$E$10)</f>
        <v>108046.83126873</v>
      </c>
      <c r="M187" s="73" t="n">
        <f aca="false">L183*Dist_ARES/4*IF(M161&lt;=$E$11,0,$E$10)</f>
        <v>103438.633915119</v>
      </c>
      <c r="N187" s="73" t="n">
        <f aca="false">M183*Dist_ARES/4*IF(N161&lt;=$E$11,0,$E$10)</f>
        <v>99026.9761786388</v>
      </c>
      <c r="O187" s="73" t="n">
        <f aca="false">N183*Dist_ARES/4*IF(O161&lt;=$E$11,0,$E$10)</f>
        <v>94803.4756446198</v>
      </c>
    </row>
    <row r="188" customFormat="false" ht="15" hidden="false" customHeight="false" outlineLevel="0" collapsed="false">
      <c r="B188" s="65" t="s">
        <v>1043</v>
      </c>
      <c r="C188" s="73" t="n">
        <f aca="false">AN_cible*$E$12*Part_MAPIF_NA</f>
        <v>4500000</v>
      </c>
      <c r="D188" s="73" t="n">
        <f aca="false">C188*IF(D161=1,1+$E$14,1)-D190</f>
        <v>4125000</v>
      </c>
      <c r="E188" s="73" t="n">
        <f aca="false">D188*IF(E161=1,1+$E$14,1)-E190</f>
        <v>3750000</v>
      </c>
      <c r="F188" s="73" t="n">
        <f aca="false">E188*IF(F161=1,1+$E$14,1)-F190</f>
        <v>3375000</v>
      </c>
      <c r="G188" s="73" t="n">
        <f aca="false">F188*IF(G161=1,1+$E$14,1)-G190</f>
        <v>3000000</v>
      </c>
      <c r="H188" s="73" t="n">
        <f aca="false">G188*IF(H161=1,1+$E$14,1)-H190</f>
        <v>2625000</v>
      </c>
      <c r="I188" s="73" t="n">
        <f aca="false">H188*IF(I161=1,1+$E$14,1)-I190</f>
        <v>2250000</v>
      </c>
      <c r="J188" s="73" t="n">
        <f aca="false">I188*IF(J161=1,1+$E$14,1)-J190</f>
        <v>1875000</v>
      </c>
      <c r="K188" s="73" t="n">
        <f aca="false">J188*IF(K161=1,1+$E$14,1)-K190</f>
        <v>1500000</v>
      </c>
      <c r="L188" s="73" t="n">
        <f aca="false">K188*IF(L161=1,1+$E$14,1)-L190</f>
        <v>1125000</v>
      </c>
      <c r="M188" s="73" t="n">
        <f aca="false">L188*IF(M161=1,1+$E$14,1)-M190</f>
        <v>750000</v>
      </c>
      <c r="N188" s="73" t="n">
        <f aca="false">M188*IF(N161=1,1+$E$14,1)-N190</f>
        <v>375000</v>
      </c>
      <c r="O188" s="73" t="n">
        <f aca="false">N188*IF(O161=1,1+$E$14,1)-O190</f>
        <v>0</v>
      </c>
    </row>
    <row r="189" customFormat="false" ht="15" hidden="false" customHeight="false" outlineLevel="0" collapsed="false">
      <c r="B189" s="65" t="s">
        <v>1044</v>
      </c>
      <c r="C189" s="73" t="n">
        <f aca="false">AN_cible*$E$12*(1-Part_MAPIF_NA)</f>
        <v>3000000</v>
      </c>
      <c r="D189" s="73" t="n">
        <f aca="false">C189*IF(D161=1,1+MSIG_USD*$E$14,1)-D191</f>
        <v>2750000</v>
      </c>
      <c r="E189" s="73" t="n">
        <f aca="false">D189*IF(E161=1,1+MSIG_USD*$E$14,1)-E191</f>
        <v>2500000</v>
      </c>
      <c r="F189" s="73" t="n">
        <f aca="false">E189*IF(F161=1,1+MSIG_USD*$E$14,1)-F191</f>
        <v>2250000</v>
      </c>
      <c r="G189" s="73" t="n">
        <f aca="false">F189*IF(G161=1,1+MSIG_USD*$E$14,1)-G191</f>
        <v>2000000</v>
      </c>
      <c r="H189" s="73" t="n">
        <f aca="false">G189*IF(H161=1,1+MSIG_USD*$E$14,1)-H191</f>
        <v>1750000</v>
      </c>
      <c r="I189" s="73" t="n">
        <f aca="false">H189*IF(I161=1,1+MSIG_USD*$E$14,1)-I191</f>
        <v>1500000</v>
      </c>
      <c r="J189" s="73" t="n">
        <f aca="false">I189*IF(J161=1,1+MSIG_USD*$E$14,1)-J191</f>
        <v>1250000</v>
      </c>
      <c r="K189" s="73" t="n">
        <f aca="false">J189*IF(K161=1,1+MSIG_USD*$E$14,1)-K191</f>
        <v>1000000</v>
      </c>
      <c r="L189" s="73" t="n">
        <f aca="false">K189*IF(L161=1,1+MSIG_USD*$E$14,1)-L191</f>
        <v>750000</v>
      </c>
      <c r="M189" s="73" t="n">
        <f aca="false">L189*IF(M161=1,1+MSIG_USD*$E$14,1)-M191</f>
        <v>500000</v>
      </c>
      <c r="N189" s="73" t="n">
        <f aca="false">M189*IF(N161=1,1+MSIG_USD*$E$14,1)-N191</f>
        <v>250000</v>
      </c>
      <c r="O189" s="73" t="n">
        <f aca="false">N189*IF(O161=1,1+MSIG_USD*$E$14,1)-O191</f>
        <v>0</v>
      </c>
    </row>
    <row r="190" customFormat="false" ht="15" hidden="false" customHeight="false" outlineLevel="0" collapsed="false">
      <c r="B190" s="65" t="s">
        <v>1045</v>
      </c>
      <c r="C190" s="25"/>
      <c r="D190" s="73" t="n">
        <f aca="false">MIN(C188*IF(D161=1,1+$E$14,1),$C188*(1+$E$14)*IF(D161&lt;=4,$E$13/4,Appels_base))</f>
        <v>375000</v>
      </c>
      <c r="E190" s="73" t="n">
        <f aca="false">MIN(D188*IF(E161=1,1+$E$14,1),$C188*(1+$E$14)*IF(E161&lt;=4,$E$13/4,Appels_base))</f>
        <v>375000</v>
      </c>
      <c r="F190" s="73" t="n">
        <f aca="false">MIN(E188*IF(F161=1,1+$E$14,1),$C188*(1+$E$14)*IF(F161&lt;=4,$E$13/4,Appels_base))</f>
        <v>375000</v>
      </c>
      <c r="G190" s="73" t="n">
        <f aca="false">MIN(F188*IF(G161=1,1+$E$14,1),$C188*(1+$E$14)*IF(G161&lt;=4,$E$13/4,Appels_base))</f>
        <v>375000</v>
      </c>
      <c r="H190" s="73" t="n">
        <f aca="false">MIN(G188*IF(H161=1,1+$E$14,1),$C188*(1+$E$14)*IF(H161&lt;=4,$E$13/4,Appels_base))</f>
        <v>375000</v>
      </c>
      <c r="I190" s="73" t="n">
        <f aca="false">MIN(H188*IF(I161=1,1+$E$14,1),$C188*(1+$E$14)*IF(I161&lt;=4,$E$13/4,Appels_base))</f>
        <v>375000</v>
      </c>
      <c r="J190" s="73" t="n">
        <f aca="false">MIN(I188*IF(J161=1,1+$E$14,1),$C188*(1+$E$14)*IF(J161&lt;=4,$E$13/4,Appels_base))</f>
        <v>375000</v>
      </c>
      <c r="K190" s="73" t="n">
        <f aca="false">MIN(J188*IF(K161=1,1+$E$14,1),$C188*(1+$E$14)*IF(K161&lt;=4,$E$13/4,Appels_base))</f>
        <v>375000</v>
      </c>
      <c r="L190" s="73" t="n">
        <f aca="false">MIN(K188*IF(L161=1,1+$E$14,1),$C188*(1+$E$14)*IF(L161&lt;=4,$E$13/4,Appels_base))</f>
        <v>375000</v>
      </c>
      <c r="M190" s="73" t="n">
        <f aca="false">MIN(L188*IF(M161=1,1+$E$14,1),$C188*(1+$E$14)*IF(M161&lt;=4,$E$13/4,Appels_base))</f>
        <v>375000</v>
      </c>
      <c r="N190" s="73" t="n">
        <f aca="false">MIN(M188*IF(N161=1,1+$E$14,1),$C188*(1+$E$14)*IF(N161&lt;=4,$E$13/4,Appels_base))</f>
        <v>375000</v>
      </c>
      <c r="O190" s="73" t="n">
        <f aca="false">MIN(N188*IF(O161=1,1+$E$14,1),$C188*(1+$E$14)*IF(O161&lt;=4,$E$13/4,Appels_base))</f>
        <v>375000</v>
      </c>
    </row>
    <row r="191" customFormat="false" ht="15" hidden="false" customHeight="false" outlineLevel="0" collapsed="false">
      <c r="B191" s="65" t="s">
        <v>1046</v>
      </c>
      <c r="C191" s="25"/>
      <c r="D191" s="73" t="n">
        <f aca="false">MIN(C189*IF(D161=1,1+MSIG_USD*$E$14,1),$C189*(1+MSIG_USD*$E$14)*IF(D161&lt;=4,$E$13/4,Appels_base))</f>
        <v>250000</v>
      </c>
      <c r="E191" s="73" t="n">
        <f aca="false">MIN(D189*IF(E161=1,1+MSIG_USD*$E$14,1),$C189*(1+MSIG_USD*$E$14)*IF(E161&lt;=4,$E$13/4,Appels_base))</f>
        <v>250000</v>
      </c>
      <c r="F191" s="73" t="n">
        <f aca="false">MIN(E189*IF(F161=1,1+MSIG_USD*$E$14,1),$C189*(1+MSIG_USD*$E$14)*IF(F161&lt;=4,$E$13/4,Appels_base))</f>
        <v>250000</v>
      </c>
      <c r="G191" s="73" t="n">
        <f aca="false">MIN(F189*IF(G161=1,1+MSIG_USD*$E$14,1),$C189*(1+MSIG_USD*$E$14)*IF(G161&lt;=4,$E$13/4,Appels_base))</f>
        <v>250000</v>
      </c>
      <c r="H191" s="73" t="n">
        <f aca="false">MIN(G189*IF(H161=1,1+MSIG_USD*$E$14,1),$C189*(1+MSIG_USD*$E$14)*IF(H161&lt;=4,$E$13/4,Appels_base))</f>
        <v>250000</v>
      </c>
      <c r="I191" s="73" t="n">
        <f aca="false">MIN(H189*IF(I161=1,1+MSIG_USD*$E$14,1),$C189*(1+MSIG_USD*$E$14)*IF(I161&lt;=4,$E$13/4,Appels_base))</f>
        <v>250000</v>
      </c>
      <c r="J191" s="73" t="n">
        <f aca="false">MIN(I189*IF(J161=1,1+MSIG_USD*$E$14,1),$C189*(1+MSIG_USD*$E$14)*IF(J161&lt;=4,$E$13/4,Appels_base))</f>
        <v>250000</v>
      </c>
      <c r="K191" s="73" t="n">
        <f aca="false">MIN(J189*IF(K161=1,1+MSIG_USD*$E$14,1),$C189*(1+MSIG_USD*$E$14)*IF(K161&lt;=4,$E$13/4,Appels_base))</f>
        <v>250000</v>
      </c>
      <c r="L191" s="73" t="n">
        <f aca="false">MIN(K189*IF(L161=1,1+MSIG_USD*$E$14,1),$C189*(1+MSIG_USD*$E$14)*IF(L161&lt;=4,$E$13/4,Appels_base))</f>
        <v>250000</v>
      </c>
      <c r="M191" s="73" t="n">
        <f aca="false">MIN(L189*IF(M161=1,1+MSIG_USD*$E$14,1),$C189*(1+MSIG_USD*$E$14)*IF(M161&lt;=4,$E$13/4,Appels_base))</f>
        <v>250000</v>
      </c>
      <c r="N191" s="73" t="n">
        <f aca="false">MIN(M189*IF(N161=1,1+MSIG_USD*$E$14,1),$C189*(1+MSIG_USD*$E$14)*IF(N161&lt;=4,$E$13/4,Appels_base))</f>
        <v>250000</v>
      </c>
      <c r="O191" s="73" t="n">
        <f aca="false">MIN(N189*IF(O161=1,1+MSIG_USD*$E$14,1),$C189*(1+MSIG_USD*$E$14)*IF(O161&lt;=4,$E$13/4,Appels_base))</f>
        <v>250000</v>
      </c>
    </row>
    <row r="192" customFormat="false" ht="15" hidden="false" customHeight="false" outlineLevel="0" collapsed="false">
      <c r="B192" s="65" t="s">
        <v>1047</v>
      </c>
      <c r="C192" s="25"/>
      <c r="D192" s="73" t="n">
        <f aca="false">C182*Capacite_evg*IF(D161&lt;=4,$E$17,$E$18)</f>
        <v>612500</v>
      </c>
      <c r="E192" s="73" t="n">
        <f aca="false">D182*Capacite_evg*IF(E161&lt;=4,$E$17,$E$18)</f>
        <v>594446.5625</v>
      </c>
      <c r="F192" s="73" t="n">
        <f aca="false">E182*Capacite_evg*IF(F161&lt;=4,$E$17,$E$18)</f>
        <v>576925.250070313</v>
      </c>
      <c r="G192" s="73" t="n">
        <f aca="false">F182*Capacite_evg*IF(G161&lt;=4,$E$17,$E$18)</f>
        <v>559920.37832449</v>
      </c>
      <c r="H192" s="73" t="n">
        <f aca="false">G182*Capacite_evg*IF(H161&lt;=4,$E$17,$E$18)</f>
        <v>543416.725173376</v>
      </c>
      <c r="I192" s="73" t="n">
        <f aca="false">H182*Capacite_evg*IF(I161&lt;=4,$E$17,$E$18)</f>
        <v>527399.517198891</v>
      </c>
      <c r="J192" s="73" t="n">
        <f aca="false">I182*Capacite_evg*IF(J161&lt;=4,$E$17,$E$18)</f>
        <v>511854.416429453</v>
      </c>
      <c r="K192" s="73" t="n">
        <f aca="false">J182*Capacite_evg*IF(K161&lt;=4,$E$17,$E$18)</f>
        <v>496767.507505195</v>
      </c>
      <c r="L192" s="73" t="n">
        <f aca="false">K182*Capacite_evg*IF(L161&lt;=4,$E$17,$E$18)</f>
        <v>482125.28522148</v>
      </c>
      <c r="M192" s="73" t="n">
        <f aca="false">L182*Capacite_evg*IF(M161&lt;=4,$E$17,$E$18)</f>
        <v>467914.642439576</v>
      </c>
      <c r="N192" s="73" t="n">
        <f aca="false">M182*Capacite_evg*IF(N161&lt;=4,$E$17,$E$18)</f>
        <v>454122.85835367</v>
      </c>
      <c r="O192" s="73" t="n">
        <f aca="false">N182*Capacite_evg*IF(O161&lt;=4,$E$17,$E$18)</f>
        <v>440737.587103696</v>
      </c>
    </row>
    <row r="193" customFormat="false" ht="15" hidden="false" customHeight="false" outlineLevel="0" collapsed="false">
      <c r="B193" s="65" t="s">
        <v>1048</v>
      </c>
      <c r="C193" s="25"/>
      <c r="D193" s="73" t="n">
        <f aca="false">C183*Capacite_evg*IF(D161&lt;=4,$E$17,$E$19)*(1-IF(D161&lt;=Deduc_trim,Deduc_ares,0))</f>
        <v>581875</v>
      </c>
      <c r="E193" s="73" t="n">
        <f aca="false">D183*Capacite_evg*IF(E161&lt;=4,$E$17,$E$19)*(1-IF(E161&lt;=Deduc_trim,Deduc_ares,0))</f>
        <v>557058.03125</v>
      </c>
      <c r="F193" s="73" t="n">
        <f aca="false">E183*Capacite_evg*IF(F161&lt;=4,$E$17,$E$19)*(1-IF(F161&lt;=Deduc_trim,Deduc_ares,0))</f>
        <v>533299.506217187</v>
      </c>
      <c r="G193" s="73" t="n">
        <f aca="false">F183*Capacite_evg*IF(G161&lt;=4,$E$17,$E$19)*(1-IF(G161&lt;=Deduc_trim,Deduc_ares,0))</f>
        <v>510554.282277024</v>
      </c>
      <c r="H193" s="73" t="n">
        <f aca="false">G183*Capacite_evg*IF(H161&lt;=4,$E$17,$E$19)*(1-IF(H161&lt;=Deduc_trim,Deduc_ares,0))</f>
        <v>514504.360145168</v>
      </c>
      <c r="I193" s="73" t="n">
        <f aca="false">H183*Capacite_evg*IF(I161&lt;=4,$E$17,$E$19)*(1-IF(I161&lt;=Deduc_trim,Deduc_ares,0))</f>
        <v>492560.749184976</v>
      </c>
      <c r="J193" s="73" t="n">
        <f aca="false">I183*Capacite_evg*IF(J161&lt;=4,$E$17,$E$19)*(1-IF(J161&lt;=Deduc_trim,Deduc_ares,0))</f>
        <v>471553.033232237</v>
      </c>
      <c r="K193" s="73" t="n">
        <f aca="false">J183*Capacite_evg*IF(K161&lt;=4,$E$17,$E$19)*(1-IF(K161&lt;=Deduc_trim,Deduc_ares,0))</f>
        <v>451441.296364882</v>
      </c>
      <c r="L193" s="73" t="n">
        <f aca="false">K183*Capacite_evg*IF(L161&lt;=4,$E$17,$E$19)*(1-IF(L161&lt;=Deduc_trim,Deduc_ares,0))</f>
        <v>432187.32507492</v>
      </c>
      <c r="M193" s="73" t="n">
        <f aca="false">L183*Capacite_evg*IF(M161&lt;=4,$E$17,$E$19)*(1-IF(M161&lt;=Deduc_trim,Deduc_ares,0))</f>
        <v>413754.535660474</v>
      </c>
      <c r="N193" s="73" t="n">
        <f aca="false">M183*Capacite_evg*IF(N161&lt;=4,$E$17,$E$19)*(1-IF(N161&lt;=Deduc_trim,Deduc_ares,0))</f>
        <v>396107.904714555</v>
      </c>
      <c r="O193" s="73" t="n">
        <f aca="false">N183*Capacite_evg*IF(O161&lt;=4,$E$17,$E$19)*(1-IF(O161&lt;=Deduc_trim,Deduc_ares,0))</f>
        <v>379213.902578479</v>
      </c>
    </row>
    <row r="194" customFormat="false" ht="15" hidden="false" customHeight="false" outlineLevel="0" collapsed="false">
      <c r="B194" s="65" t="s">
        <v>1049</v>
      </c>
      <c r="C194" s="25"/>
      <c r="D194" s="73" t="n">
        <f aca="false">C208</f>
        <v>7500000</v>
      </c>
      <c r="E194" s="73" t="n">
        <f aca="false">D208</f>
        <v>5739375</v>
      </c>
      <c r="F194" s="73" t="n">
        <f aca="false">E208</f>
        <v>6562891.4375</v>
      </c>
      <c r="G194" s="73" t="n">
        <f aca="false">F208</f>
        <v>4909430.45367109</v>
      </c>
      <c r="H194" s="73" t="n">
        <f aca="false">G208</f>
        <v>5659951.93568534</v>
      </c>
      <c r="I194" s="73" t="n">
        <f aca="false">H208</f>
        <v>4012380.04095581</v>
      </c>
      <c r="J194" s="73" t="n">
        <f aca="false">I208</f>
        <v>4721157.38504098</v>
      </c>
      <c r="K194" s="73" t="n">
        <f aca="false">J208</f>
        <v>3052969.10864954</v>
      </c>
      <c r="L194" s="73" t="n">
        <f aca="false">K208</f>
        <v>3699458.07298265</v>
      </c>
      <c r="M194" s="73" t="n">
        <f aca="false">L208</f>
        <v>4318465.23854271</v>
      </c>
      <c r="N194" s="73" t="n">
        <f aca="false">M208</f>
        <v>4911385.49862274</v>
      </c>
      <c r="O194" s="73" t="n">
        <f aca="false">N208</f>
        <v>5479562.85218514</v>
      </c>
    </row>
    <row r="195" customFormat="false" ht="15" hidden="false" customHeight="false" outlineLevel="0" collapsed="false">
      <c r="B195" s="65" t="s">
        <v>1050</v>
      </c>
      <c r="C195" s="25"/>
      <c r="D195" s="73" t="n">
        <f aca="false">D194*Taux_treso/4</f>
        <v>46875</v>
      </c>
      <c r="E195" s="73" t="n">
        <f aca="false">E194*Taux_treso/4</f>
        <v>35871.09375</v>
      </c>
      <c r="F195" s="73" t="n">
        <f aca="false">F194*Taux_treso/4</f>
        <v>41018.071484375</v>
      </c>
      <c r="G195" s="73" t="n">
        <f aca="false">G194*Taux_treso/4</f>
        <v>30683.9403354443</v>
      </c>
      <c r="H195" s="73" t="n">
        <f aca="false">H194*Taux_treso/4</f>
        <v>35374.6995980334</v>
      </c>
      <c r="I195" s="73" t="n">
        <f aca="false">I194*Taux_treso/4</f>
        <v>25077.3752559738</v>
      </c>
      <c r="J195" s="73" t="n">
        <f aca="false">J194*Taux_treso/4</f>
        <v>29507.2336565061</v>
      </c>
      <c r="K195" s="73" t="n">
        <f aca="false">K194*Taux_treso/4</f>
        <v>19081.0569290596</v>
      </c>
      <c r="L195" s="73" t="n">
        <f aca="false">L194*Taux_treso/4</f>
        <v>23121.6129561415</v>
      </c>
      <c r="M195" s="73" t="n">
        <f aca="false">M194*Taux_treso/4</f>
        <v>26990.407740892</v>
      </c>
      <c r="N195" s="73" t="n">
        <f aca="false">N194*Taux_treso/4</f>
        <v>30696.1593663921</v>
      </c>
      <c r="O195" s="73" t="n">
        <f aca="false">O194*Taux_treso/4</f>
        <v>34247.2678261571</v>
      </c>
    </row>
    <row r="196" customFormat="false" ht="15" hidden="false" customHeight="false" outlineLevel="0" collapsed="false">
      <c r="B196" s="65" t="s">
        <v>1051</v>
      </c>
      <c r="C196" s="25"/>
      <c r="D196" s="73" t="n">
        <f aca="false">SUM(D184:D187)</f>
        <v>498125</v>
      </c>
      <c r="E196" s="73" t="n">
        <f aca="false">SUM(E184:E187)</f>
        <v>501643.96875</v>
      </c>
      <c r="F196" s="73" t="n">
        <f aca="false">SUM(F184:F187)</f>
        <v>505569.532629688</v>
      </c>
      <c r="G196" s="73" t="n">
        <f aca="false">SUM(G184:G187)</f>
        <v>509888.751029738</v>
      </c>
      <c r="H196" s="73" t="n">
        <f aca="false">SUM(H184:H187)</f>
        <v>514589.239858558</v>
      </c>
      <c r="I196" s="73" t="n">
        <f aca="false">SUM(I184:I187)</f>
        <v>519659.148597052</v>
      </c>
      <c r="J196" s="73" t="n">
        <f aca="false">SUM(J184:J187)</f>
        <v>525087.138315382</v>
      </c>
      <c r="K196" s="73" t="n">
        <f aca="false">SUM(K184:K187)</f>
        <v>530862.360611252</v>
      </c>
      <c r="L196" s="73" t="n">
        <f aca="false">SUM(L184:L187)</f>
        <v>536974.437430912</v>
      </c>
      <c r="M196" s="73" t="n">
        <f aca="false">SUM(M184:M187)</f>
        <v>543413.441735769</v>
      </c>
      <c r="N196" s="73" t="n">
        <f aca="false">SUM(N184:N187)</f>
        <v>550169.878979005</v>
      </c>
      <c r="O196" s="73" t="n">
        <f aca="false">SUM(O184:O187)</f>
        <v>557234.669358171</v>
      </c>
    </row>
    <row r="197" customFormat="false" ht="15" hidden="false" customHeight="false" outlineLevel="0" collapsed="false">
      <c r="B197" s="65" t="s">
        <v>1052</v>
      </c>
      <c r="C197" s="25"/>
      <c r="D197" s="73" t="n">
        <f aca="false">IF(AND(Distrib_tension=1,OR(D169&gt;0.000001,C211&lt;Liq_min,C175=1)),0,MIN(Dist_porteurs/4*Part_d*D166,D196))</f>
        <v>125000</v>
      </c>
      <c r="E197" s="73" t="n">
        <f aca="false">IF(AND(Distrib_tension=1,OR(E169&gt;0.000001,D211&lt;Liq_min,D175=1)),0,MIN(Dist_porteurs/4*Part_d*E166,E196))</f>
        <v>0</v>
      </c>
      <c r="F197" s="73" t="n">
        <f aca="false">IF(AND(Distrib_tension=1,OR(F169&gt;0.000001,E211&lt;Liq_min,E175=1)),0,MIN(Dist_porteurs/4*Part_d*F166,F196))</f>
        <v>0</v>
      </c>
      <c r="G197" s="73" t="n">
        <f aca="false">IF(AND(Distrib_tension=1,OR(G169&gt;0.000001,F211&lt;Liq_min,F175=1)),0,MIN(Dist_porteurs/4*Part_d*G166,G196))</f>
        <v>0</v>
      </c>
      <c r="H197" s="73" t="n">
        <f aca="false">IF(AND(Distrib_tension=1,OR(H169&gt;0.000001,G211&lt;Liq_min,G175=1)),0,MIN(Dist_porteurs/4*Part_d*H166,H196))</f>
        <v>0</v>
      </c>
      <c r="I197" s="73" t="n">
        <f aca="false">IF(AND(Distrib_tension=1,OR(I169&gt;0.000001,H211&lt;Liq_min,H175=1)),0,MIN(Dist_porteurs/4*Part_d*I166,I196))</f>
        <v>0</v>
      </c>
      <c r="J197" s="73" t="n">
        <f aca="false">IF(AND(Distrib_tension=1,OR(J169&gt;0.000001,I211&lt;Liq_min,I175=1)),0,MIN(Dist_porteurs/4*Part_d*J166,J196))</f>
        <v>0</v>
      </c>
      <c r="K197" s="73" t="n">
        <f aca="false">IF(AND(Distrib_tension=1,OR(K169&gt;0.000001,J211&lt;Liq_min,J175=1)),0,MIN(Dist_porteurs/4*Part_d*K166,K196))</f>
        <v>0</v>
      </c>
      <c r="L197" s="73" t="n">
        <f aca="false">IF(AND(Distrib_tension=1,OR(L169&gt;0.000001,K211&lt;Liq_min,K175=1)),0,MIN(Dist_porteurs/4*Part_d*L166,L196))</f>
        <v>0</v>
      </c>
      <c r="M197" s="73" t="n">
        <f aca="false">IF(AND(Distrib_tension=1,OR(M169&gt;0.000001,L211&lt;Liq_min,L175=1)),0,MIN(Dist_porteurs/4*Part_d*M166,M196))</f>
        <v>0</v>
      </c>
      <c r="N197" s="73" t="n">
        <f aca="false">IF(AND(Distrib_tension=1,OR(N169&gt;0.000001,M211&lt;Liq_min,M175=1)),0,MIN(Dist_porteurs/4*Part_d*N166,N196))</f>
        <v>0</v>
      </c>
      <c r="O197" s="73" t="n">
        <f aca="false">IF(AND(Distrib_tension=1,OR(O169&gt;0.000001,N211&lt;Liq_min,N175=1)),0,MIN(Dist_porteurs/4*Part_d*O166,O196))</f>
        <v>0</v>
      </c>
    </row>
    <row r="198" customFormat="false" ht="15" hidden="false" customHeight="false" outlineLevel="0" collapsed="false">
      <c r="B198" s="65" t="s">
        <v>1053</v>
      </c>
      <c r="C198" s="25"/>
      <c r="D198" s="73" t="n">
        <f aca="false">D190+D191</f>
        <v>625000</v>
      </c>
      <c r="E198" s="73" t="n">
        <f aca="false">E190+E191</f>
        <v>625000</v>
      </c>
      <c r="F198" s="73" t="n">
        <f aca="false">F190+F191</f>
        <v>625000</v>
      </c>
      <c r="G198" s="73" t="n">
        <f aca="false">G190+G191</f>
        <v>625000</v>
      </c>
      <c r="H198" s="73" t="n">
        <f aca="false">H190+H191</f>
        <v>625000</v>
      </c>
      <c r="I198" s="73" t="n">
        <f aca="false">I190+I191</f>
        <v>625000</v>
      </c>
      <c r="J198" s="73" t="n">
        <f aca="false">J190+J191</f>
        <v>625000</v>
      </c>
      <c r="K198" s="73" t="n">
        <f aca="false">K190+K191</f>
        <v>625000</v>
      </c>
      <c r="L198" s="73" t="n">
        <f aca="false">L190+L191</f>
        <v>625000</v>
      </c>
      <c r="M198" s="73" t="n">
        <f aca="false">M190+M191</f>
        <v>625000</v>
      </c>
      <c r="N198" s="73" t="n">
        <f aca="false">N190+N191</f>
        <v>625000</v>
      </c>
      <c r="O198" s="73" t="n">
        <f aca="false">O190+O191</f>
        <v>625000</v>
      </c>
    </row>
    <row r="199" customFormat="false" ht="15" hidden="false" customHeight="false" outlineLevel="0" collapsed="false">
      <c r="B199" s="65" t="s">
        <v>1054</v>
      </c>
      <c r="C199" s="25"/>
      <c r="D199" s="73" t="n">
        <f aca="false">D166*Frais_an/4</f>
        <v>250000</v>
      </c>
      <c r="E199" s="73" t="n">
        <f aca="false">E166*Frais_an/4</f>
        <v>240503.21875</v>
      </c>
      <c r="F199" s="73" t="n">
        <f aca="false">F166*Frais_an/4</f>
        <v>244115.758566406</v>
      </c>
      <c r="G199" s="73" t="n">
        <f aca="false">G166*Frais_an/4</f>
        <v>235525.86995245</v>
      </c>
      <c r="H199" s="73" t="n">
        <f aca="false">H166*Frais_an/4</f>
        <v>239132.447227697</v>
      </c>
      <c r="I199" s="73" t="n">
        <f aca="false">I166*Frais_an/4</f>
        <v>230919.446151722</v>
      </c>
      <c r="J199" s="73" t="n">
        <f aca="false">J166*Frais_an/4</f>
        <v>234653.645275002</v>
      </c>
      <c r="K199" s="73" t="n">
        <f aca="false">K166*Frais_an/4</f>
        <v>226663.257077278</v>
      </c>
      <c r="L199" s="73" t="n">
        <f aca="false">L166*Frais_an/4</f>
        <v>230401.495123387</v>
      </c>
      <c r="M199" s="73" t="n">
        <f aca="false">M166*Frais_an/4</f>
        <v>234152.767496683</v>
      </c>
      <c r="N199" s="73" t="n">
        <f aca="false">N166*Frais_an/4</f>
        <v>237919.447851228</v>
      </c>
      <c r="O199" s="73" t="n">
        <f aca="false">O166*Frais_an/4</f>
        <v>241703.843492053</v>
      </c>
    </row>
    <row r="200" customFormat="false" ht="15" hidden="false" customHeight="false" outlineLevel="0" collapsed="false">
      <c r="B200" s="65" t="s">
        <v>1055</v>
      </c>
      <c r="C200" s="25"/>
      <c r="D200" s="73" t="n">
        <f aca="false">C209*Taux_emprunt/4</f>
        <v>0</v>
      </c>
      <c r="E200" s="73" t="n">
        <f aca="false">D209*Taux_emprunt/4</f>
        <v>0</v>
      </c>
      <c r="F200" s="73" t="n">
        <f aca="false">E209*Taux_emprunt/4</f>
        <v>0</v>
      </c>
      <c r="G200" s="73" t="n">
        <f aca="false">F209*Taux_emprunt/4</f>
        <v>0</v>
      </c>
      <c r="H200" s="73" t="n">
        <f aca="false">G209*Taux_emprunt/4</f>
        <v>0</v>
      </c>
      <c r="I200" s="73" t="n">
        <f aca="false">H209*Taux_emprunt/4</f>
        <v>0</v>
      </c>
      <c r="J200" s="73" t="n">
        <f aca="false">I209*Taux_emprunt/4</f>
        <v>0</v>
      </c>
      <c r="K200" s="73" t="n">
        <f aca="false">J209*Taux_emprunt/4</f>
        <v>0</v>
      </c>
      <c r="L200" s="73" t="n">
        <f aca="false">K209*Taux_emprunt/4</f>
        <v>0</v>
      </c>
      <c r="M200" s="73" t="n">
        <f aca="false">L209*Taux_emprunt/4</f>
        <v>0</v>
      </c>
      <c r="N200" s="73" t="n">
        <f aca="false">M209*Taux_emprunt/4</f>
        <v>0</v>
      </c>
      <c r="O200" s="73" t="n">
        <f aca="false">N209*Taux_emprunt/4</f>
        <v>0</v>
      </c>
    </row>
    <row r="201" customFormat="false" ht="15" hidden="false" customHeight="false" outlineLevel="0" collapsed="false">
      <c r="B201" s="65" t="s">
        <v>1056</v>
      </c>
      <c r="C201" s="25"/>
      <c r="D201" s="73" t="n">
        <f aca="false">D194+D195+D196-D197+D167-D198-D199-D200</f>
        <v>7045000</v>
      </c>
      <c r="E201" s="73" t="n">
        <f aca="false">E194+E195+E196-E197+E167-E198-E199-E200</f>
        <v>5411386.84375</v>
      </c>
      <c r="F201" s="73" t="n">
        <f aca="false">F194+F195+F196-F197+F167-F198-F199-F200</f>
        <v>6240363.28304766</v>
      </c>
      <c r="G201" s="73" t="n">
        <f aca="false">G194+G195+G196-G197+G167-G198-G199-G200</f>
        <v>4589477.27508382</v>
      </c>
      <c r="H201" s="73" t="n">
        <f aca="false">H194+H195+H196-H197+H167-H198-H199-H200</f>
        <v>5345783.42791423</v>
      </c>
      <c r="I201" s="73" t="n">
        <f aca="false">I194+I195+I196-I197+I167-I198-I199-I200</f>
        <v>3701197.11865711</v>
      </c>
      <c r="J201" s="73" t="n">
        <f aca="false">J194+J195+J196-J197+J167-J198-J199-J200</f>
        <v>4416098.11173787</v>
      </c>
      <c r="K201" s="73" t="n">
        <f aca="false">K194+K195+K196-K197+K167-K198-K199-K200</f>
        <v>2751249.26911257</v>
      </c>
      <c r="L201" s="73" t="n">
        <f aca="false">L194+L195+L196-L197+L167-L198-L199-L200</f>
        <v>3404152.62824631</v>
      </c>
      <c r="M201" s="73" t="n">
        <f aca="false">M194+M195+M196-M197+M167-M198-M199-M200</f>
        <v>4029716.32052269</v>
      </c>
      <c r="N201" s="73" t="n">
        <f aca="false">N194+N195+N196-N197+N167-N198-N199-N200</f>
        <v>4629332.08911691</v>
      </c>
      <c r="O201" s="73" t="n">
        <f aca="false">O194+O195+O196-O197+O167-O198-O199-O200</f>
        <v>5204340.94587741</v>
      </c>
    </row>
    <row r="202" customFormat="false" ht="15" hidden="false" customHeight="false" outlineLevel="0" collapsed="false">
      <c r="B202" s="65" t="s">
        <v>1057</v>
      </c>
      <c r="C202" s="25"/>
      <c r="D202" s="73" t="n">
        <f aca="false">MIN(D192+D193,MAX(0,Liq_cible*D166-(D201-D176)))</f>
        <v>1194375</v>
      </c>
      <c r="E202" s="73" t="n">
        <f aca="false">MIN(E192+E193,MAX(0,Liq_cible*E166-(E201-E176)))</f>
        <v>1151504.59375</v>
      </c>
      <c r="F202" s="73" t="n">
        <f aca="false">MIN(F192+F193,MAX(0,Liq_cible*F166-(F201-F176)))</f>
        <v>1110224.7562875</v>
      </c>
      <c r="G202" s="73" t="n">
        <f aca="false">MIN(G192+G193,MAX(0,Liq_cible*G166-(G201-G176)))</f>
        <v>1070474.66060151</v>
      </c>
      <c r="H202" s="73" t="n">
        <f aca="false">MIN(H192+H193,MAX(0,Liq_cible*H166-(H201-H176)))</f>
        <v>1057921.08531854</v>
      </c>
      <c r="I202" s="73" t="n">
        <f aca="false">MIN(I192+I193,MAX(0,Liq_cible*I166-(I201-I176)))</f>
        <v>1019960.26638387</v>
      </c>
      <c r="J202" s="73" t="n">
        <f aca="false">MIN(J192+J193,MAX(0,Liq_cible*J166-(J201-J176)))</f>
        <v>983407.44966169</v>
      </c>
      <c r="K202" s="73" t="n">
        <f aca="false">MIN(K192+K193,MAX(0,Liq_cible*K166-(K201-K176)))</f>
        <v>948208.803870077</v>
      </c>
      <c r="L202" s="73" t="n">
        <f aca="false">MIN(L192+L193,MAX(0,Liq_cible*L166-(L201-L176)))</f>
        <v>914312.610296399</v>
      </c>
      <c r="M202" s="73" t="n">
        <f aca="false">MIN(M192+M193,MAX(0,Liq_cible*M166-(M201-M176)))</f>
        <v>881669.178100051</v>
      </c>
      <c r="N202" s="73" t="n">
        <f aca="false">MIN(N192+N193,MAX(0,Liq_cible*N166-(N201-N176)))</f>
        <v>850230.763068225</v>
      </c>
      <c r="O202" s="73" t="n">
        <f aca="false">MIN(O192+O193,MAX(0,Liq_cible*O166-(O201-O176)))</f>
        <v>819951.489682175</v>
      </c>
    </row>
    <row r="203" customFormat="false" ht="15" hidden="false" customHeight="false" outlineLevel="0" collapsed="false">
      <c r="B203" s="65" t="s">
        <v>1058</v>
      </c>
      <c r="C203" s="25"/>
      <c r="D203" s="73" t="n">
        <f aca="false">D201-D176+D202</f>
        <v>5739375</v>
      </c>
      <c r="E203" s="73" t="n">
        <f aca="false">E201-E176+E202</f>
        <v>6562891.4375</v>
      </c>
      <c r="F203" s="73" t="n">
        <f aca="false">F201-F176+F202</f>
        <v>4909430.45367109</v>
      </c>
      <c r="G203" s="73" t="n">
        <f aca="false">G201-G176+G202</f>
        <v>5659951.93568534</v>
      </c>
      <c r="H203" s="73" t="n">
        <f aca="false">H201-H176+H202</f>
        <v>4012380.04095581</v>
      </c>
      <c r="I203" s="73" t="n">
        <f aca="false">I201-I176+I202</f>
        <v>4721157.38504098</v>
      </c>
      <c r="J203" s="73" t="n">
        <f aca="false">J201-J176+J202</f>
        <v>3052969.10864954</v>
      </c>
      <c r="K203" s="73" t="n">
        <f aca="false">K201-K176+K202</f>
        <v>3699458.07298265</v>
      </c>
      <c r="L203" s="73" t="n">
        <f aca="false">L201-L176+L202</f>
        <v>4318465.23854271</v>
      </c>
      <c r="M203" s="73" t="n">
        <f aca="false">M201-M176+M202</f>
        <v>4911385.49862274</v>
      </c>
      <c r="N203" s="73" t="n">
        <f aca="false">N201-N176+N202</f>
        <v>5479562.85218514</v>
      </c>
      <c r="O203" s="73" t="n">
        <f aca="false">O201-O176+O202</f>
        <v>6024292.43555959</v>
      </c>
    </row>
    <row r="204" customFormat="false" ht="15" hidden="false" customHeight="false" outlineLevel="0" collapsed="false">
      <c r="B204" s="65" t="s">
        <v>1059</v>
      </c>
      <c r="C204" s="25"/>
      <c r="D204" s="73" t="n">
        <f aca="false">MIN(MAX(0,MIN($E$20*AN_cible,Emprunt_max*D166)-C209),MAX(0,IF($E$20&gt;0,Poche_min_exec*D166,0)-D203))-IF(D203&gt;Liq_cible*D166,MIN(C209,D203-Liq_cible*D166),0)</f>
        <v>0</v>
      </c>
      <c r="E204" s="73" t="n">
        <f aca="false">MIN(MAX(0,MIN($E$20*AN_cible,Emprunt_max*E166)-D209),MAX(0,IF($E$20&gt;0,Poche_min_exec*E166,0)-E203))-IF(E203&gt;Liq_cible*E166,MIN(D209,E203-Liq_cible*E166),0)</f>
        <v>0</v>
      </c>
      <c r="F204" s="73" t="n">
        <f aca="false">MIN(MAX(0,MIN($E$20*AN_cible,Emprunt_max*F166)-E209),MAX(0,IF($E$20&gt;0,Poche_min_exec*F166,0)-F203))-IF(F203&gt;Liq_cible*F166,MIN(E209,F203-Liq_cible*F166),0)</f>
        <v>0</v>
      </c>
      <c r="G204" s="73" t="n">
        <f aca="false">MIN(MAX(0,MIN($E$20*AN_cible,Emprunt_max*G166)-F209),MAX(0,IF($E$20&gt;0,Poche_min_exec*G166,0)-G203))-IF(G203&gt;Liq_cible*G166,MIN(F209,G203-Liq_cible*G166),0)</f>
        <v>0</v>
      </c>
      <c r="H204" s="73" t="n">
        <f aca="false">MIN(MAX(0,MIN($E$20*AN_cible,Emprunt_max*H166)-G209),MAX(0,IF($E$20&gt;0,Poche_min_exec*H166,0)-H203))-IF(H203&gt;Liq_cible*H166,MIN(G209,H203-Liq_cible*H166),0)</f>
        <v>0</v>
      </c>
      <c r="I204" s="73" t="n">
        <f aca="false">MIN(MAX(0,MIN($E$20*AN_cible,Emprunt_max*I166)-H209),MAX(0,IF($E$20&gt;0,Poche_min_exec*I166,0)-I203))-IF(I203&gt;Liq_cible*I166,MIN(H209,I203-Liq_cible*I166),0)</f>
        <v>0</v>
      </c>
      <c r="J204" s="73" t="n">
        <f aca="false">MIN(MAX(0,MIN($E$20*AN_cible,Emprunt_max*J166)-I209),MAX(0,IF($E$20&gt;0,Poche_min_exec*J166,0)-J203))-IF(J203&gt;Liq_cible*J166,MIN(I209,J203-Liq_cible*J166),0)</f>
        <v>0</v>
      </c>
      <c r="K204" s="73" t="n">
        <f aca="false">MIN(MAX(0,MIN($E$20*AN_cible,Emprunt_max*K166)-J209),MAX(0,IF($E$20&gt;0,Poche_min_exec*K166,0)-K203))-IF(K203&gt;Liq_cible*K166,MIN(J209,K203-Liq_cible*K166),0)</f>
        <v>0</v>
      </c>
      <c r="L204" s="73" t="n">
        <f aca="false">MIN(MAX(0,MIN($E$20*AN_cible,Emprunt_max*L166)-K209),MAX(0,IF($E$20&gt;0,Poche_min_exec*L166,0)-L203))-IF(L203&gt;Liq_cible*L166,MIN(K209,L203-Liq_cible*L166),0)</f>
        <v>0</v>
      </c>
      <c r="M204" s="73" t="n">
        <f aca="false">MIN(MAX(0,MIN($E$20*AN_cible,Emprunt_max*M166)-L209),MAX(0,IF($E$20&gt;0,Poche_min_exec*M166,0)-M203))-IF(M203&gt;Liq_cible*M166,MIN(L209,M203-Liq_cible*M166),0)</f>
        <v>0</v>
      </c>
      <c r="N204" s="73" t="n">
        <f aca="false">MIN(MAX(0,MIN($E$20*AN_cible,Emprunt_max*N166)-M209),MAX(0,IF($E$20&gt;0,Poche_min_exec*N166,0)-N203))-IF(N203&gt;Liq_cible*N166,MIN(M209,N203-Liq_cible*N166),0)</f>
        <v>0</v>
      </c>
      <c r="O204" s="73" t="n">
        <f aca="false">MIN(MAX(0,MIN($E$20*AN_cible,Emprunt_max*O166)-N209),MAX(0,IF($E$20&gt;0,Poche_min_exec*O166,0)-O203))-IF(O203&gt;Liq_cible*O166,MIN(N209,O203-Liq_cible*O166),0)</f>
        <v>0</v>
      </c>
    </row>
    <row r="205" customFormat="false" ht="15" hidden="false" customHeight="false" outlineLevel="0" collapsed="false">
      <c r="B205" s="65" t="s">
        <v>1060</v>
      </c>
      <c r="C205" s="25"/>
      <c r="D205" s="73" t="n">
        <f aca="false">MIN((C180+C181+C182+C183),MAX(0,-(D203+D204))/(1-Decote))</f>
        <v>0</v>
      </c>
      <c r="E205" s="73" t="n">
        <f aca="false">MIN((D180+D181+D182+D183),MAX(0,-(E203+E204))/(1-Decote))</f>
        <v>0</v>
      </c>
      <c r="F205" s="73" t="n">
        <f aca="false">MIN((E180+E181+E182+E183),MAX(0,-(F203+F204))/(1-Decote))</f>
        <v>0</v>
      </c>
      <c r="G205" s="73" t="n">
        <f aca="false">MIN((F180+F181+F182+F183),MAX(0,-(G203+G204))/(1-Decote))</f>
        <v>0</v>
      </c>
      <c r="H205" s="73" t="n">
        <f aca="false">MIN((G180+G181+G182+G183),MAX(0,-(H203+H204))/(1-Decote))</f>
        <v>0</v>
      </c>
      <c r="I205" s="73" t="n">
        <f aca="false">MIN((H180+H181+H182+H183),MAX(0,-(I203+I204))/(1-Decote))</f>
        <v>0</v>
      </c>
      <c r="J205" s="73" t="n">
        <f aca="false">MIN((I180+I181+I182+I183),MAX(0,-(J203+J204))/(1-Decote))</f>
        <v>0</v>
      </c>
      <c r="K205" s="73" t="n">
        <f aca="false">MIN((J180+J181+J182+J183),MAX(0,-(K203+K204))/(1-Decote))</f>
        <v>0</v>
      </c>
      <c r="L205" s="73" t="n">
        <f aca="false">MIN((K180+K181+K182+K183),MAX(0,-(L203+L204))/(1-Decote))</f>
        <v>0</v>
      </c>
      <c r="M205" s="73" t="n">
        <f aca="false">MIN((L180+L181+L182+L183),MAX(0,-(M203+M204))/(1-Decote))</f>
        <v>0</v>
      </c>
      <c r="N205" s="73" t="n">
        <f aca="false">MIN((M180+M181+M182+M183),MAX(0,-(N203+N204))/(1-Decote))</f>
        <v>0</v>
      </c>
      <c r="O205" s="73" t="n">
        <f aca="false">MIN((N180+N181+N182+N183),MAX(0,-(O203+O204))/(1-Decote))</f>
        <v>0</v>
      </c>
    </row>
    <row r="206" customFormat="false" ht="15" hidden="false" customHeight="false" outlineLevel="0" collapsed="false">
      <c r="B206" s="65" t="s">
        <v>1061</v>
      </c>
      <c r="C206" s="25"/>
      <c r="D206" s="73" t="n">
        <f aca="false">D205*Decote</f>
        <v>0</v>
      </c>
      <c r="E206" s="73" t="n">
        <f aca="false">E205*Decote</f>
        <v>0</v>
      </c>
      <c r="F206" s="73" t="n">
        <f aca="false">F205*Decote</f>
        <v>0</v>
      </c>
      <c r="G206" s="73" t="n">
        <f aca="false">G205*Decote</f>
        <v>0</v>
      </c>
      <c r="H206" s="73" t="n">
        <f aca="false">H205*Decote</f>
        <v>0</v>
      </c>
      <c r="I206" s="73" t="n">
        <f aca="false">I205*Decote</f>
        <v>0</v>
      </c>
      <c r="J206" s="73" t="n">
        <f aca="false">J205*Decote</f>
        <v>0</v>
      </c>
      <c r="K206" s="73" t="n">
        <f aca="false">K205*Decote</f>
        <v>0</v>
      </c>
      <c r="L206" s="73" t="n">
        <f aca="false">L205*Decote</f>
        <v>0</v>
      </c>
      <c r="M206" s="73" t="n">
        <f aca="false">M205*Decote</f>
        <v>0</v>
      </c>
      <c r="N206" s="73" t="n">
        <f aca="false">N205*Decote</f>
        <v>0</v>
      </c>
      <c r="O206" s="73" t="n">
        <f aca="false">O205*Decote</f>
        <v>0</v>
      </c>
    </row>
    <row r="207" customFormat="false" ht="15" hidden="false" customHeight="false" outlineLevel="0" collapsed="false">
      <c r="B207" s="65" t="s">
        <v>1062</v>
      </c>
      <c r="C207" s="25"/>
      <c r="D207" s="73" t="n">
        <f aca="false">IF(AND(D177&lt;0.000001,C209+D204&lt;0.000001),MAX(0,D203+D204-Seuil_reinv*D166),0)</f>
        <v>0</v>
      </c>
      <c r="E207" s="73" t="n">
        <f aca="false">IF(AND(E177&lt;0.000001,D209+E204&lt;0.000001),MAX(0,E203+E204-Seuil_reinv*E166),0)</f>
        <v>0</v>
      </c>
      <c r="F207" s="73" t="n">
        <f aca="false">IF(AND(F177&lt;0.000001,E209+F204&lt;0.000001),MAX(0,F203+F204-Seuil_reinv*F166),0)</f>
        <v>0</v>
      </c>
      <c r="G207" s="73" t="n">
        <f aca="false">IF(AND(G177&lt;0.000001,F209+G204&lt;0.000001),MAX(0,G203+G204-Seuil_reinv*G166),0)</f>
        <v>0</v>
      </c>
      <c r="H207" s="73" t="n">
        <f aca="false">IF(AND(H177&lt;0.000001,G209+H204&lt;0.000001),MAX(0,H203+H204-Seuil_reinv*H166),0)</f>
        <v>0</v>
      </c>
      <c r="I207" s="73" t="n">
        <f aca="false">IF(AND(I177&lt;0.000001,H209+I204&lt;0.000001),MAX(0,I203+I204-Seuil_reinv*I166),0)</f>
        <v>0</v>
      </c>
      <c r="J207" s="73" t="n">
        <f aca="false">IF(AND(J177&lt;0.000001,I209+J204&lt;0.000001),MAX(0,J203+J204-Seuil_reinv*J166),0)</f>
        <v>0</v>
      </c>
      <c r="K207" s="73" t="n">
        <f aca="false">IF(AND(K177&lt;0.000001,J209+K204&lt;0.000001),MAX(0,K203+K204-Seuil_reinv*K166),0)</f>
        <v>0</v>
      </c>
      <c r="L207" s="73" t="n">
        <f aca="false">IF(AND(L177&lt;0.000001,K209+L204&lt;0.000001),MAX(0,L203+L204-Seuil_reinv*L166),0)</f>
        <v>0</v>
      </c>
      <c r="M207" s="73" t="n">
        <f aca="false">IF(AND(M177&lt;0.000001,L209+M204&lt;0.000001),MAX(0,M203+M204-Seuil_reinv*M166),0)</f>
        <v>0</v>
      </c>
      <c r="N207" s="73" t="n">
        <f aca="false">IF(AND(N177&lt;0.000001,M209+N204&lt;0.000001),MAX(0,N203+N204-Seuil_reinv*N166),0)</f>
        <v>0</v>
      </c>
      <c r="O207" s="73" t="n">
        <f aca="false">IF(AND(O177&lt;0.000001,N209+O204&lt;0.000001),MAX(0,O203+O204-Seuil_reinv*O166),0)</f>
        <v>0</v>
      </c>
    </row>
    <row r="208" customFormat="false" ht="15" hidden="false" customHeight="false" outlineLevel="0" collapsed="false">
      <c r="B208" s="65" t="s">
        <v>1063</v>
      </c>
      <c r="C208" s="73" t="n">
        <f aca="false">AN_cible*Ws_LIQ</f>
        <v>7500000</v>
      </c>
      <c r="D208" s="73" t="n">
        <f aca="false">D203+D204+D205-D206-D207</f>
        <v>5739375</v>
      </c>
      <c r="E208" s="73" t="n">
        <f aca="false">E203+E204+E205-E206-E207</f>
        <v>6562891.4375</v>
      </c>
      <c r="F208" s="73" t="n">
        <f aca="false">F203+F204+F205-F206-F207</f>
        <v>4909430.45367109</v>
      </c>
      <c r="G208" s="73" t="n">
        <f aca="false">G203+G204+G205-G206-G207</f>
        <v>5659951.93568534</v>
      </c>
      <c r="H208" s="73" t="n">
        <f aca="false">H203+H204+H205-H206-H207</f>
        <v>4012380.04095581</v>
      </c>
      <c r="I208" s="73" t="n">
        <f aca="false">I203+I204+I205-I206-I207</f>
        <v>4721157.38504098</v>
      </c>
      <c r="J208" s="73" t="n">
        <f aca="false">J203+J204+J205-J206-J207</f>
        <v>3052969.10864954</v>
      </c>
      <c r="K208" s="73" t="n">
        <f aca="false">K203+K204+K205-K206-K207</f>
        <v>3699458.07298265</v>
      </c>
      <c r="L208" s="73" t="n">
        <f aca="false">L203+L204+L205-L206-L207</f>
        <v>4318465.23854271</v>
      </c>
      <c r="M208" s="73" t="n">
        <f aca="false">M203+M204+M205-M206-M207</f>
        <v>4911385.49862274</v>
      </c>
      <c r="N208" s="73" t="n">
        <f aca="false">N203+N204+N205-N206-N207</f>
        <v>5479562.85218514</v>
      </c>
      <c r="O208" s="73" t="n">
        <f aca="false">O203+O204+O205-O206-O207</f>
        <v>6024292.43555959</v>
      </c>
    </row>
    <row r="209" customFormat="false" ht="15" hidden="false" customHeight="false" outlineLevel="0" collapsed="false">
      <c r="B209" s="65" t="s">
        <v>1064</v>
      </c>
      <c r="C209" s="73" t="n">
        <v>0</v>
      </c>
      <c r="D209" s="73" t="n">
        <f aca="false">C209+D204</f>
        <v>0</v>
      </c>
      <c r="E209" s="73" t="n">
        <f aca="false">D209+E204</f>
        <v>0</v>
      </c>
      <c r="F209" s="73" t="n">
        <f aca="false">E209+F204</f>
        <v>0</v>
      </c>
      <c r="G209" s="73" t="n">
        <f aca="false">F209+G204</f>
        <v>0</v>
      </c>
      <c r="H209" s="73" t="n">
        <f aca="false">G209+H204</f>
        <v>0</v>
      </c>
      <c r="I209" s="73" t="n">
        <f aca="false">H209+I204</f>
        <v>0</v>
      </c>
      <c r="J209" s="73" t="n">
        <f aca="false">I209+J204</f>
        <v>0</v>
      </c>
      <c r="K209" s="73" t="n">
        <f aca="false">J209+K204</f>
        <v>0</v>
      </c>
      <c r="L209" s="73" t="n">
        <f aca="false">K209+L204</f>
        <v>0</v>
      </c>
      <c r="M209" s="73" t="n">
        <f aca="false">L209+M204</f>
        <v>0</v>
      </c>
      <c r="N209" s="73" t="n">
        <f aca="false">M209+N204</f>
        <v>0</v>
      </c>
      <c r="O209" s="73" t="n">
        <f aca="false">N209+O204</f>
        <v>0</v>
      </c>
    </row>
    <row r="210" customFormat="false" ht="15" hidden="false" customHeight="false" outlineLevel="0" collapsed="false">
      <c r="B210" s="74" t="s">
        <v>1065</v>
      </c>
      <c r="C210" s="73" t="n">
        <f aca="false">C180+C181+C182+C183+C208-C209</f>
        <v>50000000</v>
      </c>
      <c r="D210" s="73" t="n">
        <f aca="false">D180+D181+D182+D183+D208-D209</f>
        <v>48100643.75</v>
      </c>
      <c r="E210" s="73" t="n">
        <f aca="false">E180+E181+E182+E183+E208-E209</f>
        <v>48823151.7132813</v>
      </c>
      <c r="F210" s="73" t="n">
        <f aca="false">F180+F181+F182+F183+F208-F209</f>
        <v>47105173.9904901</v>
      </c>
      <c r="G210" s="73" t="n">
        <f aca="false">G180+G181+G182+G183+G208-G209</f>
        <v>47826489.4455393</v>
      </c>
      <c r="H210" s="73" t="n">
        <f aca="false">H180+H181+H182+H183+H208-H209</f>
        <v>46183889.2303444</v>
      </c>
      <c r="I210" s="73" t="n">
        <f aca="false">I180+I181+I182+I183+I208-I209</f>
        <v>46930729.0550004</v>
      </c>
      <c r="J210" s="73" t="n">
        <f aca="false">J180+J181+J182+J183+J208-J209</f>
        <v>45332651.4154555</v>
      </c>
      <c r="K210" s="73" t="n">
        <f aca="false">K180+K181+K182+K183+K208-K209</f>
        <v>46080299.0246774</v>
      </c>
      <c r="L210" s="73" t="n">
        <f aca="false">L180+L181+L182+L183+L208-L209</f>
        <v>46830553.4993366</v>
      </c>
      <c r="M210" s="73" t="n">
        <f aca="false">M180+M181+M182+M183+M208-M209</f>
        <v>47583889.5702456</v>
      </c>
      <c r="N210" s="73" t="n">
        <f aca="false">N180+N181+N182+N183+N208-N209</f>
        <v>48340768.6984106</v>
      </c>
      <c r="O210" s="73" t="n">
        <f aca="false">O180+O181+O182+O183+O208-O209</f>
        <v>49101639.613394</v>
      </c>
    </row>
    <row r="211" customFormat="false" ht="15" hidden="false" customHeight="false" outlineLevel="0" collapsed="false">
      <c r="B211" s="65" t="s">
        <v>1066</v>
      </c>
      <c r="C211" s="72" t="n">
        <f aca="false">IF((C210+C209)&gt;0,C208/(C210+C209),0)</f>
        <v>0.15</v>
      </c>
      <c r="D211" s="72" t="n">
        <f aca="false">IF((D210+D209)&gt;0,D208/(D210+D209),0)</f>
        <v>0.119320128641729</v>
      </c>
      <c r="E211" s="72" t="n">
        <f aca="false">IF((E210+E209)&gt;0,E208/(E210+E209),0)</f>
        <v>0.134421707882384</v>
      </c>
      <c r="F211" s="72" t="n">
        <f aca="false">IF((F210+F209)&gt;0,F208/(F210+F209),0)</f>
        <v>0.104222743231184</v>
      </c>
      <c r="G211" s="72" t="n">
        <f aca="false">IF((G210+G209)&gt;0,G208/(G210+G209),0)</f>
        <v>0.118343453623758</v>
      </c>
      <c r="H211" s="72" t="n">
        <f aca="false">IF((H210+H209)&gt;0,H208/(H210+H209),0)</f>
        <v>0.0868783488749479</v>
      </c>
      <c r="I211" s="72" t="n">
        <f aca="false">IF((I210+I209)&gt;0,I208/(I210+I209),0)</f>
        <v>0.100598424105196</v>
      </c>
      <c r="J211" s="72" t="n">
        <f aca="false">IF((J210+J209)&gt;0,J208/(J210+J209),0)</f>
        <v>0.0673459198463885</v>
      </c>
      <c r="K211" s="72" t="n">
        <f aca="false">IF((K210+K209)&gt;0,K208/(K210+K209),0)</f>
        <v>0.0802828573443387</v>
      </c>
      <c r="L211" s="72" t="n">
        <f aca="false">IF((L210+L209)&gt;0,L208/(L210+L209),0)</f>
        <v>0.0922146956602571</v>
      </c>
      <c r="M211" s="72" t="n">
        <f aca="false">IF((M210+M209)&gt;0,M208/(M210+M209),0)</f>
        <v>0.103215301291676</v>
      </c>
      <c r="N211" s="72" t="n">
        <f aca="false">IF((N210+N209)&gt;0,N208/(N210+N209),0)</f>
        <v>0.113352828259127</v>
      </c>
      <c r="O211" s="72" t="n">
        <f aca="false">IF((O210+O209)&gt;0,O208/(O210+O209),0)</f>
        <v>0.122690249918177</v>
      </c>
    </row>
    <row r="212" customFormat="false" ht="15" hidden="false" customHeight="false" outlineLevel="0" collapsed="false">
      <c r="B212" s="65" t="s">
        <v>1067</v>
      </c>
      <c r="C212" s="72" t="n">
        <f aca="false">0</f>
        <v>0</v>
      </c>
      <c r="D212" s="72" t="n">
        <f aca="false">IF(D210&gt;0,D177/D210,0)</f>
        <v>0.103948712744619</v>
      </c>
      <c r="E212" s="72" t="n">
        <f aca="false">IF(E210&gt;0,E177/E210,0)</f>
        <v>0.102410430800596</v>
      </c>
      <c r="F212" s="72" t="n">
        <f aca="false">IF(F210&gt;0,F177/F210,0)</f>
        <v>0.261616117997572</v>
      </c>
      <c r="G212" s="72" t="n">
        <f aca="false">IF(G210&gt;0,G177/G210,0)</f>
        <v>0.257670443719795</v>
      </c>
      <c r="H212" s="72" t="n">
        <f aca="false">IF(H210&gt;0,H177/H210,0)</f>
        <v>0.215056558688207</v>
      </c>
      <c r="I212" s="72" t="n">
        <f aca="false">IF(I210&gt;0,I177/I210,0)</f>
        <v>0.211634221004222</v>
      </c>
      <c r="J212" s="72" t="n">
        <f aca="false">IF(J210&gt;0,J177/J210,0)</f>
        <v>0.167332189825963</v>
      </c>
      <c r="K212" s="72" t="n">
        <f aca="false">IF(K210&gt;0,K177/K210,0)</f>
        <v>0.164617244083049</v>
      </c>
      <c r="L212" s="72" t="n">
        <f aca="false">IF(L210&gt;0,L177/L210,0)</f>
        <v>0.161979973866264</v>
      </c>
      <c r="M212" s="72" t="n">
        <f aca="false">IF(M210&gt;0,M177/M210,0)</f>
        <v>0.159415548003216</v>
      </c>
      <c r="N212" s="72" t="n">
        <f aca="false">IF(N210&gt;0,N177/N210,0)</f>
        <v>0.15691955333376</v>
      </c>
      <c r="O212" s="72" t="n">
        <f aca="false">IF(O210&gt;0,O177/O210,0)</f>
        <v>0.15448795379729</v>
      </c>
    </row>
    <row r="213" customFormat="false" ht="15" hidden="false" customHeight="false" outlineLevel="0" collapsed="false">
      <c r="B213" s="65" t="s">
        <v>1068</v>
      </c>
      <c r="C213" s="75" t="n">
        <f aca="false">IF((C177+SUM(D168:G168)+SUM(D198:G198)+SUM(D199:G199)+SUM(D197:G197))&lt;=0,9.99,MIN(9.99,(C208+SUM(D196:G196)+SUM(D192:G193)+MAX(0,MIN($E$20*AN_cible,Emprunt_max*C210)-C209))/(C177+SUM(D168:G168)+SUM(D198:G198)+SUM(D199:G199)+SUM(D197:G197))))</f>
        <v>0.673152329552927</v>
      </c>
      <c r="D213" s="73" t="n">
        <f aca="false">IF((D177+SUM(E168:H168)+SUM(E198:H198)+SUM(E199:H199)+SUM(E197:H197))&lt;=0,9.99,MIN(9.99,(D208+SUM(E196:H196)+SUM(E192:H193)+MAX(0,MIN($E$20*AN_cible,Emprunt_max*D210)-D209))/(D177+SUM(E168:H168)+SUM(E198:H198)+SUM(E199:H199)+SUM(E197:H197))))</f>
        <v>0.667320743188618</v>
      </c>
      <c r="E213" s="73" t="n">
        <f aca="false">IF((E177+SUM(F168:I168)+SUM(F198:I198)+SUM(F199:I199)+SUM(F197:I197))&lt;=0,9.99,MIN(9.99,(E208+SUM(F196:I196)+SUM(F192:I193)+MAX(0,MIN($E$20*AN_cible,Emprunt_max*E210)-E209))/(E177+SUM(F168:I168)+SUM(F198:I198)+SUM(F199:I199)+SUM(F197:I197))))</f>
        <v>0.706651477920301</v>
      </c>
      <c r="F213" s="73" t="n">
        <f aca="false">IF((F177+SUM(G168:J168)+SUM(G198:J198)+SUM(G199:J199)+SUM(G197:J197))&lt;=0,9.99,MIN(9.99,(F208+SUM(G196:J196)+SUM(G192:J193)+MAX(0,MIN($E$20*AN_cible,Emprunt_max*F210)-F209))/(F177+SUM(G168:J168)+SUM(G198:J198)+SUM(G199:J199)+SUM(G197:J197))))</f>
        <v>0.704810118023121</v>
      </c>
      <c r="G213" s="73" t="n">
        <f aca="false">IF((G177+SUM(H168:K168)+SUM(H198:K198)+SUM(H199:K199)+SUM(H197:K197))&lt;=0,9.99,MIN(9.99,(G208+SUM(H196:K196)+SUM(H192:K193)+MAX(0,MIN($E$20*AN_cible,Emprunt_max*G210)-G209))/(G177+SUM(H168:K168)+SUM(H198:K198)+SUM(H199:K199)+SUM(H197:K197))))</f>
        <v>0.746414833113229</v>
      </c>
      <c r="H213" s="73" t="n">
        <f aca="false">IF((H177+SUM(I168:L168)+SUM(I198:L198)+SUM(I199:L199)+SUM(I197:L197))&lt;=0,9.99,MIN(9.99,(H208+SUM(I196:L196)+SUM(I192:L193)+MAX(0,MIN($E$20*AN_cible,Emprunt_max*H210)-H209))/(H177+SUM(I168:L168)+SUM(I198:L198)+SUM(I199:L199)+SUM(I197:L197))))</f>
        <v>0.748110240037393</v>
      </c>
      <c r="I213" s="73" t="n">
        <f aca="false">IF((I177+SUM(J168:M168)+SUM(J198:M198)+SUM(J199:M199)+SUM(J197:M197))&lt;=0,9.99,MIN(9.99,(I208+SUM(J196:M196)+SUM(J192:M193)+MAX(0,MIN($E$20*AN_cible,Emprunt_max*I210)-I209))/(I177+SUM(J168:M168)+SUM(J198:M198)+SUM(J199:M199)+SUM(J197:M197))))</f>
        <v>0.792414837014636</v>
      </c>
      <c r="J213" s="73" t="n">
        <f aca="false">IF((J177+SUM(K168:N168)+SUM(K198:N198)+SUM(K199:N199)+SUM(K197:N197))&lt;=0,9.99,MIN(9.99,(J208+SUM(K196:N196)+SUM(K192:N193)+MAX(0,MIN($E$20*AN_cible,Emprunt_max*J210)-J209))/(J177+SUM(K168:N168)+SUM(K198:N198)+SUM(K199:N199)+SUM(K197:N197))))</f>
        <v>0.799728685880705</v>
      </c>
      <c r="K213" s="73" t="n">
        <f aca="false">IF((K177+SUM(L168:O168)+SUM(L198:O198)+SUM(L199:O199)+SUM(L197:O197))&lt;=0,9.99,MIN(9.99,(K208+SUM(L196:O196)+SUM(L192:O193)+MAX(0,MIN($E$20*AN_cible,Emprunt_max*K210)-K209))/(K177+SUM(L168:O168)+SUM(L198:O198)+SUM(L199:O199)+SUM(L197:O197))))</f>
        <v>0.848013884432475</v>
      </c>
      <c r="L213" s="73" t="n">
        <f aca="false">IF((L177+SUM(M168:O168)+SUM(M198:O198)+SUM(M199:O199)+SUM(M197:O197))&lt;=0,9.99,MIN(9.99,(L208+SUM(M196:O196)+SUM(M192:O193)+MAX(0,MIN($E$20*AN_cible,Emprunt_max*L210)-L209))/(L177+SUM(M168:O168)+SUM(M198:O198)+SUM(M199:O199)+SUM(M197:O197))))</f>
        <v>0.837508334743839</v>
      </c>
      <c r="M213" s="73" t="n">
        <f aca="false">IF((M177+SUM(N168:O168)+SUM(N198:O198)+SUM(N199:O199)+SUM(N197:O197))&lt;=0,9.99,MIN(9.99,(M208+SUM(N196:O196)+SUM(N192:O193)+MAX(0,MIN($E$20*AN_cible,Emprunt_max*M210)-M209))/(M177+SUM(N168:O168)+SUM(N198:O198)+SUM(N199:O199)+SUM(N197:O197))))</f>
        <v>0.825419025706721</v>
      </c>
      <c r="N213" s="73" t="n">
        <f aca="false">IF((N177+SUM(O168:O168)+SUM(O198:O198)+SUM(O199:O199)+SUM(O197:O197))&lt;=0,9.99,MIN(9.99,(N208+SUM(O196:O196)+SUM(O192:O193)+MAX(0,MIN($E$20*AN_cible,Emprunt_max*N210)-N209))/(N177+SUM(O168:O168)+SUM(O198:O198)+SUM(O199:O199)+SUM(O197:O197))))</f>
        <v>0.81122727480887</v>
      </c>
      <c r="O213" s="73" t="n">
        <f aca="false">9.99</f>
        <v>9.99</v>
      </c>
    </row>
    <row r="214" customFormat="false" ht="15" hidden="false" customHeight="false" outlineLevel="0" collapsed="false">
      <c r="B214" s="65" t="s">
        <v>1069</v>
      </c>
      <c r="C214" s="72" t="n">
        <f aca="false">(C180+C181+C182+C183+C188+C189)/C210</f>
        <v>1</v>
      </c>
      <c r="D214" s="72" t="n">
        <f aca="false">(D180+D181+D182+D183+D188+D189)/D210</f>
        <v>1.02360935138212</v>
      </c>
      <c r="E214" s="72" t="n">
        <f aca="false">(E180+E181+E182+E183+E188+E189)/E210</f>
        <v>0.993591330618362</v>
      </c>
      <c r="F214" s="72" t="n">
        <f aca="false">(F180+F181+F182+F183+F188+F189)/F210</f>
        <v>1.01519089063281</v>
      </c>
      <c r="G214" s="72" t="n">
        <f aca="false">(G180+G181+G182+G183+G188+G189)/G210</f>
        <v>0.986201121108067</v>
      </c>
      <c r="H214" s="72" t="n">
        <f aca="false">(H180+H181+H182+H183+H188+H189)/H210</f>
        <v>1.00785165487548</v>
      </c>
      <c r="I214" s="72" t="n">
        <f aca="false">(I180+I181+I182+I183+I188+I189)/I210</f>
        <v>0.979306577916085</v>
      </c>
      <c r="J214" s="72" t="n">
        <f aca="false">(J180+J181+J182+J183+J188+J189)/J210</f>
        <v>1.0015889406223</v>
      </c>
      <c r="K214" s="72" t="n">
        <f aca="false">(K180+K181+K182+K183+K188+K189)/K210</f>
        <v>0.97397026281578</v>
      </c>
      <c r="L214" s="72" t="n">
        <f aca="false">(L180+L181+L182+L183+L188+L189)/L210</f>
        <v>0.947823268017165</v>
      </c>
      <c r="M214" s="72" t="n">
        <f aca="false">(M180+M181+M182+M183+M188+M189)/M210</f>
        <v>0.923054093902567</v>
      </c>
      <c r="N214" s="72" t="n">
        <f aca="false">(N180+N181+N182+N183+N188+N189)/N210</f>
        <v>0.899576217282107</v>
      </c>
      <c r="O214" s="72" t="n">
        <f aca="false">(O180+O181+O182+O183+O188+O189)/O210</f>
        <v>0.877309750081823</v>
      </c>
    </row>
    <row r="215" customFormat="false" ht="15" hidden="false" customHeight="false" outlineLevel="0" collapsed="false">
      <c r="B215" s="65" t="s">
        <v>849</v>
      </c>
      <c r="C215" s="72" t="n">
        <f aca="false">(C210+C209)/C210</f>
        <v>1</v>
      </c>
      <c r="D215" s="72" t="n">
        <f aca="false">(D210+D209)/D210</f>
        <v>1</v>
      </c>
      <c r="E215" s="72" t="n">
        <f aca="false">(E210+E209)/E210</f>
        <v>1</v>
      </c>
      <c r="F215" s="72" t="n">
        <f aca="false">(F210+F209)/F210</f>
        <v>1</v>
      </c>
      <c r="G215" s="72" t="n">
        <f aca="false">(G210+G209)/G210</f>
        <v>1</v>
      </c>
      <c r="H215" s="72" t="n">
        <f aca="false">(H210+H209)/H210</f>
        <v>1</v>
      </c>
      <c r="I215" s="72" t="n">
        <f aca="false">(I210+I209)/I210</f>
        <v>1</v>
      </c>
      <c r="J215" s="72" t="n">
        <f aca="false">(J210+J209)/J210</f>
        <v>1</v>
      </c>
      <c r="K215" s="72" t="n">
        <f aca="false">(K210+K209)/K210</f>
        <v>1</v>
      </c>
      <c r="L215" s="72" t="n">
        <f aca="false">(L210+L209)/L210</f>
        <v>1</v>
      </c>
      <c r="M215" s="72" t="n">
        <f aca="false">(M210+M209)/M210</f>
        <v>1</v>
      </c>
      <c r="N215" s="72" t="n">
        <f aca="false">(N210+N209)/N210</f>
        <v>1</v>
      </c>
      <c r="O215" s="72" t="n">
        <f aca="false">(O210+O209)/O210</f>
        <v>1</v>
      </c>
    </row>
    <row r="216" customFormat="false" ht="15" hidden="false" customHeight="false" outlineLevel="0" collapsed="false">
      <c r="B216" s="65" t="s">
        <v>1070</v>
      </c>
      <c r="C216" s="72" t="n">
        <f aca="false">(C180+C181*MSIG_USD)/C210</f>
        <v>0.25</v>
      </c>
      <c r="D216" s="72" t="n">
        <f aca="false">(D180+D181*MSIG_USD)/D210</f>
        <v>0.269675444832274</v>
      </c>
      <c r="E216" s="72" t="n">
        <f aca="false">(E180+E181*MSIG_USD)/E210</f>
        <v>0.27541785707076</v>
      </c>
      <c r="F216" s="72" t="n">
        <f aca="false">(F180+F181*MSIG_USD)/F210</f>
        <v>0.295628758414858</v>
      </c>
      <c r="G216" s="72" t="n">
        <f aca="false">(G180+G181*MSIG_USD)/G210</f>
        <v>0.301260240286235</v>
      </c>
      <c r="H216" s="72" t="n">
        <f aca="false">(H180+H181*MSIG_USD)/H210</f>
        <v>0.3225047402423</v>
      </c>
      <c r="I216" s="72" t="n">
        <f aca="false">(I180+I181*MSIG_USD)/I210</f>
        <v>0.327814711194842</v>
      </c>
      <c r="J216" s="72" t="n">
        <f aca="false">(J180+J181*MSIG_USD)/J210</f>
        <v>0.350264738598829</v>
      </c>
      <c r="K216" s="72" t="n">
        <f aca="false">(K180+K181*MSIG_USD)/K210</f>
        <v>0.355381594975843</v>
      </c>
      <c r="L216" s="72" t="n">
        <f aca="false">(L180+L181*MSIG_USD)/L210</f>
        <v>0.360397095479821</v>
      </c>
      <c r="M216" s="72" t="n">
        <f aca="false">(M180+M181*MSIG_USD)/M210</f>
        <v>0.365312189541524</v>
      </c>
      <c r="N216" s="72" t="n">
        <f aca="false">(N180+N181*MSIG_USD)/N210</f>
        <v>0.370127717215834</v>
      </c>
      <c r="O216" s="72" t="n">
        <f aca="false">(O180+O181*MSIG_USD)/O210</f>
        <v>0.374844428976344</v>
      </c>
    </row>
    <row r="217" customFormat="false" ht="15" hidden="false" customHeight="false" outlineLevel="0" collapsed="false">
      <c r="B217" s="65" t="s">
        <v>1071</v>
      </c>
      <c r="C217" s="25"/>
      <c r="D217" s="65" t="n">
        <f aca="false">IF(AND($E$9&lt;0.5*Collecte_norm,IF(D161&lt;=$E$11,0,$E$10)&lt;0.5,IF(D161&lt;=4,$E$17,($E$18+$E$19)/2)&lt;0.7),1,0)</f>
        <v>0</v>
      </c>
      <c r="E217" s="65" t="n">
        <f aca="false">IF(AND($E$9&lt;0.5*Collecte_norm,IF(E161&lt;=$E$11,0,$E$10)&lt;0.5,IF(E161&lt;=4,$E$17,($E$18+$E$19)/2)&lt;0.7),1,0)</f>
        <v>0</v>
      </c>
      <c r="F217" s="65" t="n">
        <f aca="false">IF(AND($E$9&lt;0.5*Collecte_norm,IF(F161&lt;=$E$11,0,$E$10)&lt;0.5,IF(F161&lt;=4,$E$17,($E$18+$E$19)/2)&lt;0.7),1,0)</f>
        <v>0</v>
      </c>
      <c r="G217" s="65" t="n">
        <f aca="false">IF(AND($E$9&lt;0.5*Collecte_norm,IF(G161&lt;=$E$11,0,$E$10)&lt;0.5,IF(G161&lt;=4,$E$17,($E$18+$E$19)/2)&lt;0.7),1,0)</f>
        <v>0</v>
      </c>
      <c r="H217" s="65" t="n">
        <f aca="false">IF(AND($E$9&lt;0.5*Collecte_norm,IF(H161&lt;=$E$11,0,$E$10)&lt;0.5,IF(H161&lt;=4,$E$17,($E$18+$E$19)/2)&lt;0.7),1,0)</f>
        <v>0</v>
      </c>
      <c r="I217" s="65" t="n">
        <f aca="false">IF(AND($E$9&lt;0.5*Collecte_norm,IF(I161&lt;=$E$11,0,$E$10)&lt;0.5,IF(I161&lt;=4,$E$17,($E$18+$E$19)/2)&lt;0.7),1,0)</f>
        <v>0</v>
      </c>
      <c r="J217" s="65" t="n">
        <f aca="false">IF(AND($E$9&lt;0.5*Collecte_norm,IF(J161&lt;=$E$11,0,$E$10)&lt;0.5,IF(J161&lt;=4,$E$17,($E$18+$E$19)/2)&lt;0.7),1,0)</f>
        <v>0</v>
      </c>
      <c r="K217" s="65" t="n">
        <f aca="false">IF(AND($E$9&lt;0.5*Collecte_norm,IF(K161&lt;=$E$11,0,$E$10)&lt;0.5,IF(K161&lt;=4,$E$17,($E$18+$E$19)/2)&lt;0.7),1,0)</f>
        <v>0</v>
      </c>
      <c r="L217" s="65" t="n">
        <f aca="false">IF(AND($E$9&lt;0.5*Collecte_norm,IF(L161&lt;=$E$11,0,$E$10)&lt;0.5,IF(L161&lt;=4,$E$17,($E$18+$E$19)/2)&lt;0.7),1,0)</f>
        <v>0</v>
      </c>
      <c r="M217" s="65" t="n">
        <f aca="false">IF(AND($E$9&lt;0.5*Collecte_norm,IF(M161&lt;=$E$11,0,$E$10)&lt;0.5,IF(M161&lt;=4,$E$17,($E$18+$E$19)/2)&lt;0.7),1,0)</f>
        <v>0</v>
      </c>
      <c r="N217" s="65" t="n">
        <f aca="false">IF(AND($E$9&lt;0.5*Collecte_norm,IF(N161&lt;=$E$11,0,$E$10)&lt;0.5,IF(N161&lt;=4,$E$17,($E$18+$E$19)/2)&lt;0.7),1,0)</f>
        <v>0</v>
      </c>
      <c r="O217" s="65" t="n">
        <f aca="false">IF(AND($E$9&lt;0.5*Collecte_norm,IF(O161&lt;=$E$11,0,$E$10)&lt;0.5,IF(O161&lt;=4,$E$17,($E$18+$E$19)/2)&lt;0.7),1,0)</f>
        <v>0</v>
      </c>
    </row>
    <row r="218" customFormat="false" ht="15" hidden="false" customHeight="false" outlineLevel="0" collapsed="false">
      <c r="B218" s="76" t="s">
        <v>1072</v>
      </c>
      <c r="C218" s="76" t="n">
        <v>99</v>
      </c>
      <c r="D218" s="76" t="n">
        <f aca="false">IF(D178=1,D164,99)</f>
        <v>1</v>
      </c>
      <c r="E218" s="76" t="n">
        <f aca="false">IF(E178=1,E164,99)</f>
        <v>99</v>
      </c>
      <c r="F218" s="76" t="n">
        <f aca="false">IF(F178=1,F164,99)</f>
        <v>2</v>
      </c>
      <c r="G218" s="76" t="n">
        <f aca="false">IF(G178=1,G164,99)</f>
        <v>99</v>
      </c>
      <c r="H218" s="76" t="n">
        <f aca="false">IF(H178=1,H164,99)</f>
        <v>3</v>
      </c>
      <c r="I218" s="76" t="n">
        <f aca="false">IF(I178=1,I164,99)</f>
        <v>99</v>
      </c>
      <c r="J218" s="76" t="n">
        <f aca="false">IF(J178=1,J164,99)</f>
        <v>4</v>
      </c>
      <c r="K218" s="76" t="n">
        <f aca="false">IF(K178=1,K164,99)</f>
        <v>99</v>
      </c>
      <c r="L218" s="76" t="n">
        <f aca="false">IF(L178=1,L164,99)</f>
        <v>99</v>
      </c>
      <c r="M218" s="76" t="n">
        <f aca="false">IF(M178=1,M164,99)</f>
        <v>99</v>
      </c>
      <c r="N218" s="76" t="n">
        <f aca="false">IF(N178=1,N164,99)</f>
        <v>99</v>
      </c>
      <c r="O218" s="76" t="n">
        <f aca="false">IF(O178=1,O164,99)</f>
        <v>99</v>
      </c>
    </row>
    <row r="219" customFormat="false" ht="15" hidden="false" customHeight="false" outlineLevel="0" collapsed="false">
      <c r="B219" s="76" t="s">
        <v>1073</v>
      </c>
      <c r="C219" s="76" t="n">
        <v>99</v>
      </c>
      <c r="D219" s="76" t="n">
        <f aca="false">IF(AND(D163=1,D164&gt;MIN($D218:$O218),D177&lt;=0.000001),D164,99)</f>
        <v>99</v>
      </c>
      <c r="E219" s="76" t="n">
        <f aca="false">IF(AND(E163=1,E164&gt;MIN($D218:$O218),E177&lt;=0.000001),E164,99)</f>
        <v>99</v>
      </c>
      <c r="F219" s="76" t="n">
        <f aca="false">IF(AND(F163=1,F164&gt;MIN($D218:$O218),F177&lt;=0.000001),F164,99)</f>
        <v>99</v>
      </c>
      <c r="G219" s="76" t="n">
        <f aca="false">IF(AND(G163=1,G164&gt;MIN($D218:$O218),G177&lt;=0.000001),G164,99)</f>
        <v>99</v>
      </c>
      <c r="H219" s="76" t="n">
        <f aca="false">IF(AND(H163=1,H164&gt;MIN($D218:$O218),H177&lt;=0.000001),H164,99)</f>
        <v>99</v>
      </c>
      <c r="I219" s="76" t="n">
        <f aca="false">IF(AND(I163=1,I164&gt;MIN($D218:$O218),I177&lt;=0.000001),I164,99)</f>
        <v>99</v>
      </c>
      <c r="J219" s="76" t="n">
        <f aca="false">IF(AND(J163=1,J164&gt;MIN($D218:$O218),J177&lt;=0.000001),J164,99)</f>
        <v>99</v>
      </c>
      <c r="K219" s="76" t="n">
        <f aca="false">IF(AND(K163=1,K164&gt;MIN($D218:$O218),K177&lt;=0.000001),K164,99)</f>
        <v>99</v>
      </c>
      <c r="L219" s="76" t="n">
        <f aca="false">IF(AND(L163=1,L164&gt;MIN($D218:$O218),L177&lt;=0.000001),L164,99)</f>
        <v>99</v>
      </c>
      <c r="M219" s="76" t="n">
        <f aca="false">IF(AND(M163=1,M164&gt;MIN($D218:$O218),M177&lt;=0.000001),M164,99)</f>
        <v>99</v>
      </c>
      <c r="N219" s="76" t="n">
        <f aca="false">IF(AND(N163=1,N164&gt;MIN($D218:$O218),N177&lt;=0.000001),N164,99)</f>
        <v>99</v>
      </c>
      <c r="O219" s="76" t="n">
        <f aca="false">IF(AND(O163=1,O164&gt;MIN($D218:$O218),O177&lt;=0.000001),O164,99)</f>
        <v>99</v>
      </c>
    </row>
    <row r="220" customFormat="false" ht="15" hidden="false" customHeight="false" outlineLevel="0" collapsed="false">
      <c r="B220" s="76" t="s">
        <v>1074</v>
      </c>
      <c r="C220" s="76" t="n">
        <v>9999999</v>
      </c>
      <c r="D220" s="76" t="n">
        <f aca="false">IF(D175=1,D162,9999999)</f>
        <v>9999999</v>
      </c>
      <c r="E220" s="76" t="n">
        <f aca="false">IF(E175=1,E162,9999999)</f>
        <v>9999999</v>
      </c>
      <c r="F220" s="76" t="n">
        <f aca="false">IF(F175=1,F162,9999999)</f>
        <v>9999999</v>
      </c>
      <c r="G220" s="76" t="n">
        <f aca="false">IF(G175=1,G162,9999999)</f>
        <v>9999999</v>
      </c>
      <c r="H220" s="76" t="n">
        <f aca="false">IF(H175=1,H162,9999999)</f>
        <v>9999999</v>
      </c>
      <c r="I220" s="76" t="n">
        <f aca="false">IF(I175=1,I162,9999999)</f>
        <v>9999999</v>
      </c>
      <c r="J220" s="76" t="n">
        <f aca="false">IF(J175=1,J162,9999999)</f>
        <v>9999999</v>
      </c>
      <c r="K220" s="76" t="n">
        <f aca="false">IF(K175=1,K162,9999999)</f>
        <v>9999999</v>
      </c>
      <c r="L220" s="77" t="n">
        <f aca="false">IF(L175=1,L162,9999999)</f>
        <v>47848</v>
      </c>
      <c r="M220" s="77" t="n">
        <f aca="false">IF(M175=1,M162,9999999)</f>
        <v>47938</v>
      </c>
      <c r="N220" s="77" t="n">
        <f aca="false">IF(N175=1,N162,9999999)</f>
        <v>48029</v>
      </c>
      <c r="O220" s="77" t="n">
        <f aca="false">IF(O175=1,O162,9999999)</f>
        <v>48121</v>
      </c>
    </row>
    <row r="221" customFormat="false" ht="15" hidden="false" customHeight="false" outlineLevel="0" collapsed="false">
      <c r="B221" s="76" t="s">
        <v>1075</v>
      </c>
      <c r="C221" s="76" t="n">
        <v>9999999</v>
      </c>
      <c r="D221" s="76" t="n">
        <f aca="false">IF(D217=1,D162,9999999)</f>
        <v>9999999</v>
      </c>
      <c r="E221" s="76" t="n">
        <f aca="false">IF(E217=1,E162,9999999)</f>
        <v>9999999</v>
      </c>
      <c r="F221" s="76" t="n">
        <f aca="false">IF(F217=1,F162,9999999)</f>
        <v>9999999</v>
      </c>
      <c r="G221" s="76" t="n">
        <f aca="false">IF(G217=1,G162,9999999)</f>
        <v>9999999</v>
      </c>
      <c r="H221" s="76" t="n">
        <f aca="false">IF(H217=1,H162,9999999)</f>
        <v>9999999</v>
      </c>
      <c r="I221" s="76" t="n">
        <f aca="false">IF(I217=1,I162,9999999)</f>
        <v>9999999</v>
      </c>
      <c r="J221" s="76" t="n">
        <f aca="false">IF(J217=1,J162,9999999)</f>
        <v>9999999</v>
      </c>
      <c r="K221" s="76" t="n">
        <f aca="false">IF(K217=1,K162,9999999)</f>
        <v>9999999</v>
      </c>
      <c r="L221" s="76" t="n">
        <f aca="false">IF(L217=1,L162,9999999)</f>
        <v>9999999</v>
      </c>
      <c r="M221" s="76" t="n">
        <f aca="false">IF(M217=1,M162,9999999)</f>
        <v>9999999</v>
      </c>
      <c r="N221" s="76" t="n">
        <f aca="false">IF(N217=1,N162,9999999)</f>
        <v>9999999</v>
      </c>
      <c r="O221" s="76" t="n">
        <f aca="false">IF(O217=1,O162,9999999)</f>
        <v>9999999</v>
      </c>
    </row>
    <row r="226" customFormat="false" ht="15" hidden="false" customHeight="false" outlineLevel="0" collapsed="false">
      <c r="B226" s="45" t="str">
        <f aca="false">F$5</f>
        <v>Concentration : sortie des cinq premiers porteurs</v>
      </c>
      <c r="C226" s="45" t="s">
        <v>55</v>
      </c>
      <c r="D226" s="45" t="n">
        <v>4</v>
      </c>
      <c r="E226" s="2"/>
      <c r="F226" s="2"/>
      <c r="G226" s="2"/>
      <c r="H226" s="2"/>
      <c r="I226" s="2"/>
      <c r="J226" s="2"/>
      <c r="K226" s="2"/>
      <c r="L226" s="2"/>
      <c r="M226" s="2"/>
      <c r="N226" s="2"/>
      <c r="O226" s="2"/>
    </row>
    <row r="227" customFormat="false" ht="15" hidden="false" customHeight="false" outlineLevel="0" collapsed="false">
      <c r="B227" s="65" t="s">
        <v>1019</v>
      </c>
      <c r="C227" s="65" t="n">
        <v>0</v>
      </c>
      <c r="D227" s="65" t="n">
        <v>1</v>
      </c>
      <c r="E227" s="65" t="n">
        <v>2</v>
      </c>
      <c r="F227" s="65" t="n">
        <v>3</v>
      </c>
      <c r="G227" s="65" t="n">
        <v>4</v>
      </c>
      <c r="H227" s="65" t="n">
        <v>5</v>
      </c>
      <c r="I227" s="65" t="n">
        <v>6</v>
      </c>
      <c r="J227" s="65" t="n">
        <v>7</v>
      </c>
      <c r="K227" s="65" t="n">
        <v>8</v>
      </c>
      <c r="L227" s="65" t="n">
        <v>9</v>
      </c>
      <c r="M227" s="65" t="n">
        <v>10</v>
      </c>
      <c r="N227" s="65" t="n">
        <v>11</v>
      </c>
      <c r="O227" s="65" t="n">
        <v>12</v>
      </c>
    </row>
    <row r="228" customFormat="false" ht="15" hidden="false" customHeight="false" outlineLevel="0" collapsed="false">
      <c r="B228" s="65" t="s">
        <v>209</v>
      </c>
      <c r="C228" s="71" t="n">
        <f aca="false">Date_depart</f>
        <v>47026</v>
      </c>
      <c r="D228" s="71" t="n">
        <f aca="false">EOMONTH(Date_depart,3*D227)</f>
        <v>47118</v>
      </c>
      <c r="E228" s="71" t="n">
        <f aca="false">EOMONTH(Date_depart,3*E227)</f>
        <v>47208</v>
      </c>
      <c r="F228" s="71" t="n">
        <f aca="false">EOMONTH(Date_depart,3*F227)</f>
        <v>47299</v>
      </c>
      <c r="G228" s="71" t="n">
        <f aca="false">EOMONTH(Date_depart,3*G227)</f>
        <v>47391</v>
      </c>
      <c r="H228" s="71" t="n">
        <f aca="false">EOMONTH(Date_depart,3*H227)</f>
        <v>47483</v>
      </c>
      <c r="I228" s="71" t="n">
        <f aca="false">EOMONTH(Date_depart,3*I227)</f>
        <v>47573</v>
      </c>
      <c r="J228" s="71" t="n">
        <f aca="false">EOMONTH(Date_depart,3*J227)</f>
        <v>47664</v>
      </c>
      <c r="K228" s="71" t="n">
        <f aca="false">EOMONTH(Date_depart,3*K227)</f>
        <v>47756</v>
      </c>
      <c r="L228" s="71" t="n">
        <f aca="false">EOMONTH(Date_depart,3*L227)</f>
        <v>47848</v>
      </c>
      <c r="M228" s="71" t="n">
        <f aca="false">EOMONTH(Date_depart,3*M227)</f>
        <v>47938</v>
      </c>
      <c r="N228" s="71" t="n">
        <f aca="false">EOMONTH(Date_depart,3*N227)</f>
        <v>48029</v>
      </c>
      <c r="O228" s="71" t="n">
        <f aca="false">EOMONTH(Date_depart,3*O227)</f>
        <v>48121</v>
      </c>
    </row>
    <row r="229" customFormat="false" ht="15" hidden="false" customHeight="false" outlineLevel="0" collapsed="false">
      <c r="B229" s="65" t="s">
        <v>1020</v>
      </c>
      <c r="C229" s="65" t="n">
        <v>0</v>
      </c>
      <c r="D229" s="65" t="n">
        <f aca="false">IF(OR(MONTH(D228)=6,MONTH(D228)=12),1,0)</f>
        <v>1</v>
      </c>
      <c r="E229" s="65" t="n">
        <f aca="false">IF(OR(MONTH(E228)=6,MONTH(E228)=12),1,0)</f>
        <v>0</v>
      </c>
      <c r="F229" s="65" t="n">
        <f aca="false">IF(OR(MONTH(F228)=6,MONTH(F228)=12),1,0)</f>
        <v>1</v>
      </c>
      <c r="G229" s="65" t="n">
        <f aca="false">IF(OR(MONTH(G228)=6,MONTH(G228)=12),1,0)</f>
        <v>0</v>
      </c>
      <c r="H229" s="65" t="n">
        <f aca="false">IF(OR(MONTH(H228)=6,MONTH(H228)=12),1,0)</f>
        <v>1</v>
      </c>
      <c r="I229" s="65" t="n">
        <f aca="false">IF(OR(MONTH(I228)=6,MONTH(I228)=12),1,0)</f>
        <v>0</v>
      </c>
      <c r="J229" s="65" t="n">
        <f aca="false">IF(OR(MONTH(J228)=6,MONTH(J228)=12),1,0)</f>
        <v>1</v>
      </c>
      <c r="K229" s="65" t="n">
        <f aca="false">IF(OR(MONTH(K228)=6,MONTH(K228)=12),1,0)</f>
        <v>0</v>
      </c>
      <c r="L229" s="65" t="n">
        <f aca="false">IF(OR(MONTH(L228)=6,MONTH(L228)=12),1,0)</f>
        <v>1</v>
      </c>
      <c r="M229" s="65" t="n">
        <f aca="false">IF(OR(MONTH(M228)=6,MONTH(M228)=12),1,0)</f>
        <v>0</v>
      </c>
      <c r="N229" s="65" t="n">
        <f aca="false">IF(OR(MONTH(N228)=6,MONTH(N228)=12),1,0)</f>
        <v>1</v>
      </c>
      <c r="O229" s="65" t="n">
        <f aca="false">IF(OR(MONTH(O228)=6,MONTH(O228)=12),1,0)</f>
        <v>0</v>
      </c>
    </row>
    <row r="230" customFormat="false" ht="15" hidden="false" customHeight="false" outlineLevel="0" collapsed="false">
      <c r="B230" s="65" t="s">
        <v>1021</v>
      </c>
      <c r="C230" s="65" t="n">
        <v>0</v>
      </c>
      <c r="D230" s="65" t="n">
        <f aca="false">C230+D229</f>
        <v>1</v>
      </c>
      <c r="E230" s="65" t="n">
        <f aca="false">D230+E229</f>
        <v>1</v>
      </c>
      <c r="F230" s="65" t="n">
        <f aca="false">E230+F229</f>
        <v>2</v>
      </c>
      <c r="G230" s="65" t="n">
        <f aca="false">F230+G229</f>
        <v>2</v>
      </c>
      <c r="H230" s="65" t="n">
        <f aca="false">G230+H229</f>
        <v>3</v>
      </c>
      <c r="I230" s="65" t="n">
        <f aca="false">H230+I229</f>
        <v>3</v>
      </c>
      <c r="J230" s="65" t="n">
        <f aca="false">I230+J229</f>
        <v>4</v>
      </c>
      <c r="K230" s="65" t="n">
        <f aca="false">J230+K229</f>
        <v>4</v>
      </c>
      <c r="L230" s="65" t="n">
        <f aca="false">K230+L229</f>
        <v>5</v>
      </c>
      <c r="M230" s="65" t="n">
        <f aca="false">L230+M229</f>
        <v>5</v>
      </c>
      <c r="N230" s="65" t="n">
        <f aca="false">M230+N229</f>
        <v>6</v>
      </c>
      <c r="O230" s="65" t="n">
        <f aca="false">N230+O229</f>
        <v>6</v>
      </c>
    </row>
    <row r="231" customFormat="false" ht="15" hidden="false" customHeight="false" outlineLevel="0" collapsed="false">
      <c r="B231" s="65" t="s">
        <v>1022</v>
      </c>
      <c r="C231" s="25"/>
      <c r="D231" s="72" t="n">
        <f aca="false">IF(D229=1,IF(C241=1,0,IF(D230=1,$F$6,IF(D230=2,$F$7,$F$8))),0)</f>
        <v>0.37</v>
      </c>
      <c r="E231" s="72" t="n">
        <f aca="false">IF(E229=1,IF(D241=1,0,IF(E230=1,$F$6,IF(E230=2,$F$7,$F$8))),0)</f>
        <v>0</v>
      </c>
      <c r="F231" s="72" t="n">
        <f aca="false">IF(F229=1,IF(E241=1,0,IF(F230=1,$F$6,IF(F230=2,$F$7,$F$8))),0)</f>
        <v>0.02</v>
      </c>
      <c r="G231" s="72" t="n">
        <f aca="false">IF(G229=1,IF(F241=1,0,IF(G230=1,$F$6,IF(G230=2,$F$7,$F$8))),0)</f>
        <v>0</v>
      </c>
      <c r="H231" s="72" t="n">
        <f aca="false">IF(H229=1,IF(G241=1,0,IF(H230=1,$F$6,IF(H230=2,$F$7,$F$8))),0)</f>
        <v>0.02</v>
      </c>
      <c r="I231" s="72" t="n">
        <f aca="false">IF(I229=1,IF(H241=1,0,IF(I230=1,$F$6,IF(I230=2,$F$7,$F$8))),0)</f>
        <v>0</v>
      </c>
      <c r="J231" s="72" t="n">
        <f aca="false">IF(J229=1,IF(I241=1,0,IF(J230=1,$F$6,IF(J230=2,$F$7,$F$8))),0)</f>
        <v>0.02</v>
      </c>
      <c r="K231" s="72" t="n">
        <f aca="false">IF(K229=1,IF(J241=1,0,IF(K230=1,$F$6,IF(K230=2,$F$7,$F$8))),0)</f>
        <v>0</v>
      </c>
      <c r="L231" s="72" t="n">
        <f aca="false">IF(L229=1,IF(K241=1,0,IF(L230=1,$F$6,IF(L230=2,$F$7,$F$8))),0)</f>
        <v>0.02</v>
      </c>
      <c r="M231" s="72" t="n">
        <f aca="false">IF(M229=1,IF(L241=1,0,IF(M230=1,$F$6,IF(M230=2,$F$7,$F$8))),0)</f>
        <v>0</v>
      </c>
      <c r="N231" s="72" t="n">
        <f aca="false">IF(N229=1,IF(M241=1,0,IF(N230=1,$F$6,IF(N230=2,$F$7,$F$8))),0)</f>
        <v>0</v>
      </c>
      <c r="O231" s="72" t="n">
        <f aca="false">IF(O229=1,IF(N241=1,0,IF(O230=1,$F$6,IF(O230=2,$F$7,$F$8))),0)</f>
        <v>0</v>
      </c>
    </row>
    <row r="232" customFormat="false" ht="15" hidden="false" customHeight="false" outlineLevel="0" collapsed="false">
      <c r="B232" s="65" t="s">
        <v>1023</v>
      </c>
      <c r="C232" s="25"/>
      <c r="D232" s="73" t="n">
        <f aca="false">C276</f>
        <v>50000000</v>
      </c>
      <c r="E232" s="73" t="n">
        <f aca="false">D276</f>
        <v>48100643.75</v>
      </c>
      <c r="F232" s="73" t="n">
        <f aca="false">E276</f>
        <v>48823151.7132813</v>
      </c>
      <c r="G232" s="73" t="n">
        <f aca="false">F276</f>
        <v>47105173.9904901</v>
      </c>
      <c r="H232" s="73" t="n">
        <f aca="false">G276</f>
        <v>47826489.4455393</v>
      </c>
      <c r="I232" s="73" t="n">
        <f aca="false">H276</f>
        <v>46183889.2303444</v>
      </c>
      <c r="J232" s="73" t="n">
        <f aca="false">I276</f>
        <v>46930729.0550004</v>
      </c>
      <c r="K232" s="73" t="n">
        <f aca="false">J276</f>
        <v>45332651.4154555</v>
      </c>
      <c r="L232" s="73" t="n">
        <f aca="false">K276</f>
        <v>46080299.0246774</v>
      </c>
      <c r="M232" s="73" t="n">
        <f aca="false">L276</f>
        <v>46830553.4993366</v>
      </c>
      <c r="N232" s="73" t="n">
        <f aca="false">M276</f>
        <v>47583889.5702456</v>
      </c>
      <c r="O232" s="73" t="n">
        <f aca="false">N276</f>
        <v>48340768.6984106</v>
      </c>
    </row>
    <row r="233" customFormat="false" ht="15" hidden="false" customHeight="false" outlineLevel="0" collapsed="false">
      <c r="B233" s="65" t="s">
        <v>177</v>
      </c>
      <c r="C233" s="25"/>
      <c r="D233" s="73" t="n">
        <f aca="false">IF(C241=1,0,$F$9*D232)</f>
        <v>0</v>
      </c>
      <c r="E233" s="73" t="n">
        <f aca="false">IF(D241=1,0,$F$9*E232)</f>
        <v>0</v>
      </c>
      <c r="F233" s="73" t="n">
        <f aca="false">IF(E241=1,0,$F$9*F232)</f>
        <v>0</v>
      </c>
      <c r="G233" s="73" t="n">
        <f aca="false">IF(F241=1,0,$F$9*G232)</f>
        <v>0</v>
      </c>
      <c r="H233" s="73" t="n">
        <f aca="false">IF(G241=1,0,$F$9*H232)</f>
        <v>0</v>
      </c>
      <c r="I233" s="73" t="n">
        <f aca="false">IF(H241=1,0,$F$9*I232)</f>
        <v>0</v>
      </c>
      <c r="J233" s="73" t="n">
        <f aca="false">IF(I241=1,0,$F$9*J232)</f>
        <v>0</v>
      </c>
      <c r="K233" s="73" t="n">
        <f aca="false">IF(J241=1,0,$F$9*K232)</f>
        <v>0</v>
      </c>
      <c r="L233" s="73" t="n">
        <f aca="false">IF(K241=1,0,$F$9*L232)</f>
        <v>0</v>
      </c>
      <c r="M233" s="73" t="n">
        <f aca="false">IF(L241=1,0,$F$9*M232)</f>
        <v>0</v>
      </c>
      <c r="N233" s="73" t="n">
        <f aca="false">IF(M241=1,0,$F$9*N232)</f>
        <v>0</v>
      </c>
      <c r="O233" s="73" t="n">
        <f aca="false">IF(N241=1,0,$F$9*O232)</f>
        <v>0</v>
      </c>
    </row>
    <row r="234" customFormat="false" ht="15" hidden="false" customHeight="false" outlineLevel="0" collapsed="false">
      <c r="B234" s="65" t="s">
        <v>1024</v>
      </c>
      <c r="C234" s="25"/>
      <c r="D234" s="73" t="n">
        <f aca="false">D231*D232</f>
        <v>18500000</v>
      </c>
      <c r="E234" s="73" t="n">
        <f aca="false">E231*E232</f>
        <v>0</v>
      </c>
      <c r="F234" s="73" t="n">
        <f aca="false">F231*F232</f>
        <v>976463.034265625</v>
      </c>
      <c r="G234" s="73" t="n">
        <f aca="false">G231*G232</f>
        <v>0</v>
      </c>
      <c r="H234" s="73" t="n">
        <f aca="false">H231*H232</f>
        <v>956529.788910786</v>
      </c>
      <c r="I234" s="73" t="n">
        <f aca="false">I231*I232</f>
        <v>0</v>
      </c>
      <c r="J234" s="73" t="n">
        <f aca="false">J231*J232</f>
        <v>938614.581100009</v>
      </c>
      <c r="K234" s="73" t="n">
        <f aca="false">K231*K232</f>
        <v>0</v>
      </c>
      <c r="L234" s="73" t="n">
        <f aca="false">L231*L232</f>
        <v>921605.980493548</v>
      </c>
      <c r="M234" s="73" t="n">
        <f aca="false">M231*M232</f>
        <v>0</v>
      </c>
      <c r="N234" s="73" t="n">
        <f aca="false">N231*N232</f>
        <v>0</v>
      </c>
      <c r="O234" s="73" t="n">
        <f aca="false">O231*O232</f>
        <v>0</v>
      </c>
    </row>
    <row r="235" customFormat="false" ht="15" hidden="false" customHeight="false" outlineLevel="0" collapsed="false">
      <c r="B235" s="65" t="s">
        <v>1025</v>
      </c>
      <c r="C235" s="25"/>
      <c r="D235" s="73" t="n">
        <f aca="false">C243</f>
        <v>0</v>
      </c>
      <c r="E235" s="73" t="n">
        <f aca="false">D243</f>
        <v>16000000</v>
      </c>
      <c r="F235" s="73" t="n">
        <f aca="false">E243</f>
        <v>16000000</v>
      </c>
      <c r="G235" s="73" t="n">
        <f aca="false">F243</f>
        <v>14535305.4486016</v>
      </c>
      <c r="H235" s="73" t="n">
        <f aca="false">G243</f>
        <v>14535305.4486016</v>
      </c>
      <c r="I235" s="73" t="n">
        <f aca="false">H243</f>
        <v>13100510.7652354</v>
      </c>
      <c r="J235" s="73" t="n">
        <f aca="false">I243</f>
        <v>13100510.7652354</v>
      </c>
      <c r="K235" s="73" t="n">
        <f aca="false">J243</f>
        <v>11692588.8935854</v>
      </c>
      <c r="L235" s="73" t="n">
        <f aca="false">K243</f>
        <v>11692588.8935854</v>
      </c>
      <c r="M235" s="73" t="n">
        <f aca="false">L243</f>
        <v>12614194.8740789</v>
      </c>
      <c r="N235" s="73" t="n">
        <f aca="false">M243</f>
        <v>12614194.8740789</v>
      </c>
      <c r="O235" s="73" t="n">
        <f aca="false">N243</f>
        <v>12614194.8740789</v>
      </c>
    </row>
    <row r="236" customFormat="false" ht="15" hidden="false" customHeight="false" outlineLevel="0" collapsed="false">
      <c r="B236" s="65" t="s">
        <v>1026</v>
      </c>
      <c r="C236" s="25"/>
      <c r="D236" s="73" t="n">
        <f aca="false">D234+D235</f>
        <v>18500000</v>
      </c>
      <c r="E236" s="73" t="n">
        <f aca="false">E234+E235</f>
        <v>16000000</v>
      </c>
      <c r="F236" s="73" t="n">
        <f aca="false">F234+F235</f>
        <v>16976463.0342656</v>
      </c>
      <c r="G236" s="73" t="n">
        <f aca="false">G234+G235</f>
        <v>14535305.4486016</v>
      </c>
      <c r="H236" s="73" t="n">
        <f aca="false">H234+H235</f>
        <v>15491835.2375123</v>
      </c>
      <c r="I236" s="73" t="n">
        <f aca="false">I234+I235</f>
        <v>13100510.7652354</v>
      </c>
      <c r="J236" s="73" t="n">
        <f aca="false">J234+J235</f>
        <v>14039125.3463354</v>
      </c>
      <c r="K236" s="73" t="n">
        <f aca="false">K234+K235</f>
        <v>11692588.8935854</v>
      </c>
      <c r="L236" s="73" t="n">
        <f aca="false">L234+L235</f>
        <v>12614194.8740789</v>
      </c>
      <c r="M236" s="73" t="n">
        <f aca="false">M234+M235</f>
        <v>12614194.8740789</v>
      </c>
      <c r="N236" s="73" t="n">
        <f aca="false">N234+N235</f>
        <v>12614194.8740789</v>
      </c>
      <c r="O236" s="73" t="n">
        <f aca="false">O234+O235</f>
        <v>12614194.8740789</v>
      </c>
    </row>
    <row r="237" customFormat="false" ht="15" hidden="false" customHeight="false" outlineLevel="0" collapsed="false">
      <c r="B237" s="65" t="s">
        <v>1027</v>
      </c>
      <c r="C237" s="25"/>
      <c r="D237" s="73" t="n">
        <f aca="false">IF($F$21=1,Gate*D232+D233,D236)</f>
        <v>2500000</v>
      </c>
      <c r="E237" s="73" t="n">
        <f aca="false">IF($F$21=1,Gate*E232+E233,E236)</f>
        <v>2405032.1875</v>
      </c>
      <c r="F237" s="73" t="n">
        <f aca="false">IF($F$21=1,Gate*F232+F233,F236)</f>
        <v>2441157.58566406</v>
      </c>
      <c r="G237" s="73" t="n">
        <f aca="false">IF($F$21=1,Gate*G232+G233,G236)</f>
        <v>2355258.6995245</v>
      </c>
      <c r="H237" s="73" t="n">
        <f aca="false">IF($F$21=1,Gate*H232+H233,H236)</f>
        <v>2391324.47227697</v>
      </c>
      <c r="I237" s="73" t="n">
        <f aca="false">IF($F$21=1,Gate*I232+I233,I236)</f>
        <v>2309194.46151722</v>
      </c>
      <c r="J237" s="73" t="n">
        <f aca="false">IF($F$21=1,Gate*J232+J233,J236)</f>
        <v>2346536.45275002</v>
      </c>
      <c r="K237" s="73" t="n">
        <f aca="false">IF($F$21=1,Gate*K232+K233,K236)</f>
        <v>2266632.57077278</v>
      </c>
      <c r="L237" s="73" t="n">
        <f aca="false">IF($F$21=1,Gate*L232+L233,L236)</f>
        <v>2304014.95123387</v>
      </c>
      <c r="M237" s="73" t="n">
        <f aca="false">IF($F$21=1,Gate*M232+M233,M236)</f>
        <v>2341527.67496683</v>
      </c>
      <c r="N237" s="73" t="n">
        <f aca="false">IF($F$21=1,Gate*N232+N233,N236)</f>
        <v>2379194.47851228</v>
      </c>
      <c r="O237" s="73" t="n">
        <f aca="false">IF($F$21=1,Gate*O232+O233,O236)</f>
        <v>2417038.43492053</v>
      </c>
    </row>
    <row r="238" customFormat="false" ht="15" hidden="false" customHeight="false" outlineLevel="0" collapsed="false">
      <c r="B238" s="65" t="s">
        <v>1028</v>
      </c>
      <c r="C238" s="25"/>
      <c r="D238" s="73" t="n">
        <f aca="false">IF(D229=1,MIN(D236,D237),0)</f>
        <v>2500000</v>
      </c>
      <c r="E238" s="73" t="n">
        <f aca="false">IF(E229=1,MIN(E236,E237),0)</f>
        <v>0</v>
      </c>
      <c r="F238" s="73" t="n">
        <f aca="false">IF(F229=1,MIN(F236,F237),0)</f>
        <v>2441157.58566406</v>
      </c>
      <c r="G238" s="73" t="n">
        <f aca="false">IF(G229=1,MIN(G236,G237),0)</f>
        <v>0</v>
      </c>
      <c r="H238" s="73" t="n">
        <f aca="false">IF(H229=1,MIN(H236,H237),0)</f>
        <v>2391324.47227697</v>
      </c>
      <c r="I238" s="73" t="n">
        <f aca="false">IF(I229=1,MIN(I236,I237),0)</f>
        <v>0</v>
      </c>
      <c r="J238" s="73" t="n">
        <f aca="false">IF(J229=1,MIN(J236,J237),0)</f>
        <v>2346536.45275002</v>
      </c>
      <c r="K238" s="73" t="n">
        <f aca="false">IF(K229=1,MIN(K236,K237),0)</f>
        <v>0</v>
      </c>
      <c r="L238" s="73" t="n">
        <f aca="false">IF(L229=1,MIN(L236,L237),0)</f>
        <v>2304014.95123387</v>
      </c>
      <c r="M238" s="73" t="n">
        <f aca="false">IF(M229=1,MIN(M236,M237),0)</f>
        <v>0</v>
      </c>
      <c r="N238" s="73" t="n">
        <f aca="false">IF(N229=1,MIN(N236,N237),0)</f>
        <v>2379194.47851228</v>
      </c>
      <c r="O238" s="73" t="n">
        <f aca="false">IF(O229=1,MIN(O236,O237),0)</f>
        <v>0</v>
      </c>
    </row>
    <row r="239" customFormat="false" ht="15" hidden="false" customHeight="false" outlineLevel="0" collapsed="false">
      <c r="B239" s="65" t="s">
        <v>1029</v>
      </c>
      <c r="C239" s="25"/>
      <c r="D239" s="73" t="n">
        <f aca="false">MAX(0,D267+D258+D259-Poche_min_exec*D232-D238-SUM(E264:F264)+MAX(0,MIN($F$20*AN_cible,Emprunt_max*D232)-C275))</f>
        <v>0</v>
      </c>
      <c r="E239" s="73" t="n">
        <f aca="false">MAX(0,E267+E258+E259-Poche_min_exec*E232-E238-SUM(F264:G264)+MAX(0,MIN($F$20*AN_cible,Emprunt_max*E232)-D275))</f>
        <v>502827.0625</v>
      </c>
      <c r="F239" s="73" t="n">
        <f aca="false">MAX(0,F267+F258+F259-Poche_min_exec*F232-F238-SUM(G264:H264)+MAX(0,MIN($F$20*AN_cible,Emprunt_max*F232)-E275))</f>
        <v>0</v>
      </c>
      <c r="G239" s="73" t="n">
        <f aca="false">MAX(0,G267+G258+G259-Poche_min_exec*G232-G238-SUM(H264:I264)+MAX(0,MIN($F$20*AN_cible,Emprunt_max*G232)-F275))</f>
        <v>0</v>
      </c>
      <c r="H239" s="73" t="n">
        <f aca="false">MAX(0,H267+H258+H259-Poche_min_exec*H232-H238-SUM(I264:J264)+MAX(0,MIN($F$20*AN_cible,Emprunt_max*H232)-G275))</f>
        <v>0</v>
      </c>
      <c r="I239" s="73" t="n">
        <f aca="false">MAX(0,I267+I258+I259-Poche_min_exec*I232-I238-SUM(J264:K264)+MAX(0,MIN($F$20*AN_cible,Emprunt_max*I232)-H275))</f>
        <v>0</v>
      </c>
      <c r="J239" s="73" t="n">
        <f aca="false">MAX(0,J267+J258+J259-Poche_min_exec*J232-J238-SUM(K264:L264)+MAX(0,MIN($F$20*AN_cible,Emprunt_max*J232)-I275))</f>
        <v>0</v>
      </c>
      <c r="K239" s="73" t="n">
        <f aca="false">MAX(0,K267+K258+K259-Poche_min_exec*K232-K238-SUM(L264:M264)+MAX(0,MIN($F$20*AN_cible,Emprunt_max*K232)-J275))</f>
        <v>0</v>
      </c>
      <c r="L239" s="73" t="n">
        <f aca="false">MAX(0,L267+L258+L259-Poche_min_exec*L232-L238-SUM(M264:N264)+MAX(0,MIN($F$20*AN_cible,Emprunt_max*L232)-K275))</f>
        <v>0</v>
      </c>
      <c r="M239" s="73" t="n">
        <f aca="false">MAX(0,M267+M258+M259-Poche_min_exec*M232-M238-SUM(N264:O264)+MAX(0,MIN($F$20*AN_cible,Emprunt_max*M232)-L275))</f>
        <v>0</v>
      </c>
      <c r="N239" s="73" t="n">
        <f aca="false">MAX(0,N267+N258+N259-Poche_min_exec*N232-N238-SUM(O264:O264)+MAX(0,MIN($F$20*AN_cible,Emprunt_max*N232)-M275))</f>
        <v>0</v>
      </c>
      <c r="O239" s="73" t="n">
        <f aca="false">MAX(0,O267+O258+O259-Poche_min_exec*O232-O238-0+MAX(0,MIN($F$20*AN_cible,Emprunt_max*O232)-N275))</f>
        <v>1190215.56571852</v>
      </c>
    </row>
    <row r="240" customFormat="false" ht="15" hidden="false" customHeight="false" outlineLevel="0" collapsed="false">
      <c r="B240" s="65" t="s">
        <v>1030</v>
      </c>
      <c r="C240" s="25"/>
      <c r="D240" s="73" t="n">
        <f aca="false">IF(AND(D229=1,$F$21=1,$F$22=1),MIN(D236-D238,D239),0)</f>
        <v>0</v>
      </c>
      <c r="E240" s="73" t="n">
        <f aca="false">IF(AND(E229=1,$F$21=1,$F$22=1),MIN(E236-E238,E239),0)</f>
        <v>0</v>
      </c>
      <c r="F240" s="73" t="n">
        <f aca="false">IF(AND(F229=1,$F$21=1,$F$22=1),MIN(F236-F238,F239),0)</f>
        <v>0</v>
      </c>
      <c r="G240" s="73" t="n">
        <f aca="false">IF(AND(G229=1,$F$21=1,$F$22=1),MIN(G236-G238,G239),0)</f>
        <v>0</v>
      </c>
      <c r="H240" s="73" t="n">
        <f aca="false">IF(AND(H229=1,$F$21=1,$F$22=1),MIN(H236-H238,H239),0)</f>
        <v>0</v>
      </c>
      <c r="I240" s="73" t="n">
        <f aca="false">IF(AND(I229=1,$F$21=1,$F$22=1),MIN(I236-I238,I239),0)</f>
        <v>0</v>
      </c>
      <c r="J240" s="73" t="n">
        <f aca="false">IF(AND(J229=1,$F$21=1,$F$22=1),MIN(J236-J238,J239),0)</f>
        <v>0</v>
      </c>
      <c r="K240" s="73" t="n">
        <f aca="false">IF(AND(K229=1,$F$21=1,$F$22=1),MIN(K236-K238,K239),0)</f>
        <v>0</v>
      </c>
      <c r="L240" s="73" t="n">
        <f aca="false">IF(AND(L229=1,$F$21=1,$F$22=1),MIN(L236-L238,L239),0)</f>
        <v>0</v>
      </c>
      <c r="M240" s="73" t="n">
        <f aca="false">IF(AND(M229=1,$F$21=1,$F$22=1),MIN(M236-M238,M239),0)</f>
        <v>0</v>
      </c>
      <c r="N240" s="73" t="n">
        <f aca="false">IF(AND(N229=1,$F$21=1,$F$22=1),MIN(N236-N238,N239),0)</f>
        <v>0</v>
      </c>
      <c r="O240" s="73" t="n">
        <f aca="false">IF(AND(O229=1,$F$21=1,$F$22=1),MIN(O236-O238,O239),0)</f>
        <v>0</v>
      </c>
    </row>
    <row r="241" customFormat="false" ht="15" hidden="false" customHeight="false" outlineLevel="0" collapsed="false">
      <c r="B241" s="65" t="s">
        <v>1031</v>
      </c>
      <c r="C241" s="65" t="n">
        <v>0</v>
      </c>
      <c r="D241" s="65" t="n">
        <f aca="false">IF(C241=1,1,IF(AND(D229=1,$F$21=1,C245&gt;=Gate_dates,D236-D238-D240&gt;0.000001),1,0))</f>
        <v>0</v>
      </c>
      <c r="E241" s="65" t="n">
        <f aca="false">IF(D241=1,1,IF(AND(E229=1,$F$21=1,D245&gt;=Gate_dates,E236-E238-E240&gt;0.000001),1,0))</f>
        <v>0</v>
      </c>
      <c r="F241" s="65" t="n">
        <f aca="false">IF(E241=1,1,IF(AND(F229=1,$F$21=1,E245&gt;=Gate_dates,F236-F238-F240&gt;0.000001),1,0))</f>
        <v>0</v>
      </c>
      <c r="G241" s="65" t="n">
        <f aca="false">IF(F241=1,1,IF(AND(G229=1,$F$21=1,F245&gt;=Gate_dates,G236-G238-G240&gt;0.000001),1,0))</f>
        <v>0</v>
      </c>
      <c r="H241" s="65" t="n">
        <f aca="false">IF(G241=1,1,IF(AND(H229=1,$F$21=1,G245&gt;=Gate_dates,H236-H238-H240&gt;0.000001),1,0))</f>
        <v>0</v>
      </c>
      <c r="I241" s="65" t="n">
        <f aca="false">IF(H241=1,1,IF(AND(I229=1,$F$21=1,H245&gt;=Gate_dates,I236-I238-I240&gt;0.000001),1,0))</f>
        <v>0</v>
      </c>
      <c r="J241" s="65" t="n">
        <f aca="false">IF(I241=1,1,IF(AND(J229=1,$F$21=1,I245&gt;=Gate_dates,J236-J238-J240&gt;0.000001),1,0))</f>
        <v>0</v>
      </c>
      <c r="K241" s="65" t="n">
        <f aca="false">IF(J241=1,1,IF(AND(K229=1,$F$21=1,J245&gt;=Gate_dates,K236-K238-K240&gt;0.000001),1,0))</f>
        <v>0</v>
      </c>
      <c r="L241" s="65" t="n">
        <f aca="false">IF(K241=1,1,IF(AND(L229=1,$F$21=1,K245&gt;=Gate_dates,L236-L238-L240&gt;0.000001),1,0))</f>
        <v>1</v>
      </c>
      <c r="M241" s="65" t="n">
        <f aca="false">IF(L241=1,1,IF(AND(M229=1,$F$21=1,L245&gt;=Gate_dates,M236-M238-M240&gt;0.000001),1,0))</f>
        <v>1</v>
      </c>
      <c r="N241" s="65" t="n">
        <f aca="false">IF(M241=1,1,IF(AND(N229=1,$F$21=1,M245&gt;=Gate_dates,N236-N238-N240&gt;0.000001),1,0))</f>
        <v>1</v>
      </c>
      <c r="O241" s="65" t="n">
        <f aca="false">IF(N241=1,1,IF(AND(O229=1,$F$21=1,N245&gt;=Gate_dates,O236-O238-O240&gt;0.000001),1,0))</f>
        <v>1</v>
      </c>
    </row>
    <row r="242" customFormat="false" ht="15" hidden="false" customHeight="false" outlineLevel="0" collapsed="false">
      <c r="B242" s="65" t="s">
        <v>1032</v>
      </c>
      <c r="C242" s="25"/>
      <c r="D242" s="73" t="n">
        <f aca="false">IF(D241=1,0,D238+D240)</f>
        <v>2500000</v>
      </c>
      <c r="E242" s="73" t="n">
        <f aca="false">IF(E241=1,0,E238+E240)</f>
        <v>0</v>
      </c>
      <c r="F242" s="73" t="n">
        <f aca="false">IF(F241=1,0,F238+F240)</f>
        <v>2441157.58566406</v>
      </c>
      <c r="G242" s="73" t="n">
        <f aca="false">IF(G241=1,0,G238+G240)</f>
        <v>0</v>
      </c>
      <c r="H242" s="73" t="n">
        <f aca="false">IF(H241=1,0,H238+H240)</f>
        <v>2391324.47227697</v>
      </c>
      <c r="I242" s="73" t="n">
        <f aca="false">IF(I241=1,0,I238+I240)</f>
        <v>0</v>
      </c>
      <c r="J242" s="73" t="n">
        <f aca="false">IF(J241=1,0,J238+J240)</f>
        <v>2346536.45275002</v>
      </c>
      <c r="K242" s="73" t="n">
        <f aca="false">IF(K241=1,0,K238+K240)</f>
        <v>0</v>
      </c>
      <c r="L242" s="73" t="n">
        <f aca="false">IF(L241=1,0,L238+L240)</f>
        <v>0</v>
      </c>
      <c r="M242" s="73" t="n">
        <f aca="false">IF(M241=1,0,M238+M240)</f>
        <v>0</v>
      </c>
      <c r="N242" s="73" t="n">
        <f aca="false">IF(N241=1,0,N238+N240)</f>
        <v>0</v>
      </c>
      <c r="O242" s="73" t="n">
        <f aca="false">IF(O241=1,0,O238+O240)</f>
        <v>0</v>
      </c>
    </row>
    <row r="243" customFormat="false" ht="15" hidden="false" customHeight="false" outlineLevel="0" collapsed="false">
      <c r="B243" s="65" t="s">
        <v>1033</v>
      </c>
      <c r="C243" s="73" t="n">
        <v>0</v>
      </c>
      <c r="D243" s="73" t="n">
        <f aca="false">D236-D242</f>
        <v>16000000</v>
      </c>
      <c r="E243" s="73" t="n">
        <f aca="false">E236-E242</f>
        <v>16000000</v>
      </c>
      <c r="F243" s="73" t="n">
        <f aca="false">F236-F242</f>
        <v>14535305.4486016</v>
      </c>
      <c r="G243" s="73" t="n">
        <f aca="false">G236-G242</f>
        <v>14535305.4486016</v>
      </c>
      <c r="H243" s="73" t="n">
        <f aca="false">H236-H242</f>
        <v>13100510.7652354</v>
      </c>
      <c r="I243" s="73" t="n">
        <f aca="false">I236-I242</f>
        <v>13100510.7652354</v>
      </c>
      <c r="J243" s="73" t="n">
        <f aca="false">J236-J242</f>
        <v>11692588.8935854</v>
      </c>
      <c r="K243" s="73" t="n">
        <f aca="false">K236-K242</f>
        <v>11692588.8935854</v>
      </c>
      <c r="L243" s="73" t="n">
        <f aca="false">L236-L242</f>
        <v>12614194.8740789</v>
      </c>
      <c r="M243" s="73" t="n">
        <f aca="false">M236-M242</f>
        <v>12614194.8740789</v>
      </c>
      <c r="N243" s="73" t="n">
        <f aca="false">N236-N242</f>
        <v>12614194.8740789</v>
      </c>
      <c r="O243" s="73" t="n">
        <f aca="false">O236-O242</f>
        <v>12614194.8740789</v>
      </c>
    </row>
    <row r="244" customFormat="false" ht="15" hidden="false" customHeight="false" outlineLevel="0" collapsed="false">
      <c r="B244" s="65" t="s">
        <v>1034</v>
      </c>
      <c r="C244" s="25"/>
      <c r="D244" s="65" t="n">
        <f aca="false">IF(AND(D229=1,D241=0,D243&gt;0.000001),1,0)</f>
        <v>1</v>
      </c>
      <c r="E244" s="65" t="n">
        <f aca="false">IF(AND(E229=1,E241=0,E243&gt;0.000001),1,0)</f>
        <v>0</v>
      </c>
      <c r="F244" s="65" t="n">
        <f aca="false">IF(AND(F229=1,F241=0,F243&gt;0.000001),1,0)</f>
        <v>1</v>
      </c>
      <c r="G244" s="65" t="n">
        <f aca="false">IF(AND(G229=1,G241=0,G243&gt;0.000001),1,0)</f>
        <v>0</v>
      </c>
      <c r="H244" s="65" t="n">
        <f aca="false">IF(AND(H229=1,H241=0,H243&gt;0.000001),1,0)</f>
        <v>1</v>
      </c>
      <c r="I244" s="65" t="n">
        <f aca="false">IF(AND(I229=1,I241=0,I243&gt;0.000001),1,0)</f>
        <v>0</v>
      </c>
      <c r="J244" s="65" t="n">
        <f aca="false">IF(AND(J229=1,J241=0,J243&gt;0.000001),1,0)</f>
        <v>1</v>
      </c>
      <c r="K244" s="65" t="n">
        <f aca="false">IF(AND(K229=1,K241=0,K243&gt;0.000001),1,0)</f>
        <v>0</v>
      </c>
      <c r="L244" s="65" t="n">
        <f aca="false">IF(AND(L229=1,L241=0,L243&gt;0.000001),1,0)</f>
        <v>0</v>
      </c>
      <c r="M244" s="65" t="n">
        <f aca="false">IF(AND(M229=1,M241=0,M243&gt;0.000001),1,0)</f>
        <v>0</v>
      </c>
      <c r="N244" s="65" t="n">
        <f aca="false">IF(AND(N229=1,N241=0,N243&gt;0.000001),1,0)</f>
        <v>0</v>
      </c>
      <c r="O244" s="65" t="n">
        <f aca="false">IF(AND(O229=1,O241=0,O243&gt;0.000001),1,0)</f>
        <v>0</v>
      </c>
    </row>
    <row r="245" customFormat="false" ht="15" hidden="false" customHeight="false" outlineLevel="0" collapsed="false">
      <c r="B245" s="65" t="s">
        <v>843</v>
      </c>
      <c r="C245" s="65" t="n">
        <v>0</v>
      </c>
      <c r="D245" s="65" t="n">
        <f aca="false">IF(D229=1,IF(D244=1,C245+1,0),C245)</f>
        <v>1</v>
      </c>
      <c r="E245" s="65" t="n">
        <f aca="false">IF(E229=1,IF(E244=1,D245+1,0),D245)</f>
        <v>1</v>
      </c>
      <c r="F245" s="65" t="n">
        <f aca="false">IF(F229=1,IF(F244=1,E245+1,0),E245)</f>
        <v>2</v>
      </c>
      <c r="G245" s="65" t="n">
        <f aca="false">IF(G229=1,IF(G244=1,F245+1,0),F245)</f>
        <v>2</v>
      </c>
      <c r="H245" s="65" t="n">
        <f aca="false">IF(H229=1,IF(H244=1,G245+1,0),G245)</f>
        <v>3</v>
      </c>
      <c r="I245" s="65" t="n">
        <f aca="false">IF(I229=1,IF(I244=1,H245+1,0),H245)</f>
        <v>3</v>
      </c>
      <c r="J245" s="65" t="n">
        <f aca="false">IF(J229=1,IF(J244=1,I245+1,0),I245)</f>
        <v>4</v>
      </c>
      <c r="K245" s="65" t="n">
        <f aca="false">IF(K229=1,IF(K244=1,J245+1,0),J245)</f>
        <v>4</v>
      </c>
      <c r="L245" s="65" t="n">
        <f aca="false">IF(L229=1,IF(L244=1,K245+1,0),K245)</f>
        <v>0</v>
      </c>
      <c r="M245" s="65" t="n">
        <f aca="false">IF(M229=1,IF(M244=1,L245+1,0),L245)</f>
        <v>0</v>
      </c>
      <c r="N245" s="65" t="n">
        <f aca="false">IF(N229=1,IF(N244=1,M245+1,0),M245)</f>
        <v>0</v>
      </c>
      <c r="O245" s="65" t="n">
        <f aca="false">IF(O229=1,IF(O244=1,N245+1,0),N245)</f>
        <v>0</v>
      </c>
    </row>
    <row r="246" customFormat="false" ht="15" hidden="false" customHeight="false" outlineLevel="0" collapsed="false">
      <c r="B246" s="65" t="s">
        <v>1035</v>
      </c>
      <c r="C246" s="73" t="n">
        <f aca="false">AN_cible*Ws_MAPIF</f>
        <v>12500000</v>
      </c>
      <c r="D246" s="73" t="n">
        <f aca="false">C246*(1+Rend_MAPIF/4)*IF(D227=1,(1-(Cap_MAPIF*$F$15+(1-Cap_MAPIF)*$F$16))*(1+1*$F$14),1)+D256-D250-D271*IF((C246+C247+C248+C249)&gt;0,C246/(C246+C247+C248+C249),0)</f>
        <v>12971562.5</v>
      </c>
      <c r="E246" s="73" t="n">
        <f aca="false">D246*(1+Rend_MAPIF/4)*IF(E227=1,(1-(Cap_MAPIF*$F$15+(1-Cap_MAPIF)*$F$16))*(1+1*$F$14),1)+E256-E250-E271*IF((D246+D247+D248+D249)&gt;0,D246/(D246+D247+D248+D249),0)</f>
        <v>13446767.8203125</v>
      </c>
      <c r="F246" s="73" t="n">
        <f aca="false">E246*(1+Rend_MAPIF/4)*IF(F227=1,(1-(Cap_MAPIF*$F$15+(1-Cap_MAPIF)*$F$16))*(1+1*$F$14),1)+F256-F250-F271*IF((E246+E247+E248+E249)&gt;0,E246/(E246+E247+E248+E249),0)</f>
        <v>13925644.1017244</v>
      </c>
      <c r="G246" s="73" t="n">
        <f aca="false">F246*(1+Rend_MAPIF/4)*IF(G227=1,(1-(Cap_MAPIF*$F$15+(1-Cap_MAPIF)*$F$16))*(1+1*$F$14),1)+G256-G250-G271*IF((F246+F247+F248+F249)&gt;0,F246/(F246+F247+F248+F249),0)</f>
        <v>14408219.7024102</v>
      </c>
      <c r="H246" s="73" t="n">
        <f aca="false">G246*(1+Rend_MAPIF/4)*IF(H227=1,(1-(Cap_MAPIF*$F$15+(1-Cap_MAPIF)*$F$16))*(1+1*$F$14),1)+H256-H250-H271*IF((G246+G247+G248+G249)&gt;0,G246/(G246+G247+G248+G249),0)</f>
        <v>14894523.1996114</v>
      </c>
      <c r="I246" s="73" t="n">
        <f aca="false">H246*(1+Rend_MAPIF/4)*IF(I227=1,(1-(Cap_MAPIF*$F$15+(1-Cap_MAPIF)*$F$16))*(1+1*$F$14),1)+I256-I250-I271*IF((H246+H247+H248+H249)&gt;0,H246/(H246+H247+H248+H249),0)</f>
        <v>15384583.3913284</v>
      </c>
      <c r="J246" s="73" t="n">
        <f aca="false">I246*(1+Rend_MAPIF/4)*IF(J227=1,(1-(Cap_MAPIF*$F$15+(1-Cap_MAPIF)*$F$16))*(1+1*$F$14),1)+J256-J250-J271*IF((I246+I247+I248+I249)&gt;0,I246/(I246+I247+I248+I249),0)</f>
        <v>15878429.2980264</v>
      </c>
      <c r="K246" s="73" t="n">
        <f aca="false">J246*(1+Rend_MAPIF/4)*IF(K227=1,(1-(Cap_MAPIF*$F$15+(1-Cap_MAPIF)*$F$16))*(1+1*$F$14),1)+K256-K250-K271*IF((J246+J247+J248+J249)&gt;0,J246/(J246+J247+J248+J249),0)</f>
        <v>16376090.1643536</v>
      </c>
      <c r="L246" s="73" t="n">
        <f aca="false">K246*(1+Rend_MAPIF/4)*IF(L227=1,(1-(Cap_MAPIF*$F$15+(1-Cap_MAPIF)*$F$16))*(1+1*$F$14),1)+L256-L250-L271*IF((K246+K247+K248+K249)&gt;0,K246/(K246+K247+K248+K249),0)</f>
        <v>16877595.4608733</v>
      </c>
      <c r="M246" s="73" t="n">
        <f aca="false">L246*(1+Rend_MAPIF/4)*IF(M227=1,(1-(Cap_MAPIF*$F$15+(1-Cap_MAPIF)*$F$16))*(1+1*$F$14),1)+M256-M250-M271*IF((L246+L247+L248+L249)&gt;0,L246/(L246+L247+L248+L249),0)</f>
        <v>17382974.8858085</v>
      </c>
      <c r="N246" s="73" t="n">
        <f aca="false">M246*(1+Rend_MAPIF/4)*IF(N227=1,(1-(Cap_MAPIF*$F$15+(1-Cap_MAPIF)*$F$16))*(1+1*$F$14),1)+N256-N250-N271*IF((M246+M247+M248+M249)&gt;0,M246/(M246+M247+M248+M249),0)</f>
        <v>17892258.3668014</v>
      </c>
      <c r="O246" s="73" t="n">
        <f aca="false">N246*(1+Rend_MAPIF/4)*IF(O227=1,(1-(Cap_MAPIF*$F$15+(1-Cap_MAPIF)*$F$16))*(1+1*$F$14),1)+O256-O250-O271*IF((N246+N247+N248+N249)&gt;0,N246/(N246+N247+N248+N249),0)</f>
        <v>18405476.0626849</v>
      </c>
    </row>
    <row r="247" customFormat="false" ht="15" hidden="false" customHeight="false" outlineLevel="0" collapsed="false">
      <c r="B247" s="65" t="s">
        <v>1036</v>
      </c>
      <c r="C247" s="73" t="n">
        <f aca="false">AN_cible*Ws_MSIG</f>
        <v>5500000</v>
      </c>
      <c r="D247" s="73" t="n">
        <f aca="false">C247*(1+Rend_MSIG/4)*IF(D227=1,(1-(Cap_MSIG*$F$15+(1-Cap_MSIG)*$F$16))*(1+MSIG_USD*$F$14),1)+D257-D251-D271*IF((C246+C247+C248+C249)&gt;0,C247/(C246+C247+C248+C249),0)</f>
        <v>5773237.5</v>
      </c>
      <c r="E247" s="73" t="n">
        <f aca="false">D247*(1+Rend_MSIG/4)*IF(E227=1,(1-(Cap_MSIG*$F$15+(1-Cap_MSIG)*$F$16))*(1+MSIG_USD*$F$14),1)+E257-E251-E271*IF((D246+D247+D248+D249)&gt;0,D247/(D246+D247+D248+D249),0)</f>
        <v>6047629.4284375</v>
      </c>
      <c r="F247" s="73" t="n">
        <f aca="false">E247*(1+Rend_MSIG/4)*IF(F227=1,(1-(Cap_MSIG*$F$15+(1-Cap_MSIG)*$F$16))*(1+MSIG_USD*$F$14),1)+F257-F251-F271*IF((E246+E247+E248+E249)&gt;0,E247/(E246+E247+E248+E249),0)</f>
        <v>6323180.66277265</v>
      </c>
      <c r="G247" s="73" t="n">
        <f aca="false">F247*(1+Rend_MSIG/4)*IF(G227=1,(1-(Cap_MSIG*$F$15+(1-Cap_MSIG)*$F$16))*(1+MSIG_USD*$F$14),1)+G257-G251-G271*IF((F246+F247+F248+F249)&gt;0,F247/(F246+F247+F248+F249),0)</f>
        <v>6599896.10107286</v>
      </c>
      <c r="H247" s="73" t="n">
        <f aca="false">G247*(1+Rend_MSIG/4)*IF(H227=1,(1-(Cap_MSIG*$F$15+(1-Cap_MSIG)*$F$16))*(1+MSIG_USD*$F$14),1)+H257-H251-H271*IF((G246+G247+G248+G249)&gt;0,G247/(G246+G247+G248+G249),0)</f>
        <v>6877780.6620999</v>
      </c>
      <c r="I247" s="73" t="n">
        <f aca="false">H247*(1+Rend_MSIG/4)*IF(I227=1,(1-(Cap_MSIG*$F$15+(1-Cap_MSIG)*$F$16))*(1+MSIG_USD*$F$14),1)+I257-I251-I271*IF((H246+H247+H248+H249)&gt;0,H247/(H246+H247+H248+H249),0)</f>
        <v>7156839.28539727</v>
      </c>
      <c r="J247" s="73" t="n">
        <f aca="false">I247*(1+Rend_MSIG/4)*IF(J227=1,(1-(Cap_MSIG*$F$15+(1-Cap_MSIG)*$F$16))*(1+MSIG_USD*$F$14),1)+J257-J251-J271*IF((I246+I247+I248+I249)&gt;0,I247/(I246+I247+I248+I249),0)</f>
        <v>7437076.93137807</v>
      </c>
      <c r="K247" s="73" t="n">
        <f aca="false">J247*(1+Rend_MSIG/4)*IF(K227=1,(1-(Cap_MSIG*$F$15+(1-Cap_MSIG)*$F$16))*(1+MSIG_USD*$F$14),1)+K257-K251-K271*IF((J246+J247+J248+J249)&gt;0,J247/(J246+J247+J248+J249),0)</f>
        <v>7718498.58141314</v>
      </c>
      <c r="L247" s="73" t="n">
        <f aca="false">K247*(1+Rend_MSIG/4)*IF(L227=1,(1-(Cap_MSIG*$F$15+(1-Cap_MSIG)*$F$16))*(1+MSIG_USD*$F$14),1)+L257-L251-L271*IF((K246+K247+K248+K249)&gt;0,K247/(K246+K247+K248+K249),0)</f>
        <v>8001109.23791962</v>
      </c>
      <c r="M247" s="73" t="n">
        <f aca="false">L247*(1+Rend_MSIG/4)*IF(M227=1,(1-(Cap_MSIG*$F$15+(1-Cap_MSIG)*$F$16))*(1+MSIG_USD*$F$14),1)+M257-M251-M271*IF((L246+L247+L248+L249)&gt;0,L247/(L246+L247+L248+L249),0)</f>
        <v>8284913.92444983</v>
      </c>
      <c r="N247" s="73" t="n">
        <f aca="false">M247*(1+Rend_MSIG/4)*IF(N227=1,(1-(Cap_MSIG*$F$15+(1-Cap_MSIG)*$F$16))*(1+MSIG_USD*$F$14),1)+N257-N251-N271*IF((M246+M247+M248+M249)&gt;0,M247/(M246+M247+M248+M249),0)</f>
        <v>8569917.68578063</v>
      </c>
      <c r="O247" s="73" t="n">
        <f aca="false">N247*(1+Rend_MSIG/4)*IF(O227=1,(1-(Cap_MSIG*$F$15+(1-Cap_MSIG)*$F$16))*(1+MSIG_USD*$F$14),1)+O257-O251-O271*IF((N246+N247+N248+N249)&gt;0,N247/(N246+N247+N248+N249),0)</f>
        <v>8856125.58800305</v>
      </c>
    </row>
    <row r="248" customFormat="false" ht="15" hidden="false" customHeight="false" outlineLevel="0" collapsed="false">
      <c r="B248" s="65" t="s">
        <v>1037</v>
      </c>
      <c r="C248" s="73" t="n">
        <f aca="false">AN_cible*Ws_PG</f>
        <v>12250000</v>
      </c>
      <c r="D248" s="73" t="n">
        <f aca="false">C248*(1+Rend_PG/4)*IF(D227=1,(1-(Cap_PG*$F$15+(1-Cap_PG)*$F$16))*(1+0*$F$14),1)-D252-D268*IF((D258+D259)&gt;0,D258/(D258+D259),0)+D273/2-D271*IF((C246+C247+C248+C249)&gt;0,C248/(C246+C247+C248+C249),0)</f>
        <v>11888931.25</v>
      </c>
      <c r="E248" s="73" t="n">
        <f aca="false">D248*(1+Rend_PG/4)*IF(E227=1,(1-(Cap_PG*$F$15+(1-Cap_PG)*$F$16))*(1+0*$F$14),1)-E252-E268*IF((E258+E259)&gt;0,E258/(E258+E259),0)+E273/2-E271*IF((D246+D247+D248+D249)&gt;0,D248/(D246+D247+D248+D249),0)</f>
        <v>11538505.0014063</v>
      </c>
      <c r="F248" s="73" t="n">
        <f aca="false">E248*(1+Rend_PG/4)*IF(F227=1,(1-(Cap_PG*$F$15+(1-Cap_PG)*$F$16))*(1+0*$F$14),1)-F252-F268*IF((F258+F259)&gt;0,F258/(F258+F259),0)+F273/2-F271*IF((E246+E247+E248+E249)&gt;0,E248/(E246+E247+E248+E249),0)</f>
        <v>11198407.5664898</v>
      </c>
      <c r="G248" s="73" t="n">
        <f aca="false">F248*(1+Rend_PG/4)*IF(G227=1,(1-(Cap_PG*$F$15+(1-Cap_PG)*$F$16))*(1+0*$F$14),1)-G252-G268*IF((G258+G259)&gt;0,G258/(G258+G259),0)+G273/2-G271*IF((F246+F247+F248+F249)&gt;0,F248/(F246+F247+F248+F249),0)</f>
        <v>10868334.5034675</v>
      </c>
      <c r="H248" s="73" t="n">
        <f aca="false">G248*(1+Rend_PG/4)*IF(H227=1,(1-(Cap_PG*$F$15+(1-Cap_PG)*$F$16))*(1+0*$F$14),1)-H252-H268*IF((H258+H259)&gt;0,H258/(H258+H259),0)+H273/2-H271*IF((G246+G247+G248+G249)&gt;0,G248/(G246+G247+G248+G249),0)</f>
        <v>10547990.3439778</v>
      </c>
      <c r="I248" s="73" t="n">
        <f aca="false">H248*(1+Rend_PG/4)*IF(I227=1,(1-(Cap_PG*$F$15+(1-Cap_PG)*$F$16))*(1+0*$F$14),1)-I252-I268*IF((I258+I259)&gt;0,I258/(I258+I259),0)+I273/2-I271*IF((H246+H247+H248+H249)&gt;0,H248/(H246+H247+H248+H249),0)</f>
        <v>10237088.3285891</v>
      </c>
      <c r="J248" s="73" t="n">
        <f aca="false">I248*(1+Rend_PG/4)*IF(J227=1,(1-(Cap_PG*$F$15+(1-Cap_PG)*$F$16))*(1+0*$F$14),1)-J252-J268*IF((J258+J259)&gt;0,J258/(J258+J259),0)+J273/2-J271*IF((I246+I247+I248+I249)&gt;0,I248/(I246+I247+I248+I249),0)</f>
        <v>9935350.1501039</v>
      </c>
      <c r="K248" s="73" t="n">
        <f aca="false">J248*(1+Rend_PG/4)*IF(K227=1,(1-(Cap_PG*$F$15+(1-Cap_PG)*$F$16))*(1+0*$F$14),1)-K252-K268*IF((K258+K259)&gt;0,K258/(K258+K259),0)+K273/2-K271*IF((J246+J247+J248+J249)&gt;0,J248/(J246+J247+J248+J249),0)</f>
        <v>9642505.70442959</v>
      </c>
      <c r="L248" s="73" t="n">
        <f aca="false">K248*(1+Rend_PG/4)*IF(L227=1,(1-(Cap_PG*$F$15+(1-Cap_PG)*$F$16))*(1+0*$F$14),1)-L252-L268*IF((L258+L259)&gt;0,L258/(L258+L259),0)+L273/2-L271*IF((K246+K247+K248+K249)&gt;0,K248/(K246+K247+K248+K249),0)</f>
        <v>9358292.84879153</v>
      </c>
      <c r="M248" s="73" t="n">
        <f aca="false">L248*(1+Rend_PG/4)*IF(M227=1,(1-(Cap_PG*$F$15+(1-Cap_PG)*$F$16))*(1+0*$F$14),1)-M252-M268*IF((M258+M259)&gt;0,M258/(M258+M259),0)+M273/2-M271*IF((L246+L247+L248+L249)&gt;0,L248/(L246+L247+L248+L249),0)</f>
        <v>9082457.1670734</v>
      </c>
      <c r="N248" s="73" t="n">
        <f aca="false">M248*(1+Rend_PG/4)*IF(N227=1,(1-(Cap_PG*$F$15+(1-Cap_PG)*$F$16))*(1+0*$F$14),1)-N252-N268*IF((N258+N259)&gt;0,N258/(N258+N259),0)+N273/2-N271*IF((M246+M247+M248+M249)&gt;0,M248/(M246+M247+M248+M249),0)</f>
        <v>8814751.74207391</v>
      </c>
      <c r="O248" s="73" t="n">
        <f aca="false">N248*(1+Rend_PG/4)*IF(O227=1,(1-(Cap_PG*$F$15+(1-Cap_PG)*$F$16))*(1+0*$F$14),1)-O252-O268*IF((O258+O259)&gt;0,O258/(O258+O259),0)+O273/2-O271*IF((N246+N247+N248+N249)&gt;0,N248/(N246+N247+N248+N249),0)</f>
        <v>8554936.93447628</v>
      </c>
    </row>
    <row r="249" customFormat="false" ht="15" hidden="false" customHeight="false" outlineLevel="0" collapsed="false">
      <c r="B249" s="65" t="s">
        <v>1038</v>
      </c>
      <c r="C249" s="73" t="n">
        <f aca="false">AN_cible*Ws_ARES</f>
        <v>12250000</v>
      </c>
      <c r="D249" s="73" t="n">
        <f aca="false">C249*(1+Rend_ARES/4)*IF(D227=1,(1-(Cap_ARES*$F$15+(1-Cap_ARES)*$F$16))*(1+0*$F$14),1)-D253-D268*IF((D258+D259)&gt;0,D259/(D258+D259),0)/(1-IF(D227&lt;=Deduc_trim,Deduc_ares,0))+D273/2-D271*IF((C246+C247+C248+C249)&gt;0,C249/(C246+C247+C248+C249),0)</f>
        <v>11727537.5</v>
      </c>
      <c r="E249" s="73" t="n">
        <f aca="false">D249*(1+Rend_ARES/4)*IF(E227=1,(1-(Cap_ARES*$F$15+(1-Cap_ARES)*$F$16))*(1+0*$F$14),1)-E253-E268*IF((E258+E259)&gt;0,E259/(E258+E259),0)/(1-IF(E227&lt;=Deduc_trim,Deduc_ares,0))+E273/2-E271*IF((D246+D247+D248+D249)&gt;0,D249/(D246+D247+D248+D249),0)</f>
        <v>11227358.025625</v>
      </c>
      <c r="F249" s="73" t="n">
        <f aca="false">E249*(1+Rend_ARES/4)*IF(F227=1,(1-(Cap_ARES*$F$15+(1-Cap_ARES)*$F$16))*(1+0*$F$14),1)-F253-F268*IF((F258+F259)&gt;0,F259/(F258+F259),0)/(1-IF(F227&lt;=Deduc_trim,Deduc_ares,0))+F273/2-F271*IF((E246+E247+E248+E249)&gt;0,E249/(E246+E247+E248+E249),0)</f>
        <v>10748511.2058321</v>
      </c>
      <c r="G249" s="73" t="n">
        <f aca="false">F249*(1+Rend_ARES/4)*IF(G227=1,(1-(Cap_ARES*$F$15+(1-Cap_ARES)*$F$16))*(1+0*$F$14),1)-G253-G268*IF((G258+G259)&gt;0,G259/(G258+G259),0)/(1-IF(G227&lt;=Deduc_trim,Deduc_ares,0))+G273/2-G271*IF((F246+F247+F248+F249)&gt;0,F249/(F246+F247+F248+F249),0)</f>
        <v>10290087.2029034</v>
      </c>
      <c r="H249" s="73" t="n">
        <f aca="false">G249*(1+Rend_ARES/4)*IF(H227=1,(1-(Cap_ARES*$F$15+(1-Cap_ARES)*$F$16))*(1+0*$F$14),1)-H253-H268*IF((H258+H259)&gt;0,H259/(H258+H259),0)/(1-IF(H227&lt;=Deduc_trim,Deduc_ares,0))+H273/2-H271*IF((G246+G247+G248+G249)&gt;0,G249/(G246+G247+G248+G249),0)</f>
        <v>9851214.98369952</v>
      </c>
      <c r="I249" s="73" t="n">
        <f aca="false">H249*(1+Rend_ARES/4)*IF(I227=1,(1-(Cap_ARES*$F$15+(1-Cap_ARES)*$F$16))*(1+0*$F$14),1)-I253-I268*IF((I258+I259)&gt;0,I259/(I258+I259),0)/(1-IF(I227&lt;=Deduc_trim,Deduc_ares,0))+I273/2-I271*IF((H246+H247+H248+H249)&gt;0,H249/(H246+H247+H248+H249),0)</f>
        <v>9431060.66464474</v>
      </c>
      <c r="J249" s="73" t="n">
        <f aca="false">I249*(1+Rend_ARES/4)*IF(J227=1,(1-(Cap_ARES*$F$15+(1-Cap_ARES)*$F$16))*(1+0*$F$14),1)-J253-J268*IF((J258+J259)&gt;0,J259/(J258+J259),0)/(1-IF(J227&lt;=Deduc_trim,Deduc_ares,0))+J273/2-J271*IF((I246+I247+I248+I249)&gt;0,I249/(I246+I247+I248+I249),0)</f>
        <v>9028825.92729764</v>
      </c>
      <c r="K249" s="73" t="n">
        <f aca="false">J249*(1+Rend_ARES/4)*IF(K227=1,(1-(Cap_ARES*$F$15+(1-Cap_ARES)*$F$16))*(1+0*$F$14),1)-K253-K268*IF((K258+K259)&gt;0,K259/(K258+K259),0)/(1-IF(K227&lt;=Deduc_trim,Deduc_ares,0))+K273/2-K271*IF((J246+J247+J248+J249)&gt;0,J249/(J246+J247+J248+J249),0)</f>
        <v>8643746.5014984</v>
      </c>
      <c r="L249" s="73" t="n">
        <f aca="false">K249*(1+Rend_ARES/4)*IF(L227=1,(1-(Cap_ARES*$F$15+(1-Cap_ARES)*$F$16))*(1+0*$F$14),1)-L253-L268*IF((L258+L259)&gt;0,L259/(L258+L259),0)/(1-IF(L227&lt;=Deduc_trim,Deduc_ares,0))+L273/2-L271*IF((K246+K247+K248+K249)&gt;0,K249/(K246+K247+K248+K249),0)</f>
        <v>8275090.71320949</v>
      </c>
      <c r="M249" s="73" t="n">
        <f aca="false">L249*(1+Rend_ARES/4)*IF(M227=1,(1-(Cap_ARES*$F$15+(1-Cap_ARES)*$F$16))*(1+0*$F$14),1)-M253-M268*IF((M258+M259)&gt;0,M259/(M258+M259),0)/(1-IF(M227&lt;=Deduc_trim,Deduc_ares,0))+M273/2-M271*IF((L246+L247+L248+L249)&gt;0,L249/(L246+L247+L248+L249),0)</f>
        <v>7922158.0942911</v>
      </c>
      <c r="N249" s="73" t="n">
        <f aca="false">M249*(1+Rend_ARES/4)*IF(N227=1,(1-(Cap_ARES*$F$15+(1-Cap_ARES)*$F$16))*(1+0*$F$14),1)-N253-N268*IF((N258+N259)&gt;0,N259/(N258+N259),0)/(1-IF(N227&lt;=Deduc_trim,Deduc_ares,0))+N273/2-N271*IF((M246+M247+M248+M249)&gt;0,M249/(M246+M247+M248+M249),0)</f>
        <v>7584278.05156959</v>
      </c>
      <c r="O249" s="73" t="n">
        <f aca="false">N249*(1+Rend_ARES/4)*IF(O227=1,(1-(Cap_ARES*$F$15+(1-Cap_ARES)*$F$16))*(1+0*$F$14),1)-O253-O268*IF((O258+O259)&gt;0,O259/(O258+O259),0)/(1-IF(O227&lt;=Deduc_trim,Deduc_ares,0))+O273/2-O271*IF((N246+N247+N248+N249)&gt;0,N249/(N246+N247+N248+N249),0)</f>
        <v>7260808.59267014</v>
      </c>
    </row>
    <row r="250" customFormat="false" ht="15" hidden="false" customHeight="false" outlineLevel="0" collapsed="false">
      <c r="B250" s="65" t="s">
        <v>1039</v>
      </c>
      <c r="C250" s="25"/>
      <c r="D250" s="73" t="n">
        <f aca="false">C246*Dist_MAPIF/4*IF(D227&lt;=$F$11,0,$F$10)</f>
        <v>187500</v>
      </c>
      <c r="E250" s="73" t="n">
        <f aca="false">D246*Dist_MAPIF/4*IF(E227&lt;=$F$11,0,$F$10)</f>
        <v>194573.4375</v>
      </c>
      <c r="F250" s="73" t="n">
        <f aca="false">E246*Dist_MAPIF/4*IF(F227&lt;=$F$11,0,$F$10)</f>
        <v>201701.517304688</v>
      </c>
      <c r="G250" s="73" t="n">
        <f aca="false">F246*Dist_MAPIF/4*IF(G227&lt;=$F$11,0,$F$10)</f>
        <v>208884.661525866</v>
      </c>
      <c r="H250" s="73" t="n">
        <f aca="false">G246*Dist_MAPIF/4*IF(H227&lt;=$F$11,0,$F$10)</f>
        <v>216123.295536154</v>
      </c>
      <c r="I250" s="73" t="n">
        <f aca="false">H246*Dist_MAPIF/4*IF(I227&lt;=$F$11,0,$F$10)</f>
        <v>223417.84799417</v>
      </c>
      <c r="J250" s="73" t="n">
        <f aca="false">I246*Dist_MAPIF/4*IF(J227&lt;=$F$11,0,$F$10)</f>
        <v>230768.750869925</v>
      </c>
      <c r="K250" s="73" t="n">
        <f aca="false">J246*Dist_MAPIF/4*IF(K227&lt;=$F$11,0,$F$10)</f>
        <v>238176.439470396</v>
      </c>
      <c r="L250" s="73" t="n">
        <f aca="false">K246*Dist_MAPIF/4*IF(L227&lt;=$F$11,0,$F$10)</f>
        <v>245641.352465304</v>
      </c>
      <c r="M250" s="73" t="n">
        <f aca="false">L246*Dist_MAPIF/4*IF(M227&lt;=$F$11,0,$F$10)</f>
        <v>253163.931913099</v>
      </c>
      <c r="N250" s="73" t="n">
        <f aca="false">M246*Dist_MAPIF/4*IF(N227&lt;=$F$11,0,$F$10)</f>
        <v>260744.623287128</v>
      </c>
      <c r="O250" s="73" t="n">
        <f aca="false">N246*Dist_MAPIF/4*IF(O227&lt;=$F$11,0,$F$10)</f>
        <v>268383.875502021</v>
      </c>
    </row>
    <row r="251" customFormat="false" ht="15" hidden="false" customHeight="false" outlineLevel="0" collapsed="false">
      <c r="B251" s="65" t="s">
        <v>1040</v>
      </c>
      <c r="C251" s="25"/>
      <c r="D251" s="73" t="n">
        <f aca="false">C247*Dist_MSIG/4*IF(D227&lt;=$F$11,0,$F$10)</f>
        <v>96250</v>
      </c>
      <c r="E251" s="73" t="n">
        <f aca="false">D247*Dist_MSIG/4*IF(E227&lt;=$F$11,0,$F$10)</f>
        <v>101031.65625</v>
      </c>
      <c r="F251" s="73" t="n">
        <f aca="false">E247*Dist_MSIG/4*IF(F227&lt;=$F$11,0,$F$10)</f>
        <v>105833.514997656</v>
      </c>
      <c r="G251" s="73" t="n">
        <f aca="false">F247*Dist_MSIG/4*IF(G227&lt;=$F$11,0,$F$10)</f>
        <v>110655.661598521</v>
      </c>
      <c r="H251" s="73" t="n">
        <f aca="false">G247*Dist_MSIG/4*IF(H227&lt;=$F$11,0,$F$10)</f>
        <v>115498.181768775</v>
      </c>
      <c r="I251" s="73" t="n">
        <f aca="false">H247*Dist_MSIG/4*IF(I227&lt;=$F$11,0,$F$10)</f>
        <v>120361.161586748</v>
      </c>
      <c r="J251" s="73" t="n">
        <f aca="false">I247*Dist_MSIG/4*IF(J227&lt;=$F$11,0,$F$10)</f>
        <v>125244.687494452</v>
      </c>
      <c r="K251" s="73" t="n">
        <f aca="false">J247*Dist_MSIG/4*IF(K227&lt;=$F$11,0,$F$10)</f>
        <v>130148.846299116</v>
      </c>
      <c r="L251" s="73" t="n">
        <f aca="false">K247*Dist_MSIG/4*IF(L227&lt;=$F$11,0,$F$10)</f>
        <v>135073.72517473</v>
      </c>
      <c r="M251" s="73" t="n">
        <f aca="false">L247*Dist_MSIG/4*IF(M227&lt;=$F$11,0,$F$10)</f>
        <v>140019.411663593</v>
      </c>
      <c r="N251" s="73" t="n">
        <f aca="false">M247*Dist_MSIG/4*IF(N227&lt;=$F$11,0,$F$10)</f>
        <v>144985.993677872</v>
      </c>
      <c r="O251" s="73" t="n">
        <f aca="false">N247*Dist_MSIG/4*IF(O227&lt;=$F$11,0,$F$10)</f>
        <v>149973.559501161</v>
      </c>
    </row>
    <row r="252" customFormat="false" ht="15" hidden="false" customHeight="false" outlineLevel="0" collapsed="false">
      <c r="B252" s="65" t="s">
        <v>1041</v>
      </c>
      <c r="C252" s="25"/>
      <c r="D252" s="73" t="n">
        <f aca="false">C248*Dist_PG/4*IF(D227&lt;=$F$11,0,$F$10)</f>
        <v>61250</v>
      </c>
      <c r="E252" s="73" t="n">
        <f aca="false">D248*Dist_PG/4*IF(E227&lt;=$F$11,0,$F$10)</f>
        <v>59444.65625</v>
      </c>
      <c r="F252" s="73" t="n">
        <f aca="false">E248*Dist_PG/4*IF(F227&lt;=$F$11,0,$F$10)</f>
        <v>57692.5250070313</v>
      </c>
      <c r="G252" s="73" t="n">
        <f aca="false">F248*Dist_PG/4*IF(G227&lt;=$F$11,0,$F$10)</f>
        <v>55992.037832449</v>
      </c>
      <c r="H252" s="73" t="n">
        <f aca="false">G248*Dist_PG/4*IF(H227&lt;=$F$11,0,$F$10)</f>
        <v>54341.6725173376</v>
      </c>
      <c r="I252" s="73" t="n">
        <f aca="false">H248*Dist_PG/4*IF(I227&lt;=$F$11,0,$F$10)</f>
        <v>52739.9517198891</v>
      </c>
      <c r="J252" s="73" t="n">
        <f aca="false">I248*Dist_PG/4*IF(J227&lt;=$F$11,0,$F$10)</f>
        <v>51185.4416429453</v>
      </c>
      <c r="K252" s="73" t="n">
        <f aca="false">J248*Dist_PG/4*IF(K227&lt;=$F$11,0,$F$10)</f>
        <v>49676.7507505195</v>
      </c>
      <c r="L252" s="73" t="n">
        <f aca="false">K248*Dist_PG/4*IF(L227&lt;=$F$11,0,$F$10)</f>
        <v>48212.528522148</v>
      </c>
      <c r="M252" s="73" t="n">
        <f aca="false">L248*Dist_PG/4*IF(M227&lt;=$F$11,0,$F$10)</f>
        <v>46791.4642439576</v>
      </c>
      <c r="N252" s="73" t="n">
        <f aca="false">M248*Dist_PG/4*IF(N227&lt;=$F$11,0,$F$10)</f>
        <v>45412.285835367</v>
      </c>
      <c r="O252" s="73" t="n">
        <f aca="false">N248*Dist_PG/4*IF(O227&lt;=$F$11,0,$F$10)</f>
        <v>44073.7587103696</v>
      </c>
    </row>
    <row r="253" customFormat="false" ht="15" hidden="false" customHeight="false" outlineLevel="0" collapsed="false">
      <c r="B253" s="65" t="s">
        <v>1042</v>
      </c>
      <c r="C253" s="25"/>
      <c r="D253" s="73" t="n">
        <f aca="false">C249*Dist_ARES/4*IF(D227&lt;=$F$11,0,$F$10)</f>
        <v>153125</v>
      </c>
      <c r="E253" s="73" t="n">
        <f aca="false">D249*Dist_ARES/4*IF(E227&lt;=$F$11,0,$F$10)</f>
        <v>146594.21875</v>
      </c>
      <c r="F253" s="73" t="n">
        <f aca="false">E249*Dist_ARES/4*IF(F227&lt;=$F$11,0,$F$10)</f>
        <v>140341.975320313</v>
      </c>
      <c r="G253" s="73" t="n">
        <f aca="false">F249*Dist_ARES/4*IF(G227&lt;=$F$11,0,$F$10)</f>
        <v>134356.390072901</v>
      </c>
      <c r="H253" s="73" t="n">
        <f aca="false">G249*Dist_ARES/4*IF(H227&lt;=$F$11,0,$F$10)</f>
        <v>128626.090036292</v>
      </c>
      <c r="I253" s="73" t="n">
        <f aca="false">H249*Dist_ARES/4*IF(I227&lt;=$F$11,0,$F$10)</f>
        <v>123140.187296244</v>
      </c>
      <c r="J253" s="73" t="n">
        <f aca="false">I249*Dist_ARES/4*IF(J227&lt;=$F$11,0,$F$10)</f>
        <v>117888.258308059</v>
      </c>
      <c r="K253" s="73" t="n">
        <f aca="false">J249*Dist_ARES/4*IF(K227&lt;=$F$11,0,$F$10)</f>
        <v>112860.324091221</v>
      </c>
      <c r="L253" s="73" t="n">
        <f aca="false">K249*Dist_ARES/4*IF(L227&lt;=$F$11,0,$F$10)</f>
        <v>108046.83126873</v>
      </c>
      <c r="M253" s="73" t="n">
        <f aca="false">L249*Dist_ARES/4*IF(M227&lt;=$F$11,0,$F$10)</f>
        <v>103438.633915119</v>
      </c>
      <c r="N253" s="73" t="n">
        <f aca="false">M249*Dist_ARES/4*IF(N227&lt;=$F$11,0,$F$10)</f>
        <v>99026.9761786388</v>
      </c>
      <c r="O253" s="73" t="n">
        <f aca="false">N249*Dist_ARES/4*IF(O227&lt;=$F$11,0,$F$10)</f>
        <v>94803.4756446198</v>
      </c>
    </row>
    <row r="254" customFormat="false" ht="15" hidden="false" customHeight="false" outlineLevel="0" collapsed="false">
      <c r="B254" s="65" t="s">
        <v>1043</v>
      </c>
      <c r="C254" s="73" t="n">
        <f aca="false">AN_cible*$F$12*Part_MAPIF_NA</f>
        <v>4500000</v>
      </c>
      <c r="D254" s="73" t="n">
        <f aca="false">C254*IF(D227=1,1+$F$14,1)-D256</f>
        <v>4125000</v>
      </c>
      <c r="E254" s="73" t="n">
        <f aca="false">D254*IF(E227=1,1+$F$14,1)-E256</f>
        <v>3750000</v>
      </c>
      <c r="F254" s="73" t="n">
        <f aca="false">E254*IF(F227=1,1+$F$14,1)-F256</f>
        <v>3375000</v>
      </c>
      <c r="G254" s="73" t="n">
        <f aca="false">F254*IF(G227=1,1+$F$14,1)-G256</f>
        <v>3000000</v>
      </c>
      <c r="H254" s="73" t="n">
        <f aca="false">G254*IF(H227=1,1+$F$14,1)-H256</f>
        <v>2625000</v>
      </c>
      <c r="I254" s="73" t="n">
        <f aca="false">H254*IF(I227=1,1+$F$14,1)-I256</f>
        <v>2250000</v>
      </c>
      <c r="J254" s="73" t="n">
        <f aca="false">I254*IF(J227=1,1+$F$14,1)-J256</f>
        <v>1875000</v>
      </c>
      <c r="K254" s="73" t="n">
        <f aca="false">J254*IF(K227=1,1+$F$14,1)-K256</f>
        <v>1500000</v>
      </c>
      <c r="L254" s="73" t="n">
        <f aca="false">K254*IF(L227=1,1+$F$14,1)-L256</f>
        <v>1125000</v>
      </c>
      <c r="M254" s="73" t="n">
        <f aca="false">L254*IF(M227=1,1+$F$14,1)-M256</f>
        <v>750000</v>
      </c>
      <c r="N254" s="73" t="n">
        <f aca="false">M254*IF(N227=1,1+$F$14,1)-N256</f>
        <v>375000</v>
      </c>
      <c r="O254" s="73" t="n">
        <f aca="false">N254*IF(O227=1,1+$F$14,1)-O256</f>
        <v>0</v>
      </c>
    </row>
    <row r="255" customFormat="false" ht="15" hidden="false" customHeight="false" outlineLevel="0" collapsed="false">
      <c r="B255" s="65" t="s">
        <v>1044</v>
      </c>
      <c r="C255" s="73" t="n">
        <f aca="false">AN_cible*$F$12*(1-Part_MAPIF_NA)</f>
        <v>3000000</v>
      </c>
      <c r="D255" s="73" t="n">
        <f aca="false">C255*IF(D227=1,1+MSIG_USD*$F$14,1)-D257</f>
        <v>2750000</v>
      </c>
      <c r="E255" s="73" t="n">
        <f aca="false">D255*IF(E227=1,1+MSIG_USD*$F$14,1)-E257</f>
        <v>2500000</v>
      </c>
      <c r="F255" s="73" t="n">
        <f aca="false">E255*IF(F227=1,1+MSIG_USD*$F$14,1)-F257</f>
        <v>2250000</v>
      </c>
      <c r="G255" s="73" t="n">
        <f aca="false">F255*IF(G227=1,1+MSIG_USD*$F$14,1)-G257</f>
        <v>2000000</v>
      </c>
      <c r="H255" s="73" t="n">
        <f aca="false">G255*IF(H227=1,1+MSIG_USD*$F$14,1)-H257</f>
        <v>1750000</v>
      </c>
      <c r="I255" s="73" t="n">
        <f aca="false">H255*IF(I227=1,1+MSIG_USD*$F$14,1)-I257</f>
        <v>1500000</v>
      </c>
      <c r="J255" s="73" t="n">
        <f aca="false">I255*IF(J227=1,1+MSIG_USD*$F$14,1)-J257</f>
        <v>1250000</v>
      </c>
      <c r="K255" s="73" t="n">
        <f aca="false">J255*IF(K227=1,1+MSIG_USD*$F$14,1)-K257</f>
        <v>1000000</v>
      </c>
      <c r="L255" s="73" t="n">
        <f aca="false">K255*IF(L227=1,1+MSIG_USD*$F$14,1)-L257</f>
        <v>750000</v>
      </c>
      <c r="M255" s="73" t="n">
        <f aca="false">L255*IF(M227=1,1+MSIG_USD*$F$14,1)-M257</f>
        <v>500000</v>
      </c>
      <c r="N255" s="73" t="n">
        <f aca="false">M255*IF(N227=1,1+MSIG_USD*$F$14,1)-N257</f>
        <v>250000</v>
      </c>
      <c r="O255" s="73" t="n">
        <f aca="false">N255*IF(O227=1,1+MSIG_USD*$F$14,1)-O257</f>
        <v>0</v>
      </c>
    </row>
    <row r="256" customFormat="false" ht="15" hidden="false" customHeight="false" outlineLevel="0" collapsed="false">
      <c r="B256" s="65" t="s">
        <v>1045</v>
      </c>
      <c r="C256" s="25"/>
      <c r="D256" s="73" t="n">
        <f aca="false">MIN(C254*IF(D227=1,1+$F$14,1),$C254*(1+$F$14)*IF(D227&lt;=4,$F$13/4,Appels_base))</f>
        <v>375000</v>
      </c>
      <c r="E256" s="73" t="n">
        <f aca="false">MIN(D254*IF(E227=1,1+$F$14,1),$C254*(1+$F$14)*IF(E227&lt;=4,$F$13/4,Appels_base))</f>
        <v>375000</v>
      </c>
      <c r="F256" s="73" t="n">
        <f aca="false">MIN(E254*IF(F227=1,1+$F$14,1),$C254*(1+$F$14)*IF(F227&lt;=4,$F$13/4,Appels_base))</f>
        <v>375000</v>
      </c>
      <c r="G256" s="73" t="n">
        <f aca="false">MIN(F254*IF(G227=1,1+$F$14,1),$C254*(1+$F$14)*IF(G227&lt;=4,$F$13/4,Appels_base))</f>
        <v>375000</v>
      </c>
      <c r="H256" s="73" t="n">
        <f aca="false">MIN(G254*IF(H227=1,1+$F$14,1),$C254*(1+$F$14)*IF(H227&lt;=4,$F$13/4,Appels_base))</f>
        <v>375000</v>
      </c>
      <c r="I256" s="73" t="n">
        <f aca="false">MIN(H254*IF(I227=1,1+$F$14,1),$C254*(1+$F$14)*IF(I227&lt;=4,$F$13/4,Appels_base))</f>
        <v>375000</v>
      </c>
      <c r="J256" s="73" t="n">
        <f aca="false">MIN(I254*IF(J227=1,1+$F$14,1),$C254*(1+$F$14)*IF(J227&lt;=4,$F$13/4,Appels_base))</f>
        <v>375000</v>
      </c>
      <c r="K256" s="73" t="n">
        <f aca="false">MIN(J254*IF(K227=1,1+$F$14,1),$C254*(1+$F$14)*IF(K227&lt;=4,$F$13/4,Appels_base))</f>
        <v>375000</v>
      </c>
      <c r="L256" s="73" t="n">
        <f aca="false">MIN(K254*IF(L227=1,1+$F$14,1),$C254*(1+$F$14)*IF(L227&lt;=4,$F$13/4,Appels_base))</f>
        <v>375000</v>
      </c>
      <c r="M256" s="73" t="n">
        <f aca="false">MIN(L254*IF(M227=1,1+$F$14,1),$C254*(1+$F$14)*IF(M227&lt;=4,$F$13/4,Appels_base))</f>
        <v>375000</v>
      </c>
      <c r="N256" s="73" t="n">
        <f aca="false">MIN(M254*IF(N227=1,1+$F$14,1),$C254*(1+$F$14)*IF(N227&lt;=4,$F$13/4,Appels_base))</f>
        <v>375000</v>
      </c>
      <c r="O256" s="73" t="n">
        <f aca="false">MIN(N254*IF(O227=1,1+$F$14,1),$C254*(1+$F$14)*IF(O227&lt;=4,$F$13/4,Appels_base))</f>
        <v>375000</v>
      </c>
    </row>
    <row r="257" customFormat="false" ht="15" hidden="false" customHeight="false" outlineLevel="0" collapsed="false">
      <c r="B257" s="65" t="s">
        <v>1046</v>
      </c>
      <c r="C257" s="25"/>
      <c r="D257" s="73" t="n">
        <f aca="false">MIN(C255*IF(D227=1,1+MSIG_USD*$F$14,1),$C255*(1+MSIG_USD*$F$14)*IF(D227&lt;=4,$F$13/4,Appels_base))</f>
        <v>250000</v>
      </c>
      <c r="E257" s="73" t="n">
        <f aca="false">MIN(D255*IF(E227=1,1+MSIG_USD*$F$14,1),$C255*(1+MSIG_USD*$F$14)*IF(E227&lt;=4,$F$13/4,Appels_base))</f>
        <v>250000</v>
      </c>
      <c r="F257" s="73" t="n">
        <f aca="false">MIN(E255*IF(F227=1,1+MSIG_USD*$F$14,1),$C255*(1+MSIG_USD*$F$14)*IF(F227&lt;=4,$F$13/4,Appels_base))</f>
        <v>250000</v>
      </c>
      <c r="G257" s="73" t="n">
        <f aca="false">MIN(F255*IF(G227=1,1+MSIG_USD*$F$14,1),$C255*(1+MSIG_USD*$F$14)*IF(G227&lt;=4,$F$13/4,Appels_base))</f>
        <v>250000</v>
      </c>
      <c r="H257" s="73" t="n">
        <f aca="false">MIN(G255*IF(H227=1,1+MSIG_USD*$F$14,1),$C255*(1+MSIG_USD*$F$14)*IF(H227&lt;=4,$F$13/4,Appels_base))</f>
        <v>250000</v>
      </c>
      <c r="I257" s="73" t="n">
        <f aca="false">MIN(H255*IF(I227=1,1+MSIG_USD*$F$14,1),$C255*(1+MSIG_USD*$F$14)*IF(I227&lt;=4,$F$13/4,Appels_base))</f>
        <v>250000</v>
      </c>
      <c r="J257" s="73" t="n">
        <f aca="false">MIN(I255*IF(J227=1,1+MSIG_USD*$F$14,1),$C255*(1+MSIG_USD*$F$14)*IF(J227&lt;=4,$F$13/4,Appels_base))</f>
        <v>250000</v>
      </c>
      <c r="K257" s="73" t="n">
        <f aca="false">MIN(J255*IF(K227=1,1+MSIG_USD*$F$14,1),$C255*(1+MSIG_USD*$F$14)*IF(K227&lt;=4,$F$13/4,Appels_base))</f>
        <v>250000</v>
      </c>
      <c r="L257" s="73" t="n">
        <f aca="false">MIN(K255*IF(L227=1,1+MSIG_USD*$F$14,1),$C255*(1+MSIG_USD*$F$14)*IF(L227&lt;=4,$F$13/4,Appels_base))</f>
        <v>250000</v>
      </c>
      <c r="M257" s="73" t="n">
        <f aca="false">MIN(L255*IF(M227=1,1+MSIG_USD*$F$14,1),$C255*(1+MSIG_USD*$F$14)*IF(M227&lt;=4,$F$13/4,Appels_base))</f>
        <v>250000</v>
      </c>
      <c r="N257" s="73" t="n">
        <f aca="false">MIN(M255*IF(N227=1,1+MSIG_USD*$F$14,1),$C255*(1+MSIG_USD*$F$14)*IF(N227&lt;=4,$F$13/4,Appels_base))</f>
        <v>250000</v>
      </c>
      <c r="O257" s="73" t="n">
        <f aca="false">MIN(N255*IF(O227=1,1+MSIG_USD*$F$14,1),$C255*(1+MSIG_USD*$F$14)*IF(O227&lt;=4,$F$13/4,Appels_base))</f>
        <v>250000</v>
      </c>
    </row>
    <row r="258" customFormat="false" ht="15" hidden="false" customHeight="false" outlineLevel="0" collapsed="false">
      <c r="B258" s="65" t="s">
        <v>1047</v>
      </c>
      <c r="C258" s="25"/>
      <c r="D258" s="73" t="n">
        <f aca="false">C248*Capacite_evg*IF(D227&lt;=4,$F$17,$F$18)</f>
        <v>612500</v>
      </c>
      <c r="E258" s="73" t="n">
        <f aca="false">D248*Capacite_evg*IF(E227&lt;=4,$F$17,$F$18)</f>
        <v>594446.5625</v>
      </c>
      <c r="F258" s="73" t="n">
        <f aca="false">E248*Capacite_evg*IF(F227&lt;=4,$F$17,$F$18)</f>
        <v>576925.250070313</v>
      </c>
      <c r="G258" s="73" t="n">
        <f aca="false">F248*Capacite_evg*IF(G227&lt;=4,$F$17,$F$18)</f>
        <v>559920.37832449</v>
      </c>
      <c r="H258" s="73" t="n">
        <f aca="false">G248*Capacite_evg*IF(H227&lt;=4,$F$17,$F$18)</f>
        <v>543416.725173376</v>
      </c>
      <c r="I258" s="73" t="n">
        <f aca="false">H248*Capacite_evg*IF(I227&lt;=4,$F$17,$F$18)</f>
        <v>527399.517198891</v>
      </c>
      <c r="J258" s="73" t="n">
        <f aca="false">I248*Capacite_evg*IF(J227&lt;=4,$F$17,$F$18)</f>
        <v>511854.416429453</v>
      </c>
      <c r="K258" s="73" t="n">
        <f aca="false">J248*Capacite_evg*IF(K227&lt;=4,$F$17,$F$18)</f>
        <v>496767.507505195</v>
      </c>
      <c r="L258" s="73" t="n">
        <f aca="false">K248*Capacite_evg*IF(L227&lt;=4,$F$17,$F$18)</f>
        <v>482125.28522148</v>
      </c>
      <c r="M258" s="73" t="n">
        <f aca="false">L248*Capacite_evg*IF(M227&lt;=4,$F$17,$F$18)</f>
        <v>467914.642439576</v>
      </c>
      <c r="N258" s="73" t="n">
        <f aca="false">M248*Capacite_evg*IF(N227&lt;=4,$F$17,$F$18)</f>
        <v>454122.85835367</v>
      </c>
      <c r="O258" s="73" t="n">
        <f aca="false">N248*Capacite_evg*IF(O227&lt;=4,$F$17,$F$18)</f>
        <v>440737.587103696</v>
      </c>
    </row>
    <row r="259" customFormat="false" ht="15" hidden="false" customHeight="false" outlineLevel="0" collapsed="false">
      <c r="B259" s="65" t="s">
        <v>1048</v>
      </c>
      <c r="C259" s="25"/>
      <c r="D259" s="73" t="n">
        <f aca="false">C249*Capacite_evg*IF(D227&lt;=4,$F$17,$F$19)*(1-IF(D227&lt;=Deduc_trim,Deduc_ares,0))</f>
        <v>581875</v>
      </c>
      <c r="E259" s="73" t="n">
        <f aca="false">D249*Capacite_evg*IF(E227&lt;=4,$F$17,$F$19)*(1-IF(E227&lt;=Deduc_trim,Deduc_ares,0))</f>
        <v>557058.03125</v>
      </c>
      <c r="F259" s="73" t="n">
        <f aca="false">E249*Capacite_evg*IF(F227&lt;=4,$F$17,$F$19)*(1-IF(F227&lt;=Deduc_trim,Deduc_ares,0))</f>
        <v>533299.506217187</v>
      </c>
      <c r="G259" s="73" t="n">
        <f aca="false">F249*Capacite_evg*IF(G227&lt;=4,$F$17,$F$19)*(1-IF(G227&lt;=Deduc_trim,Deduc_ares,0))</f>
        <v>510554.282277024</v>
      </c>
      <c r="H259" s="73" t="n">
        <f aca="false">G249*Capacite_evg*IF(H227&lt;=4,$F$17,$F$19)*(1-IF(H227&lt;=Deduc_trim,Deduc_ares,0))</f>
        <v>514504.360145168</v>
      </c>
      <c r="I259" s="73" t="n">
        <f aca="false">H249*Capacite_evg*IF(I227&lt;=4,$F$17,$F$19)*(1-IF(I227&lt;=Deduc_trim,Deduc_ares,0))</f>
        <v>492560.749184976</v>
      </c>
      <c r="J259" s="73" t="n">
        <f aca="false">I249*Capacite_evg*IF(J227&lt;=4,$F$17,$F$19)*(1-IF(J227&lt;=Deduc_trim,Deduc_ares,0))</f>
        <v>471553.033232237</v>
      </c>
      <c r="K259" s="73" t="n">
        <f aca="false">J249*Capacite_evg*IF(K227&lt;=4,$F$17,$F$19)*(1-IF(K227&lt;=Deduc_trim,Deduc_ares,0))</f>
        <v>451441.296364882</v>
      </c>
      <c r="L259" s="73" t="n">
        <f aca="false">K249*Capacite_evg*IF(L227&lt;=4,$F$17,$F$19)*(1-IF(L227&lt;=Deduc_trim,Deduc_ares,0))</f>
        <v>432187.32507492</v>
      </c>
      <c r="M259" s="73" t="n">
        <f aca="false">L249*Capacite_evg*IF(M227&lt;=4,$F$17,$F$19)*(1-IF(M227&lt;=Deduc_trim,Deduc_ares,0))</f>
        <v>413754.535660474</v>
      </c>
      <c r="N259" s="73" t="n">
        <f aca="false">M249*Capacite_evg*IF(N227&lt;=4,$F$17,$F$19)*(1-IF(N227&lt;=Deduc_trim,Deduc_ares,0))</f>
        <v>396107.904714555</v>
      </c>
      <c r="O259" s="73" t="n">
        <f aca="false">N249*Capacite_evg*IF(O227&lt;=4,$F$17,$F$19)*(1-IF(O227&lt;=Deduc_trim,Deduc_ares,0))</f>
        <v>379213.902578479</v>
      </c>
    </row>
    <row r="260" customFormat="false" ht="15" hidden="false" customHeight="false" outlineLevel="0" collapsed="false">
      <c r="B260" s="65" t="s">
        <v>1049</v>
      </c>
      <c r="C260" s="25"/>
      <c r="D260" s="73" t="n">
        <f aca="false">C274</f>
        <v>7500000</v>
      </c>
      <c r="E260" s="73" t="n">
        <f aca="false">D274</f>
        <v>5739375</v>
      </c>
      <c r="F260" s="73" t="n">
        <f aca="false">E274</f>
        <v>6562891.4375</v>
      </c>
      <c r="G260" s="73" t="n">
        <f aca="false">F274</f>
        <v>4909430.45367109</v>
      </c>
      <c r="H260" s="73" t="n">
        <f aca="false">G274</f>
        <v>5659951.93568534</v>
      </c>
      <c r="I260" s="73" t="n">
        <f aca="false">H274</f>
        <v>4012380.04095581</v>
      </c>
      <c r="J260" s="73" t="n">
        <f aca="false">I274</f>
        <v>4721157.38504098</v>
      </c>
      <c r="K260" s="73" t="n">
        <f aca="false">J274</f>
        <v>3052969.10864954</v>
      </c>
      <c r="L260" s="73" t="n">
        <f aca="false">K274</f>
        <v>3699458.07298265</v>
      </c>
      <c r="M260" s="73" t="n">
        <f aca="false">L274</f>
        <v>4318465.23854271</v>
      </c>
      <c r="N260" s="73" t="n">
        <f aca="false">M274</f>
        <v>4911385.49862274</v>
      </c>
      <c r="O260" s="73" t="n">
        <f aca="false">N274</f>
        <v>5479562.85218514</v>
      </c>
    </row>
    <row r="261" customFormat="false" ht="15" hidden="false" customHeight="false" outlineLevel="0" collapsed="false">
      <c r="B261" s="65" t="s">
        <v>1050</v>
      </c>
      <c r="C261" s="25"/>
      <c r="D261" s="73" t="n">
        <f aca="false">D260*Taux_treso/4</f>
        <v>46875</v>
      </c>
      <c r="E261" s="73" t="n">
        <f aca="false">E260*Taux_treso/4</f>
        <v>35871.09375</v>
      </c>
      <c r="F261" s="73" t="n">
        <f aca="false">F260*Taux_treso/4</f>
        <v>41018.071484375</v>
      </c>
      <c r="G261" s="73" t="n">
        <f aca="false">G260*Taux_treso/4</f>
        <v>30683.9403354443</v>
      </c>
      <c r="H261" s="73" t="n">
        <f aca="false">H260*Taux_treso/4</f>
        <v>35374.6995980334</v>
      </c>
      <c r="I261" s="73" t="n">
        <f aca="false">I260*Taux_treso/4</f>
        <v>25077.3752559738</v>
      </c>
      <c r="J261" s="73" t="n">
        <f aca="false">J260*Taux_treso/4</f>
        <v>29507.2336565061</v>
      </c>
      <c r="K261" s="73" t="n">
        <f aca="false">K260*Taux_treso/4</f>
        <v>19081.0569290596</v>
      </c>
      <c r="L261" s="73" t="n">
        <f aca="false">L260*Taux_treso/4</f>
        <v>23121.6129561415</v>
      </c>
      <c r="M261" s="73" t="n">
        <f aca="false">M260*Taux_treso/4</f>
        <v>26990.407740892</v>
      </c>
      <c r="N261" s="73" t="n">
        <f aca="false">N260*Taux_treso/4</f>
        <v>30696.1593663921</v>
      </c>
      <c r="O261" s="73" t="n">
        <f aca="false">O260*Taux_treso/4</f>
        <v>34247.2678261571</v>
      </c>
    </row>
    <row r="262" customFormat="false" ht="15" hidden="false" customHeight="false" outlineLevel="0" collapsed="false">
      <c r="B262" s="65" t="s">
        <v>1051</v>
      </c>
      <c r="C262" s="25"/>
      <c r="D262" s="73" t="n">
        <f aca="false">SUM(D250:D253)</f>
        <v>498125</v>
      </c>
      <c r="E262" s="73" t="n">
        <f aca="false">SUM(E250:E253)</f>
        <v>501643.96875</v>
      </c>
      <c r="F262" s="73" t="n">
        <f aca="false">SUM(F250:F253)</f>
        <v>505569.532629688</v>
      </c>
      <c r="G262" s="73" t="n">
        <f aca="false">SUM(G250:G253)</f>
        <v>509888.751029738</v>
      </c>
      <c r="H262" s="73" t="n">
        <f aca="false">SUM(H250:H253)</f>
        <v>514589.239858558</v>
      </c>
      <c r="I262" s="73" t="n">
        <f aca="false">SUM(I250:I253)</f>
        <v>519659.148597052</v>
      </c>
      <c r="J262" s="73" t="n">
        <f aca="false">SUM(J250:J253)</f>
        <v>525087.138315382</v>
      </c>
      <c r="K262" s="73" t="n">
        <f aca="false">SUM(K250:K253)</f>
        <v>530862.360611252</v>
      </c>
      <c r="L262" s="73" t="n">
        <f aca="false">SUM(L250:L253)</f>
        <v>536974.437430912</v>
      </c>
      <c r="M262" s="73" t="n">
        <f aca="false">SUM(M250:M253)</f>
        <v>543413.441735769</v>
      </c>
      <c r="N262" s="73" t="n">
        <f aca="false">SUM(N250:N253)</f>
        <v>550169.878979005</v>
      </c>
      <c r="O262" s="73" t="n">
        <f aca="false">SUM(O250:O253)</f>
        <v>557234.669358171</v>
      </c>
    </row>
    <row r="263" customFormat="false" ht="15" hidden="false" customHeight="false" outlineLevel="0" collapsed="false">
      <c r="B263" s="65" t="s">
        <v>1052</v>
      </c>
      <c r="C263" s="25"/>
      <c r="D263" s="73" t="n">
        <f aca="false">IF(AND(Distrib_tension=1,OR(D235&gt;0.000001,C277&lt;Liq_min,C241=1)),0,MIN(Dist_porteurs/4*Part_d*D232,D262))</f>
        <v>125000</v>
      </c>
      <c r="E263" s="73" t="n">
        <f aca="false">IF(AND(Distrib_tension=1,OR(E235&gt;0.000001,D277&lt;Liq_min,D241=1)),0,MIN(Dist_porteurs/4*Part_d*E232,E262))</f>
        <v>0</v>
      </c>
      <c r="F263" s="73" t="n">
        <f aca="false">IF(AND(Distrib_tension=1,OR(F235&gt;0.000001,E277&lt;Liq_min,E241=1)),0,MIN(Dist_porteurs/4*Part_d*F232,F262))</f>
        <v>0</v>
      </c>
      <c r="G263" s="73" t="n">
        <f aca="false">IF(AND(Distrib_tension=1,OR(G235&gt;0.000001,F277&lt;Liq_min,F241=1)),0,MIN(Dist_porteurs/4*Part_d*G232,G262))</f>
        <v>0</v>
      </c>
      <c r="H263" s="73" t="n">
        <f aca="false">IF(AND(Distrib_tension=1,OR(H235&gt;0.000001,G277&lt;Liq_min,G241=1)),0,MIN(Dist_porteurs/4*Part_d*H232,H262))</f>
        <v>0</v>
      </c>
      <c r="I263" s="73" t="n">
        <f aca="false">IF(AND(Distrib_tension=1,OR(I235&gt;0.000001,H277&lt;Liq_min,H241=1)),0,MIN(Dist_porteurs/4*Part_d*I232,I262))</f>
        <v>0</v>
      </c>
      <c r="J263" s="73" t="n">
        <f aca="false">IF(AND(Distrib_tension=1,OR(J235&gt;0.000001,I277&lt;Liq_min,I241=1)),0,MIN(Dist_porteurs/4*Part_d*J232,J262))</f>
        <v>0</v>
      </c>
      <c r="K263" s="73" t="n">
        <f aca="false">IF(AND(Distrib_tension=1,OR(K235&gt;0.000001,J277&lt;Liq_min,J241=1)),0,MIN(Dist_porteurs/4*Part_d*K232,K262))</f>
        <v>0</v>
      </c>
      <c r="L263" s="73" t="n">
        <f aca="false">IF(AND(Distrib_tension=1,OR(L235&gt;0.000001,K277&lt;Liq_min,K241=1)),0,MIN(Dist_porteurs/4*Part_d*L232,L262))</f>
        <v>0</v>
      </c>
      <c r="M263" s="73" t="n">
        <f aca="false">IF(AND(Distrib_tension=1,OR(M235&gt;0.000001,L277&lt;Liq_min,L241=1)),0,MIN(Dist_porteurs/4*Part_d*M232,M262))</f>
        <v>0</v>
      </c>
      <c r="N263" s="73" t="n">
        <f aca="false">IF(AND(Distrib_tension=1,OR(N235&gt;0.000001,M277&lt;Liq_min,M241=1)),0,MIN(Dist_porteurs/4*Part_d*N232,N262))</f>
        <v>0</v>
      </c>
      <c r="O263" s="73" t="n">
        <f aca="false">IF(AND(Distrib_tension=1,OR(O235&gt;0.000001,N277&lt;Liq_min,N241=1)),0,MIN(Dist_porteurs/4*Part_d*O232,O262))</f>
        <v>0</v>
      </c>
    </row>
    <row r="264" customFormat="false" ht="15" hidden="false" customHeight="false" outlineLevel="0" collapsed="false">
      <c r="B264" s="65" t="s">
        <v>1053</v>
      </c>
      <c r="C264" s="25"/>
      <c r="D264" s="73" t="n">
        <f aca="false">D256+D257</f>
        <v>625000</v>
      </c>
      <c r="E264" s="73" t="n">
        <f aca="false">E256+E257</f>
        <v>625000</v>
      </c>
      <c r="F264" s="73" t="n">
        <f aca="false">F256+F257</f>
        <v>625000</v>
      </c>
      <c r="G264" s="73" t="n">
        <f aca="false">G256+G257</f>
        <v>625000</v>
      </c>
      <c r="H264" s="73" t="n">
        <f aca="false">H256+H257</f>
        <v>625000</v>
      </c>
      <c r="I264" s="73" t="n">
        <f aca="false">I256+I257</f>
        <v>625000</v>
      </c>
      <c r="J264" s="73" t="n">
        <f aca="false">J256+J257</f>
        <v>625000</v>
      </c>
      <c r="K264" s="73" t="n">
        <f aca="false">K256+K257</f>
        <v>625000</v>
      </c>
      <c r="L264" s="73" t="n">
        <f aca="false">L256+L257</f>
        <v>625000</v>
      </c>
      <c r="M264" s="73" t="n">
        <f aca="false">M256+M257</f>
        <v>625000</v>
      </c>
      <c r="N264" s="73" t="n">
        <f aca="false">N256+N257</f>
        <v>625000</v>
      </c>
      <c r="O264" s="73" t="n">
        <f aca="false">O256+O257</f>
        <v>625000</v>
      </c>
    </row>
    <row r="265" customFormat="false" ht="15" hidden="false" customHeight="false" outlineLevel="0" collapsed="false">
      <c r="B265" s="65" t="s">
        <v>1054</v>
      </c>
      <c r="C265" s="25"/>
      <c r="D265" s="73" t="n">
        <f aca="false">D232*Frais_an/4</f>
        <v>250000</v>
      </c>
      <c r="E265" s="73" t="n">
        <f aca="false">E232*Frais_an/4</f>
        <v>240503.21875</v>
      </c>
      <c r="F265" s="73" t="n">
        <f aca="false">F232*Frais_an/4</f>
        <v>244115.758566406</v>
      </c>
      <c r="G265" s="73" t="n">
        <f aca="false">G232*Frais_an/4</f>
        <v>235525.86995245</v>
      </c>
      <c r="H265" s="73" t="n">
        <f aca="false">H232*Frais_an/4</f>
        <v>239132.447227697</v>
      </c>
      <c r="I265" s="73" t="n">
        <f aca="false">I232*Frais_an/4</f>
        <v>230919.446151722</v>
      </c>
      <c r="J265" s="73" t="n">
        <f aca="false">J232*Frais_an/4</f>
        <v>234653.645275002</v>
      </c>
      <c r="K265" s="73" t="n">
        <f aca="false">K232*Frais_an/4</f>
        <v>226663.257077278</v>
      </c>
      <c r="L265" s="73" t="n">
        <f aca="false">L232*Frais_an/4</f>
        <v>230401.495123387</v>
      </c>
      <c r="M265" s="73" t="n">
        <f aca="false">M232*Frais_an/4</f>
        <v>234152.767496683</v>
      </c>
      <c r="N265" s="73" t="n">
        <f aca="false">N232*Frais_an/4</f>
        <v>237919.447851228</v>
      </c>
      <c r="O265" s="73" t="n">
        <f aca="false">O232*Frais_an/4</f>
        <v>241703.843492053</v>
      </c>
    </row>
    <row r="266" customFormat="false" ht="15" hidden="false" customHeight="false" outlineLevel="0" collapsed="false">
      <c r="B266" s="65" t="s">
        <v>1055</v>
      </c>
      <c r="C266" s="25"/>
      <c r="D266" s="73" t="n">
        <f aca="false">C275*Taux_emprunt/4</f>
        <v>0</v>
      </c>
      <c r="E266" s="73" t="n">
        <f aca="false">D275*Taux_emprunt/4</f>
        <v>0</v>
      </c>
      <c r="F266" s="73" t="n">
        <f aca="false">E275*Taux_emprunt/4</f>
        <v>0</v>
      </c>
      <c r="G266" s="73" t="n">
        <f aca="false">F275*Taux_emprunt/4</f>
        <v>0</v>
      </c>
      <c r="H266" s="73" t="n">
        <f aca="false">G275*Taux_emprunt/4</f>
        <v>0</v>
      </c>
      <c r="I266" s="73" t="n">
        <f aca="false">H275*Taux_emprunt/4</f>
        <v>0</v>
      </c>
      <c r="J266" s="73" t="n">
        <f aca="false">I275*Taux_emprunt/4</f>
        <v>0</v>
      </c>
      <c r="K266" s="73" t="n">
        <f aca="false">J275*Taux_emprunt/4</f>
        <v>0</v>
      </c>
      <c r="L266" s="73" t="n">
        <f aca="false">K275*Taux_emprunt/4</f>
        <v>0</v>
      </c>
      <c r="M266" s="73" t="n">
        <f aca="false">L275*Taux_emprunt/4</f>
        <v>0</v>
      </c>
      <c r="N266" s="73" t="n">
        <f aca="false">M275*Taux_emprunt/4</f>
        <v>0</v>
      </c>
      <c r="O266" s="73" t="n">
        <f aca="false">N275*Taux_emprunt/4</f>
        <v>0</v>
      </c>
    </row>
    <row r="267" customFormat="false" ht="15" hidden="false" customHeight="false" outlineLevel="0" collapsed="false">
      <c r="B267" s="65" t="s">
        <v>1056</v>
      </c>
      <c r="C267" s="25"/>
      <c r="D267" s="73" t="n">
        <f aca="false">D260+D261+D262-D263+D233-D264-D265-D266</f>
        <v>7045000</v>
      </c>
      <c r="E267" s="73" t="n">
        <f aca="false">E260+E261+E262-E263+E233-E264-E265-E266</f>
        <v>5411386.84375</v>
      </c>
      <c r="F267" s="73" t="n">
        <f aca="false">F260+F261+F262-F263+F233-F264-F265-F266</f>
        <v>6240363.28304766</v>
      </c>
      <c r="G267" s="73" t="n">
        <f aca="false">G260+G261+G262-G263+G233-G264-G265-G266</f>
        <v>4589477.27508382</v>
      </c>
      <c r="H267" s="73" t="n">
        <f aca="false">H260+H261+H262-H263+H233-H264-H265-H266</f>
        <v>5345783.42791423</v>
      </c>
      <c r="I267" s="73" t="n">
        <f aca="false">I260+I261+I262-I263+I233-I264-I265-I266</f>
        <v>3701197.11865711</v>
      </c>
      <c r="J267" s="73" t="n">
        <f aca="false">J260+J261+J262-J263+J233-J264-J265-J266</f>
        <v>4416098.11173787</v>
      </c>
      <c r="K267" s="73" t="n">
        <f aca="false">K260+K261+K262-K263+K233-K264-K265-K266</f>
        <v>2751249.26911257</v>
      </c>
      <c r="L267" s="73" t="n">
        <f aca="false">L260+L261+L262-L263+L233-L264-L265-L266</f>
        <v>3404152.62824631</v>
      </c>
      <c r="M267" s="73" t="n">
        <f aca="false">M260+M261+M262-M263+M233-M264-M265-M266</f>
        <v>4029716.32052269</v>
      </c>
      <c r="N267" s="73" t="n">
        <f aca="false">N260+N261+N262-N263+N233-N264-N265-N266</f>
        <v>4629332.08911691</v>
      </c>
      <c r="O267" s="73" t="n">
        <f aca="false">O260+O261+O262-O263+O233-O264-O265-O266</f>
        <v>5204340.94587741</v>
      </c>
    </row>
    <row r="268" customFormat="false" ht="15" hidden="false" customHeight="false" outlineLevel="0" collapsed="false">
      <c r="B268" s="65" t="s">
        <v>1057</v>
      </c>
      <c r="C268" s="25"/>
      <c r="D268" s="73" t="n">
        <f aca="false">MIN(D258+D259,MAX(0,Liq_cible*D232-(D267-D242)))</f>
        <v>1194375</v>
      </c>
      <c r="E268" s="73" t="n">
        <f aca="false">MIN(E258+E259,MAX(0,Liq_cible*E232-(E267-E242)))</f>
        <v>1151504.59375</v>
      </c>
      <c r="F268" s="73" t="n">
        <f aca="false">MIN(F258+F259,MAX(0,Liq_cible*F232-(F267-F242)))</f>
        <v>1110224.7562875</v>
      </c>
      <c r="G268" s="73" t="n">
        <f aca="false">MIN(G258+G259,MAX(0,Liq_cible*G232-(G267-G242)))</f>
        <v>1070474.66060151</v>
      </c>
      <c r="H268" s="73" t="n">
        <f aca="false">MIN(H258+H259,MAX(0,Liq_cible*H232-(H267-H242)))</f>
        <v>1057921.08531854</v>
      </c>
      <c r="I268" s="73" t="n">
        <f aca="false">MIN(I258+I259,MAX(0,Liq_cible*I232-(I267-I242)))</f>
        <v>1019960.26638387</v>
      </c>
      <c r="J268" s="73" t="n">
        <f aca="false">MIN(J258+J259,MAX(0,Liq_cible*J232-(J267-J242)))</f>
        <v>983407.44966169</v>
      </c>
      <c r="K268" s="73" t="n">
        <f aca="false">MIN(K258+K259,MAX(0,Liq_cible*K232-(K267-K242)))</f>
        <v>948208.803870077</v>
      </c>
      <c r="L268" s="73" t="n">
        <f aca="false">MIN(L258+L259,MAX(0,Liq_cible*L232-(L267-L242)))</f>
        <v>914312.610296399</v>
      </c>
      <c r="M268" s="73" t="n">
        <f aca="false">MIN(M258+M259,MAX(0,Liq_cible*M232-(M267-M242)))</f>
        <v>881669.178100051</v>
      </c>
      <c r="N268" s="73" t="n">
        <f aca="false">MIN(N258+N259,MAX(0,Liq_cible*N232-(N267-N242)))</f>
        <v>850230.763068225</v>
      </c>
      <c r="O268" s="73" t="n">
        <f aca="false">MIN(O258+O259,MAX(0,Liq_cible*O232-(O267-O242)))</f>
        <v>819951.489682175</v>
      </c>
    </row>
    <row r="269" customFormat="false" ht="15" hidden="false" customHeight="false" outlineLevel="0" collapsed="false">
      <c r="B269" s="65" t="s">
        <v>1058</v>
      </c>
      <c r="C269" s="25"/>
      <c r="D269" s="73" t="n">
        <f aca="false">D267-D242+D268</f>
        <v>5739375</v>
      </c>
      <c r="E269" s="73" t="n">
        <f aca="false">E267-E242+E268</f>
        <v>6562891.4375</v>
      </c>
      <c r="F269" s="73" t="n">
        <f aca="false">F267-F242+F268</f>
        <v>4909430.45367109</v>
      </c>
      <c r="G269" s="73" t="n">
        <f aca="false">G267-G242+G268</f>
        <v>5659951.93568534</v>
      </c>
      <c r="H269" s="73" t="n">
        <f aca="false">H267-H242+H268</f>
        <v>4012380.04095581</v>
      </c>
      <c r="I269" s="73" t="n">
        <f aca="false">I267-I242+I268</f>
        <v>4721157.38504098</v>
      </c>
      <c r="J269" s="73" t="n">
        <f aca="false">J267-J242+J268</f>
        <v>3052969.10864954</v>
      </c>
      <c r="K269" s="73" t="n">
        <f aca="false">K267-K242+K268</f>
        <v>3699458.07298265</v>
      </c>
      <c r="L269" s="73" t="n">
        <f aca="false">L267-L242+L268</f>
        <v>4318465.23854271</v>
      </c>
      <c r="M269" s="73" t="n">
        <f aca="false">M267-M242+M268</f>
        <v>4911385.49862274</v>
      </c>
      <c r="N269" s="73" t="n">
        <f aca="false">N267-N242+N268</f>
        <v>5479562.85218514</v>
      </c>
      <c r="O269" s="73" t="n">
        <f aca="false">O267-O242+O268</f>
        <v>6024292.43555959</v>
      </c>
    </row>
    <row r="270" customFormat="false" ht="15" hidden="false" customHeight="false" outlineLevel="0" collapsed="false">
      <c r="B270" s="65" t="s">
        <v>1059</v>
      </c>
      <c r="C270" s="25"/>
      <c r="D270" s="73" t="n">
        <f aca="false">MIN(MAX(0,MIN($F$20*AN_cible,Emprunt_max*D232)-C275),MAX(0,IF($F$20&gt;0,Poche_min_exec*D232,0)-D269))-IF(D269&gt;Liq_cible*D232,MIN(C275,D269-Liq_cible*D232),0)</f>
        <v>0</v>
      </c>
      <c r="E270" s="73" t="n">
        <f aca="false">MIN(MAX(0,MIN($F$20*AN_cible,Emprunt_max*E232)-D275),MAX(0,IF($F$20&gt;0,Poche_min_exec*E232,0)-E269))-IF(E269&gt;Liq_cible*E232,MIN(D275,E269-Liq_cible*E232),0)</f>
        <v>0</v>
      </c>
      <c r="F270" s="73" t="n">
        <f aca="false">MIN(MAX(0,MIN($F$20*AN_cible,Emprunt_max*F232)-E275),MAX(0,IF($F$20&gt;0,Poche_min_exec*F232,0)-F269))-IF(F269&gt;Liq_cible*F232,MIN(E275,F269-Liq_cible*F232),0)</f>
        <v>0</v>
      </c>
      <c r="G270" s="73" t="n">
        <f aca="false">MIN(MAX(0,MIN($F$20*AN_cible,Emprunt_max*G232)-F275),MAX(0,IF($F$20&gt;0,Poche_min_exec*G232,0)-G269))-IF(G269&gt;Liq_cible*G232,MIN(F275,G269-Liq_cible*G232),0)</f>
        <v>0</v>
      </c>
      <c r="H270" s="73" t="n">
        <f aca="false">MIN(MAX(0,MIN($F$20*AN_cible,Emprunt_max*H232)-G275),MAX(0,IF($F$20&gt;0,Poche_min_exec*H232,0)-H269))-IF(H269&gt;Liq_cible*H232,MIN(G275,H269-Liq_cible*H232),0)</f>
        <v>0</v>
      </c>
      <c r="I270" s="73" t="n">
        <f aca="false">MIN(MAX(0,MIN($F$20*AN_cible,Emprunt_max*I232)-H275),MAX(0,IF($F$20&gt;0,Poche_min_exec*I232,0)-I269))-IF(I269&gt;Liq_cible*I232,MIN(H275,I269-Liq_cible*I232),0)</f>
        <v>0</v>
      </c>
      <c r="J270" s="73" t="n">
        <f aca="false">MIN(MAX(0,MIN($F$20*AN_cible,Emprunt_max*J232)-I275),MAX(0,IF($F$20&gt;0,Poche_min_exec*J232,0)-J269))-IF(J269&gt;Liq_cible*J232,MIN(I275,J269-Liq_cible*J232),0)</f>
        <v>0</v>
      </c>
      <c r="K270" s="73" t="n">
        <f aca="false">MIN(MAX(0,MIN($F$20*AN_cible,Emprunt_max*K232)-J275),MAX(0,IF($F$20&gt;0,Poche_min_exec*K232,0)-K269))-IF(K269&gt;Liq_cible*K232,MIN(J275,K269-Liq_cible*K232),0)</f>
        <v>0</v>
      </c>
      <c r="L270" s="73" t="n">
        <f aca="false">MIN(MAX(0,MIN($F$20*AN_cible,Emprunt_max*L232)-K275),MAX(0,IF($F$20&gt;0,Poche_min_exec*L232,0)-L269))-IF(L269&gt;Liq_cible*L232,MIN(K275,L269-Liq_cible*L232),0)</f>
        <v>0</v>
      </c>
      <c r="M270" s="73" t="n">
        <f aca="false">MIN(MAX(0,MIN($F$20*AN_cible,Emprunt_max*M232)-L275),MAX(0,IF($F$20&gt;0,Poche_min_exec*M232,0)-M269))-IF(M269&gt;Liq_cible*M232,MIN(L275,M269-Liq_cible*M232),0)</f>
        <v>0</v>
      </c>
      <c r="N270" s="73" t="n">
        <f aca="false">MIN(MAX(0,MIN($F$20*AN_cible,Emprunt_max*N232)-M275),MAX(0,IF($F$20&gt;0,Poche_min_exec*N232,0)-N269))-IF(N269&gt;Liq_cible*N232,MIN(M275,N269-Liq_cible*N232),0)</f>
        <v>0</v>
      </c>
      <c r="O270" s="73" t="n">
        <f aca="false">MIN(MAX(0,MIN($F$20*AN_cible,Emprunt_max*O232)-N275),MAX(0,IF($F$20&gt;0,Poche_min_exec*O232,0)-O269))-IF(O269&gt;Liq_cible*O232,MIN(N275,O269-Liq_cible*O232),0)</f>
        <v>0</v>
      </c>
    </row>
    <row r="271" customFormat="false" ht="15" hidden="false" customHeight="false" outlineLevel="0" collapsed="false">
      <c r="B271" s="65" t="s">
        <v>1060</v>
      </c>
      <c r="C271" s="25"/>
      <c r="D271" s="73" t="n">
        <f aca="false">MIN((C246+C247+C248+C249),MAX(0,-(D269+D270))/(1-Decote))</f>
        <v>0</v>
      </c>
      <c r="E271" s="73" t="n">
        <f aca="false">MIN((D246+D247+D248+D249),MAX(0,-(E269+E270))/(1-Decote))</f>
        <v>0</v>
      </c>
      <c r="F271" s="73" t="n">
        <f aca="false">MIN((E246+E247+E248+E249),MAX(0,-(F269+F270))/(1-Decote))</f>
        <v>0</v>
      </c>
      <c r="G271" s="73" t="n">
        <f aca="false">MIN((F246+F247+F248+F249),MAX(0,-(G269+G270))/(1-Decote))</f>
        <v>0</v>
      </c>
      <c r="H271" s="73" t="n">
        <f aca="false">MIN((G246+G247+G248+G249),MAX(0,-(H269+H270))/(1-Decote))</f>
        <v>0</v>
      </c>
      <c r="I271" s="73" t="n">
        <f aca="false">MIN((H246+H247+H248+H249),MAX(0,-(I269+I270))/(1-Decote))</f>
        <v>0</v>
      </c>
      <c r="J271" s="73" t="n">
        <f aca="false">MIN((I246+I247+I248+I249),MAX(0,-(J269+J270))/(1-Decote))</f>
        <v>0</v>
      </c>
      <c r="K271" s="73" t="n">
        <f aca="false">MIN((J246+J247+J248+J249),MAX(0,-(K269+K270))/(1-Decote))</f>
        <v>0</v>
      </c>
      <c r="L271" s="73" t="n">
        <f aca="false">MIN((K246+K247+K248+K249),MAX(0,-(L269+L270))/(1-Decote))</f>
        <v>0</v>
      </c>
      <c r="M271" s="73" t="n">
        <f aca="false">MIN((L246+L247+L248+L249),MAX(0,-(M269+M270))/(1-Decote))</f>
        <v>0</v>
      </c>
      <c r="N271" s="73" t="n">
        <f aca="false">MIN((M246+M247+M248+M249),MAX(0,-(N269+N270))/(1-Decote))</f>
        <v>0</v>
      </c>
      <c r="O271" s="73" t="n">
        <f aca="false">MIN((N246+N247+N248+N249),MAX(0,-(O269+O270))/(1-Decote))</f>
        <v>0</v>
      </c>
    </row>
    <row r="272" customFormat="false" ht="15" hidden="false" customHeight="false" outlineLevel="0" collapsed="false">
      <c r="B272" s="65" t="s">
        <v>1061</v>
      </c>
      <c r="C272" s="25"/>
      <c r="D272" s="73" t="n">
        <f aca="false">D271*Decote</f>
        <v>0</v>
      </c>
      <c r="E272" s="73" t="n">
        <f aca="false">E271*Decote</f>
        <v>0</v>
      </c>
      <c r="F272" s="73" t="n">
        <f aca="false">F271*Decote</f>
        <v>0</v>
      </c>
      <c r="G272" s="73" t="n">
        <f aca="false">G271*Decote</f>
        <v>0</v>
      </c>
      <c r="H272" s="73" t="n">
        <f aca="false">H271*Decote</f>
        <v>0</v>
      </c>
      <c r="I272" s="73" t="n">
        <f aca="false">I271*Decote</f>
        <v>0</v>
      </c>
      <c r="J272" s="73" t="n">
        <f aca="false">J271*Decote</f>
        <v>0</v>
      </c>
      <c r="K272" s="73" t="n">
        <f aca="false">K271*Decote</f>
        <v>0</v>
      </c>
      <c r="L272" s="73" t="n">
        <f aca="false">L271*Decote</f>
        <v>0</v>
      </c>
      <c r="M272" s="73" t="n">
        <f aca="false">M271*Decote</f>
        <v>0</v>
      </c>
      <c r="N272" s="73" t="n">
        <f aca="false">N271*Decote</f>
        <v>0</v>
      </c>
      <c r="O272" s="73" t="n">
        <f aca="false">O271*Decote</f>
        <v>0</v>
      </c>
    </row>
    <row r="273" customFormat="false" ht="15" hidden="false" customHeight="false" outlineLevel="0" collapsed="false">
      <c r="B273" s="65" t="s">
        <v>1062</v>
      </c>
      <c r="C273" s="25"/>
      <c r="D273" s="73" t="n">
        <f aca="false">IF(AND(D243&lt;0.000001,C275+D270&lt;0.000001),MAX(0,D269+D270-Seuil_reinv*D232),0)</f>
        <v>0</v>
      </c>
      <c r="E273" s="73" t="n">
        <f aca="false">IF(AND(E243&lt;0.000001,D275+E270&lt;0.000001),MAX(0,E269+E270-Seuil_reinv*E232),0)</f>
        <v>0</v>
      </c>
      <c r="F273" s="73" t="n">
        <f aca="false">IF(AND(F243&lt;0.000001,E275+F270&lt;0.000001),MAX(0,F269+F270-Seuil_reinv*F232),0)</f>
        <v>0</v>
      </c>
      <c r="G273" s="73" t="n">
        <f aca="false">IF(AND(G243&lt;0.000001,F275+G270&lt;0.000001),MAX(0,G269+G270-Seuil_reinv*G232),0)</f>
        <v>0</v>
      </c>
      <c r="H273" s="73" t="n">
        <f aca="false">IF(AND(H243&lt;0.000001,G275+H270&lt;0.000001),MAX(0,H269+H270-Seuil_reinv*H232),0)</f>
        <v>0</v>
      </c>
      <c r="I273" s="73" t="n">
        <f aca="false">IF(AND(I243&lt;0.000001,H275+I270&lt;0.000001),MAX(0,I269+I270-Seuil_reinv*I232),0)</f>
        <v>0</v>
      </c>
      <c r="J273" s="73" t="n">
        <f aca="false">IF(AND(J243&lt;0.000001,I275+J270&lt;0.000001),MAX(0,J269+J270-Seuil_reinv*J232),0)</f>
        <v>0</v>
      </c>
      <c r="K273" s="73" t="n">
        <f aca="false">IF(AND(K243&lt;0.000001,J275+K270&lt;0.000001),MAX(0,K269+K270-Seuil_reinv*K232),0)</f>
        <v>0</v>
      </c>
      <c r="L273" s="73" t="n">
        <f aca="false">IF(AND(L243&lt;0.000001,K275+L270&lt;0.000001),MAX(0,L269+L270-Seuil_reinv*L232),0)</f>
        <v>0</v>
      </c>
      <c r="M273" s="73" t="n">
        <f aca="false">IF(AND(M243&lt;0.000001,L275+M270&lt;0.000001),MAX(0,M269+M270-Seuil_reinv*M232),0)</f>
        <v>0</v>
      </c>
      <c r="N273" s="73" t="n">
        <f aca="false">IF(AND(N243&lt;0.000001,M275+N270&lt;0.000001),MAX(0,N269+N270-Seuil_reinv*N232),0)</f>
        <v>0</v>
      </c>
      <c r="O273" s="73" t="n">
        <f aca="false">IF(AND(O243&lt;0.000001,N275+O270&lt;0.000001),MAX(0,O269+O270-Seuil_reinv*O232),0)</f>
        <v>0</v>
      </c>
    </row>
    <row r="274" customFormat="false" ht="15" hidden="false" customHeight="false" outlineLevel="0" collapsed="false">
      <c r="B274" s="65" t="s">
        <v>1063</v>
      </c>
      <c r="C274" s="73" t="n">
        <f aca="false">AN_cible*Ws_LIQ</f>
        <v>7500000</v>
      </c>
      <c r="D274" s="73" t="n">
        <f aca="false">D269+D270+D271-D272-D273</f>
        <v>5739375</v>
      </c>
      <c r="E274" s="73" t="n">
        <f aca="false">E269+E270+E271-E272-E273</f>
        <v>6562891.4375</v>
      </c>
      <c r="F274" s="73" t="n">
        <f aca="false">F269+F270+F271-F272-F273</f>
        <v>4909430.45367109</v>
      </c>
      <c r="G274" s="73" t="n">
        <f aca="false">G269+G270+G271-G272-G273</f>
        <v>5659951.93568534</v>
      </c>
      <c r="H274" s="73" t="n">
        <f aca="false">H269+H270+H271-H272-H273</f>
        <v>4012380.04095581</v>
      </c>
      <c r="I274" s="73" t="n">
        <f aca="false">I269+I270+I271-I272-I273</f>
        <v>4721157.38504098</v>
      </c>
      <c r="J274" s="73" t="n">
        <f aca="false">J269+J270+J271-J272-J273</f>
        <v>3052969.10864954</v>
      </c>
      <c r="K274" s="73" t="n">
        <f aca="false">K269+K270+K271-K272-K273</f>
        <v>3699458.07298265</v>
      </c>
      <c r="L274" s="73" t="n">
        <f aca="false">L269+L270+L271-L272-L273</f>
        <v>4318465.23854271</v>
      </c>
      <c r="M274" s="73" t="n">
        <f aca="false">M269+M270+M271-M272-M273</f>
        <v>4911385.49862274</v>
      </c>
      <c r="N274" s="73" t="n">
        <f aca="false">N269+N270+N271-N272-N273</f>
        <v>5479562.85218514</v>
      </c>
      <c r="O274" s="73" t="n">
        <f aca="false">O269+O270+O271-O272-O273</f>
        <v>6024292.43555959</v>
      </c>
    </row>
    <row r="275" customFormat="false" ht="15" hidden="false" customHeight="false" outlineLevel="0" collapsed="false">
      <c r="B275" s="65" t="s">
        <v>1064</v>
      </c>
      <c r="C275" s="73" t="n">
        <v>0</v>
      </c>
      <c r="D275" s="73" t="n">
        <f aca="false">C275+D270</f>
        <v>0</v>
      </c>
      <c r="E275" s="73" t="n">
        <f aca="false">D275+E270</f>
        <v>0</v>
      </c>
      <c r="F275" s="73" t="n">
        <f aca="false">E275+F270</f>
        <v>0</v>
      </c>
      <c r="G275" s="73" t="n">
        <f aca="false">F275+G270</f>
        <v>0</v>
      </c>
      <c r="H275" s="73" t="n">
        <f aca="false">G275+H270</f>
        <v>0</v>
      </c>
      <c r="I275" s="73" t="n">
        <f aca="false">H275+I270</f>
        <v>0</v>
      </c>
      <c r="J275" s="73" t="n">
        <f aca="false">I275+J270</f>
        <v>0</v>
      </c>
      <c r="K275" s="73" t="n">
        <f aca="false">J275+K270</f>
        <v>0</v>
      </c>
      <c r="L275" s="73" t="n">
        <f aca="false">K275+L270</f>
        <v>0</v>
      </c>
      <c r="M275" s="73" t="n">
        <f aca="false">L275+M270</f>
        <v>0</v>
      </c>
      <c r="N275" s="73" t="n">
        <f aca="false">M275+N270</f>
        <v>0</v>
      </c>
      <c r="O275" s="73" t="n">
        <f aca="false">N275+O270</f>
        <v>0</v>
      </c>
    </row>
    <row r="276" customFormat="false" ht="15" hidden="false" customHeight="false" outlineLevel="0" collapsed="false">
      <c r="B276" s="74" t="s">
        <v>1065</v>
      </c>
      <c r="C276" s="73" t="n">
        <f aca="false">C246+C247+C248+C249+C274-C275</f>
        <v>50000000</v>
      </c>
      <c r="D276" s="73" t="n">
        <f aca="false">D246+D247+D248+D249+D274-D275</f>
        <v>48100643.75</v>
      </c>
      <c r="E276" s="73" t="n">
        <f aca="false">E246+E247+E248+E249+E274-E275</f>
        <v>48823151.7132813</v>
      </c>
      <c r="F276" s="73" t="n">
        <f aca="false">F246+F247+F248+F249+F274-F275</f>
        <v>47105173.9904901</v>
      </c>
      <c r="G276" s="73" t="n">
        <f aca="false">G246+G247+G248+G249+G274-G275</f>
        <v>47826489.4455393</v>
      </c>
      <c r="H276" s="73" t="n">
        <f aca="false">H246+H247+H248+H249+H274-H275</f>
        <v>46183889.2303444</v>
      </c>
      <c r="I276" s="73" t="n">
        <f aca="false">I246+I247+I248+I249+I274-I275</f>
        <v>46930729.0550004</v>
      </c>
      <c r="J276" s="73" t="n">
        <f aca="false">J246+J247+J248+J249+J274-J275</f>
        <v>45332651.4154555</v>
      </c>
      <c r="K276" s="73" t="n">
        <f aca="false">K246+K247+K248+K249+K274-K275</f>
        <v>46080299.0246774</v>
      </c>
      <c r="L276" s="73" t="n">
        <f aca="false">L246+L247+L248+L249+L274-L275</f>
        <v>46830553.4993366</v>
      </c>
      <c r="M276" s="73" t="n">
        <f aca="false">M246+M247+M248+M249+M274-M275</f>
        <v>47583889.5702456</v>
      </c>
      <c r="N276" s="73" t="n">
        <f aca="false">N246+N247+N248+N249+N274-N275</f>
        <v>48340768.6984106</v>
      </c>
      <c r="O276" s="73" t="n">
        <f aca="false">O246+O247+O248+O249+O274-O275</f>
        <v>49101639.613394</v>
      </c>
    </row>
    <row r="277" customFormat="false" ht="15" hidden="false" customHeight="false" outlineLevel="0" collapsed="false">
      <c r="B277" s="65" t="s">
        <v>1066</v>
      </c>
      <c r="C277" s="72" t="n">
        <f aca="false">IF((C276+C275)&gt;0,C274/(C276+C275),0)</f>
        <v>0.15</v>
      </c>
      <c r="D277" s="72" t="n">
        <f aca="false">IF((D276+D275)&gt;0,D274/(D276+D275),0)</f>
        <v>0.119320128641729</v>
      </c>
      <c r="E277" s="72" t="n">
        <f aca="false">IF((E276+E275)&gt;0,E274/(E276+E275),0)</f>
        <v>0.134421707882384</v>
      </c>
      <c r="F277" s="72" t="n">
        <f aca="false">IF((F276+F275)&gt;0,F274/(F276+F275),0)</f>
        <v>0.104222743231184</v>
      </c>
      <c r="G277" s="72" t="n">
        <f aca="false">IF((G276+G275)&gt;0,G274/(G276+G275),0)</f>
        <v>0.118343453623758</v>
      </c>
      <c r="H277" s="72" t="n">
        <f aca="false">IF((H276+H275)&gt;0,H274/(H276+H275),0)</f>
        <v>0.0868783488749479</v>
      </c>
      <c r="I277" s="72" t="n">
        <f aca="false">IF((I276+I275)&gt;0,I274/(I276+I275),0)</f>
        <v>0.100598424105196</v>
      </c>
      <c r="J277" s="72" t="n">
        <f aca="false">IF((J276+J275)&gt;0,J274/(J276+J275),0)</f>
        <v>0.0673459198463885</v>
      </c>
      <c r="K277" s="72" t="n">
        <f aca="false">IF((K276+K275)&gt;0,K274/(K276+K275),0)</f>
        <v>0.0802828573443387</v>
      </c>
      <c r="L277" s="72" t="n">
        <f aca="false">IF((L276+L275)&gt;0,L274/(L276+L275),0)</f>
        <v>0.0922146956602571</v>
      </c>
      <c r="M277" s="72" t="n">
        <f aca="false">IF((M276+M275)&gt;0,M274/(M276+M275),0)</f>
        <v>0.103215301291676</v>
      </c>
      <c r="N277" s="72" t="n">
        <f aca="false">IF((N276+N275)&gt;0,N274/(N276+N275),0)</f>
        <v>0.113352828259127</v>
      </c>
      <c r="O277" s="72" t="n">
        <f aca="false">IF((O276+O275)&gt;0,O274/(O276+O275),0)</f>
        <v>0.122690249918177</v>
      </c>
    </row>
    <row r="278" customFormat="false" ht="15" hidden="false" customHeight="false" outlineLevel="0" collapsed="false">
      <c r="B278" s="65" t="s">
        <v>1067</v>
      </c>
      <c r="C278" s="72" t="n">
        <f aca="false">0</f>
        <v>0</v>
      </c>
      <c r="D278" s="72" t="n">
        <f aca="false">IF(D276&gt;0,D243/D276,0)</f>
        <v>0.332635880782781</v>
      </c>
      <c r="E278" s="72" t="n">
        <f aca="false">IF(E276&gt;0,E243/E276,0)</f>
        <v>0.327713378561908</v>
      </c>
      <c r="F278" s="72" t="n">
        <f aca="false">IF(F276&gt;0,F243/F276,0)</f>
        <v>0.308571314300549</v>
      </c>
      <c r="G278" s="72" t="n">
        <f aca="false">IF(G276&gt;0,G243/G276,0)</f>
        <v>0.303917465344244</v>
      </c>
      <c r="H278" s="72" t="n">
        <f aca="false">IF(H276&gt;0,H243/H276,0)</f>
        <v>0.283659756325327</v>
      </c>
      <c r="I278" s="72" t="n">
        <f aca="false">IF(I276&gt;0,I243/I276,0)</f>
        <v>0.279145690446919</v>
      </c>
      <c r="J278" s="72" t="n">
        <f aca="false">IF(J276&gt;0,J243/J276,0)</f>
        <v>0.257928634847044</v>
      </c>
      <c r="K278" s="72" t="n">
        <f aca="false">IF(K276&gt;0,K243/K276,0)</f>
        <v>0.25374377209062</v>
      </c>
      <c r="L278" s="72" t="n">
        <f aca="false">IF(L276&gt;0,L243/L276,0)</f>
        <v>0.269358227300423</v>
      </c>
      <c r="M278" s="72" t="n">
        <f aca="false">IF(M276&gt;0,M243/M276,0)</f>
        <v>0.265093816163499</v>
      </c>
      <c r="N278" s="72" t="n">
        <f aca="false">IF(N276&gt;0,N243/N276,0)</f>
        <v>0.260943199988743</v>
      </c>
      <c r="O278" s="72" t="n">
        <f aca="false">IF(O276&gt;0,O243/O276,0)</f>
        <v>0.256899667167897</v>
      </c>
    </row>
    <row r="279" customFormat="false" ht="15" hidden="false" customHeight="false" outlineLevel="0" collapsed="false">
      <c r="B279" s="65" t="s">
        <v>1068</v>
      </c>
      <c r="C279" s="75" t="n">
        <f aca="false">IF((C243+SUM(D234:G234)+SUM(D264:G264)+SUM(D265:G265)+SUM(D263:G263))&lt;=0,9.99,MIN(9.99,(C274+SUM(D262:G262)+SUM(D258:G259)+MAX(0,MIN($F$20*AN_cible,Emprunt_max*C276)-C275))/(C243+SUM(D234:G234)+SUM(D264:G264)+SUM(D265:G265)+SUM(D263:G263))))</f>
        <v>0.608618451524867</v>
      </c>
      <c r="D279" s="73" t="n">
        <f aca="false">IF((D243+SUM(E234:H234)+SUM(E264:H264)+SUM(E265:H265)+SUM(E263:H263))&lt;=0,9.99,MIN(9.99,(D274+SUM(E262:H262)+SUM(E258:H259)+MAX(0,MIN($F$20*AN_cible,Emprunt_max*D276)-D275))/(D243+SUM(E234:H234)+SUM(E264:H264)+SUM(E265:H265)+SUM(E263:H263))))</f>
        <v>0.568485323031646</v>
      </c>
      <c r="E279" s="73" t="n">
        <f aca="false">IF((E243+SUM(F234:I234)+SUM(F264:I264)+SUM(F265:I265)+SUM(F263:I263))&lt;=0,9.99,MIN(9.99,(E274+SUM(F262:I262)+SUM(F258:I259)+MAX(0,MIN($F$20*AN_cible,Emprunt_max*E276)-E275))/(E243+SUM(F234:I234)+SUM(F264:I264)+SUM(F265:I265)+SUM(F263:I263))))</f>
        <v>0.601943959261752</v>
      </c>
      <c r="F279" s="73" t="n">
        <f aca="false">IF((F243+SUM(G234:J234)+SUM(G264:J264)+SUM(G265:J265)+SUM(G263:J263))&lt;=0,9.99,MIN(9.99,(F274+SUM(G262:J262)+SUM(G258:J259)+MAX(0,MIN($F$20*AN_cible,Emprunt_max*F276)-F275))/(F243+SUM(G234:J234)+SUM(G264:J264)+SUM(G265:J265)+SUM(G263:J263))))</f>
        <v>0.559136250357546</v>
      </c>
      <c r="G279" s="73" t="n">
        <f aca="false">IF((G243+SUM(H234:K234)+SUM(H264:K264)+SUM(H265:K265)+SUM(H263:K263))&lt;=0,9.99,MIN(9.99,(G274+SUM(H262:K262)+SUM(H258:K259)+MAX(0,MIN($F$20*AN_cible,Emprunt_max*G276)-G275))/(G243+SUM(H234:K234)+SUM(H264:K264)+SUM(H265:K265)+SUM(H263:K263))))</f>
        <v>0.59207304510419</v>
      </c>
      <c r="H279" s="73" t="n">
        <f aca="false">IF((H243+SUM(I234:L234)+SUM(I264:L264)+SUM(I265:L265)+SUM(I263:L263))&lt;=0,9.99,MIN(9.99,(H274+SUM(I262:L262)+SUM(I258:L259)+MAX(0,MIN($F$20*AN_cible,Emprunt_max*H276)-H275))/(H243+SUM(I234:L234)+SUM(I264:L264)+SUM(I265:L265)+SUM(I263:L263))))</f>
        <v>0.54347231802202</v>
      </c>
      <c r="I279" s="73" t="n">
        <f aca="false">IF((I243+SUM(J234:M234)+SUM(J264:M264)+SUM(J265:M265)+SUM(J263:M263))&lt;=0,9.99,MIN(9.99,(I274+SUM(J262:M262)+SUM(J258:M259)+MAX(0,MIN($F$20*AN_cible,Emprunt_max*I276)-I275))/(I243+SUM(J234:M234)+SUM(J264:M264)+SUM(J265:M265)+SUM(J263:M263))))</f>
        <v>0.57569596176251</v>
      </c>
      <c r="J279" s="73" t="n">
        <f aca="false">IF((J243+SUM(K234:N234)+SUM(K264:N264)+SUM(K265:N265)+SUM(K263:N263))&lt;=0,9.99,MIN(9.99,(J274+SUM(K262:N262)+SUM(K258:N259)+MAX(0,MIN($F$20*AN_cible,Emprunt_max*J276)-J275))/(J243+SUM(K234:N234)+SUM(K264:N264)+SUM(K265:N265)+SUM(K263:N263))))</f>
        <v>0.549063665184877</v>
      </c>
      <c r="K279" s="73" t="n">
        <f aca="false">IF((K243+SUM(L234:O234)+SUM(L264:O264)+SUM(L265:O265)+SUM(L263:O263))&lt;=0,9.99,MIN(9.99,(K274+SUM(L262:O262)+SUM(L258:O259)+MAX(0,MIN($F$20*AN_cible,Emprunt_max*K276)-K275))/(K243+SUM(L234:O234)+SUM(L264:O264)+SUM(L265:O265)+SUM(L263:O263))))</f>
        <v>0.582463421093645</v>
      </c>
      <c r="L279" s="73" t="n">
        <f aca="false">IF((L243+SUM(M234:O234)+SUM(M264:O264)+SUM(M265:O265)+SUM(M263:O263))&lt;=0,9.99,MIN(9.99,(L274+SUM(M262:O262)+SUM(M258:O259)+MAX(0,MIN($F$20*AN_cible,Emprunt_max*L276)-L275))/(L243+SUM(M234:O234)+SUM(M264:O264)+SUM(M265:O265)+SUM(M263:O263))))</f>
        <v>0.560491412965565</v>
      </c>
      <c r="M279" s="73" t="n">
        <f aca="false">IF((M243+SUM(N234:O234)+SUM(N264:O264)+SUM(N265:O265)+SUM(N263:O263))&lt;=0,9.99,MIN(9.99,(M274+SUM(N262:O262)+SUM(N258:O259)+MAX(0,MIN($F$20*AN_cible,Emprunt_max*M276)-M275))/(M243+SUM(N234:O234)+SUM(N264:O264)+SUM(N265:O265)+SUM(N263:O263))))</f>
        <v>0.536047808961053</v>
      </c>
      <c r="N279" s="73" t="n">
        <f aca="false">IF((N243+SUM(O234:O234)+SUM(O264:O264)+SUM(O265:O265)+SUM(O263:O263))&lt;=0,9.99,MIN(9.99,(N274+SUM(O262:O262)+SUM(O258:O259)+MAX(0,MIN($F$20*AN_cible,Emprunt_max*N276)-N275))/(N243+SUM(O234:O234)+SUM(O264:O264)+SUM(O265:O265)+SUM(O263:O263))))</f>
        <v>0.508626995490176</v>
      </c>
      <c r="O279" s="73" t="n">
        <f aca="false">9.99</f>
        <v>9.99</v>
      </c>
    </row>
    <row r="280" customFormat="false" ht="15" hidden="false" customHeight="false" outlineLevel="0" collapsed="false">
      <c r="B280" s="65" t="s">
        <v>1069</v>
      </c>
      <c r="C280" s="72" t="n">
        <f aca="false">(C246+C247+C248+C249+C254+C255)/C276</f>
        <v>1</v>
      </c>
      <c r="D280" s="72" t="n">
        <f aca="false">(D246+D247+D248+D249+D254+D255)/D276</f>
        <v>1.02360935138212</v>
      </c>
      <c r="E280" s="72" t="n">
        <f aca="false">(E246+E247+E248+E249+E254+E255)/E276</f>
        <v>0.993591330618362</v>
      </c>
      <c r="F280" s="72" t="n">
        <f aca="false">(F246+F247+F248+F249+F254+F255)/F276</f>
        <v>1.01519089063281</v>
      </c>
      <c r="G280" s="72" t="n">
        <f aca="false">(G246+G247+G248+G249+G254+G255)/G276</f>
        <v>0.986201121108067</v>
      </c>
      <c r="H280" s="72" t="n">
        <f aca="false">(H246+H247+H248+H249+H254+H255)/H276</f>
        <v>1.00785165487548</v>
      </c>
      <c r="I280" s="72" t="n">
        <f aca="false">(I246+I247+I248+I249+I254+I255)/I276</f>
        <v>0.979306577916085</v>
      </c>
      <c r="J280" s="72" t="n">
        <f aca="false">(J246+J247+J248+J249+J254+J255)/J276</f>
        <v>1.0015889406223</v>
      </c>
      <c r="K280" s="72" t="n">
        <f aca="false">(K246+K247+K248+K249+K254+K255)/K276</f>
        <v>0.97397026281578</v>
      </c>
      <c r="L280" s="72" t="n">
        <f aca="false">(L246+L247+L248+L249+L254+L255)/L276</f>
        <v>0.947823268017165</v>
      </c>
      <c r="M280" s="72" t="n">
        <f aca="false">(M246+M247+M248+M249+M254+M255)/M276</f>
        <v>0.923054093902567</v>
      </c>
      <c r="N280" s="72" t="n">
        <f aca="false">(N246+N247+N248+N249+N254+N255)/N276</f>
        <v>0.899576217282107</v>
      </c>
      <c r="O280" s="72" t="n">
        <f aca="false">(O246+O247+O248+O249+O254+O255)/O276</f>
        <v>0.877309750081823</v>
      </c>
    </row>
    <row r="281" customFormat="false" ht="15" hidden="false" customHeight="false" outlineLevel="0" collapsed="false">
      <c r="B281" s="65" t="s">
        <v>849</v>
      </c>
      <c r="C281" s="72" t="n">
        <f aca="false">(C276+C275)/C276</f>
        <v>1</v>
      </c>
      <c r="D281" s="72" t="n">
        <f aca="false">(D276+D275)/D276</f>
        <v>1</v>
      </c>
      <c r="E281" s="72" t="n">
        <f aca="false">(E276+E275)/E276</f>
        <v>1</v>
      </c>
      <c r="F281" s="72" t="n">
        <f aca="false">(F276+F275)/F276</f>
        <v>1</v>
      </c>
      <c r="G281" s="72" t="n">
        <f aca="false">(G276+G275)/G276</f>
        <v>1</v>
      </c>
      <c r="H281" s="72" t="n">
        <f aca="false">(H276+H275)/H276</f>
        <v>1</v>
      </c>
      <c r="I281" s="72" t="n">
        <f aca="false">(I276+I275)/I276</f>
        <v>1</v>
      </c>
      <c r="J281" s="72" t="n">
        <f aca="false">(J276+J275)/J276</f>
        <v>1</v>
      </c>
      <c r="K281" s="72" t="n">
        <f aca="false">(K276+K275)/K276</f>
        <v>1</v>
      </c>
      <c r="L281" s="72" t="n">
        <f aca="false">(L276+L275)/L276</f>
        <v>1</v>
      </c>
      <c r="M281" s="72" t="n">
        <f aca="false">(M276+M275)/M276</f>
        <v>1</v>
      </c>
      <c r="N281" s="72" t="n">
        <f aca="false">(N276+N275)/N276</f>
        <v>1</v>
      </c>
      <c r="O281" s="72" t="n">
        <f aca="false">(O276+O275)/O276</f>
        <v>1</v>
      </c>
    </row>
    <row r="282" customFormat="false" ht="15" hidden="false" customHeight="false" outlineLevel="0" collapsed="false">
      <c r="B282" s="65" t="s">
        <v>1070</v>
      </c>
      <c r="C282" s="72" t="n">
        <f aca="false">(C246+C247*MSIG_USD)/C276</f>
        <v>0.25</v>
      </c>
      <c r="D282" s="72" t="n">
        <f aca="false">(D246+D247*MSIG_USD)/D276</f>
        <v>0.269675444832274</v>
      </c>
      <c r="E282" s="72" t="n">
        <f aca="false">(E246+E247*MSIG_USD)/E276</f>
        <v>0.27541785707076</v>
      </c>
      <c r="F282" s="72" t="n">
        <f aca="false">(F246+F247*MSIG_USD)/F276</f>
        <v>0.295628758414858</v>
      </c>
      <c r="G282" s="72" t="n">
        <f aca="false">(G246+G247*MSIG_USD)/G276</f>
        <v>0.301260240286235</v>
      </c>
      <c r="H282" s="72" t="n">
        <f aca="false">(H246+H247*MSIG_USD)/H276</f>
        <v>0.3225047402423</v>
      </c>
      <c r="I282" s="72" t="n">
        <f aca="false">(I246+I247*MSIG_USD)/I276</f>
        <v>0.327814711194842</v>
      </c>
      <c r="J282" s="72" t="n">
        <f aca="false">(J246+J247*MSIG_USD)/J276</f>
        <v>0.350264738598829</v>
      </c>
      <c r="K282" s="72" t="n">
        <f aca="false">(K246+K247*MSIG_USD)/K276</f>
        <v>0.355381594975843</v>
      </c>
      <c r="L282" s="72" t="n">
        <f aca="false">(L246+L247*MSIG_USD)/L276</f>
        <v>0.360397095479821</v>
      </c>
      <c r="M282" s="72" t="n">
        <f aca="false">(M246+M247*MSIG_USD)/M276</f>
        <v>0.365312189541524</v>
      </c>
      <c r="N282" s="72" t="n">
        <f aca="false">(N246+N247*MSIG_USD)/N276</f>
        <v>0.370127717215834</v>
      </c>
      <c r="O282" s="72" t="n">
        <f aca="false">(O246+O247*MSIG_USD)/O276</f>
        <v>0.374844428976344</v>
      </c>
    </row>
    <row r="283" customFormat="false" ht="15" hidden="false" customHeight="false" outlineLevel="0" collapsed="false">
      <c r="B283" s="65" t="s">
        <v>1071</v>
      </c>
      <c r="C283" s="25"/>
      <c r="D283" s="65" t="n">
        <f aca="false">IF(AND($F$9&lt;0.5*Collecte_norm,IF(D227&lt;=$F$11,0,$F$10)&lt;0.5,IF(D227&lt;=4,$F$17,($F$18+$F$19)/2)&lt;0.7),1,0)</f>
        <v>0</v>
      </c>
      <c r="E283" s="65" t="n">
        <f aca="false">IF(AND($F$9&lt;0.5*Collecte_norm,IF(E227&lt;=$F$11,0,$F$10)&lt;0.5,IF(E227&lt;=4,$F$17,($F$18+$F$19)/2)&lt;0.7),1,0)</f>
        <v>0</v>
      </c>
      <c r="F283" s="65" t="n">
        <f aca="false">IF(AND($F$9&lt;0.5*Collecte_norm,IF(F227&lt;=$F$11,0,$F$10)&lt;0.5,IF(F227&lt;=4,$F$17,($F$18+$F$19)/2)&lt;0.7),1,0)</f>
        <v>0</v>
      </c>
      <c r="G283" s="65" t="n">
        <f aca="false">IF(AND($F$9&lt;0.5*Collecte_norm,IF(G227&lt;=$F$11,0,$F$10)&lt;0.5,IF(G227&lt;=4,$F$17,($F$18+$F$19)/2)&lt;0.7),1,0)</f>
        <v>0</v>
      </c>
      <c r="H283" s="65" t="n">
        <f aca="false">IF(AND($F$9&lt;0.5*Collecte_norm,IF(H227&lt;=$F$11,0,$F$10)&lt;0.5,IF(H227&lt;=4,$F$17,($F$18+$F$19)/2)&lt;0.7),1,0)</f>
        <v>0</v>
      </c>
      <c r="I283" s="65" t="n">
        <f aca="false">IF(AND($F$9&lt;0.5*Collecte_norm,IF(I227&lt;=$F$11,0,$F$10)&lt;0.5,IF(I227&lt;=4,$F$17,($F$18+$F$19)/2)&lt;0.7),1,0)</f>
        <v>0</v>
      </c>
      <c r="J283" s="65" t="n">
        <f aca="false">IF(AND($F$9&lt;0.5*Collecte_norm,IF(J227&lt;=$F$11,0,$F$10)&lt;0.5,IF(J227&lt;=4,$F$17,($F$18+$F$19)/2)&lt;0.7),1,0)</f>
        <v>0</v>
      </c>
      <c r="K283" s="65" t="n">
        <f aca="false">IF(AND($F$9&lt;0.5*Collecte_norm,IF(K227&lt;=$F$11,0,$F$10)&lt;0.5,IF(K227&lt;=4,$F$17,($F$18+$F$19)/2)&lt;0.7),1,0)</f>
        <v>0</v>
      </c>
      <c r="L283" s="65" t="n">
        <f aca="false">IF(AND($F$9&lt;0.5*Collecte_norm,IF(L227&lt;=$F$11,0,$F$10)&lt;0.5,IF(L227&lt;=4,$F$17,($F$18+$F$19)/2)&lt;0.7),1,0)</f>
        <v>0</v>
      </c>
      <c r="M283" s="65" t="n">
        <f aca="false">IF(AND($F$9&lt;0.5*Collecte_norm,IF(M227&lt;=$F$11,0,$F$10)&lt;0.5,IF(M227&lt;=4,$F$17,($F$18+$F$19)/2)&lt;0.7),1,0)</f>
        <v>0</v>
      </c>
      <c r="N283" s="65" t="n">
        <f aca="false">IF(AND($F$9&lt;0.5*Collecte_norm,IF(N227&lt;=$F$11,0,$F$10)&lt;0.5,IF(N227&lt;=4,$F$17,($F$18+$F$19)/2)&lt;0.7),1,0)</f>
        <v>0</v>
      </c>
      <c r="O283" s="65" t="n">
        <f aca="false">IF(AND($F$9&lt;0.5*Collecte_norm,IF(O227&lt;=$F$11,0,$F$10)&lt;0.5,IF(O227&lt;=4,$F$17,($F$18+$F$19)/2)&lt;0.7),1,0)</f>
        <v>0</v>
      </c>
    </row>
    <row r="284" customFormat="false" ht="15" hidden="false" customHeight="false" outlineLevel="0" collapsed="false">
      <c r="B284" s="76" t="s">
        <v>1072</v>
      </c>
      <c r="C284" s="76" t="n">
        <v>99</v>
      </c>
      <c r="D284" s="76" t="n">
        <f aca="false">IF(D244=1,D230,99)</f>
        <v>1</v>
      </c>
      <c r="E284" s="76" t="n">
        <f aca="false">IF(E244=1,E230,99)</f>
        <v>99</v>
      </c>
      <c r="F284" s="76" t="n">
        <f aca="false">IF(F244=1,F230,99)</f>
        <v>2</v>
      </c>
      <c r="G284" s="76" t="n">
        <f aca="false">IF(G244=1,G230,99)</f>
        <v>99</v>
      </c>
      <c r="H284" s="76" t="n">
        <f aca="false">IF(H244=1,H230,99)</f>
        <v>3</v>
      </c>
      <c r="I284" s="76" t="n">
        <f aca="false">IF(I244=1,I230,99)</f>
        <v>99</v>
      </c>
      <c r="J284" s="76" t="n">
        <f aca="false">IF(J244=1,J230,99)</f>
        <v>4</v>
      </c>
      <c r="K284" s="76" t="n">
        <f aca="false">IF(K244=1,K230,99)</f>
        <v>99</v>
      </c>
      <c r="L284" s="76" t="n">
        <f aca="false">IF(L244=1,L230,99)</f>
        <v>99</v>
      </c>
      <c r="M284" s="76" t="n">
        <f aca="false">IF(M244=1,M230,99)</f>
        <v>99</v>
      </c>
      <c r="N284" s="76" t="n">
        <f aca="false">IF(N244=1,N230,99)</f>
        <v>99</v>
      </c>
      <c r="O284" s="76" t="n">
        <f aca="false">IF(O244=1,O230,99)</f>
        <v>99</v>
      </c>
    </row>
    <row r="285" customFormat="false" ht="15" hidden="false" customHeight="false" outlineLevel="0" collapsed="false">
      <c r="B285" s="76" t="s">
        <v>1073</v>
      </c>
      <c r="C285" s="76" t="n">
        <v>99</v>
      </c>
      <c r="D285" s="76" t="n">
        <f aca="false">IF(AND(D229=1,D230&gt;MIN($D284:$O284),D243&lt;=0.000001),D230,99)</f>
        <v>99</v>
      </c>
      <c r="E285" s="76" t="n">
        <f aca="false">IF(AND(E229=1,E230&gt;MIN($D284:$O284),E243&lt;=0.000001),E230,99)</f>
        <v>99</v>
      </c>
      <c r="F285" s="76" t="n">
        <f aca="false">IF(AND(F229=1,F230&gt;MIN($D284:$O284),F243&lt;=0.000001),F230,99)</f>
        <v>99</v>
      </c>
      <c r="G285" s="76" t="n">
        <f aca="false">IF(AND(G229=1,G230&gt;MIN($D284:$O284),G243&lt;=0.000001),G230,99)</f>
        <v>99</v>
      </c>
      <c r="H285" s="76" t="n">
        <f aca="false">IF(AND(H229=1,H230&gt;MIN($D284:$O284),H243&lt;=0.000001),H230,99)</f>
        <v>99</v>
      </c>
      <c r="I285" s="76" t="n">
        <f aca="false">IF(AND(I229=1,I230&gt;MIN($D284:$O284),I243&lt;=0.000001),I230,99)</f>
        <v>99</v>
      </c>
      <c r="J285" s="76" t="n">
        <f aca="false">IF(AND(J229=1,J230&gt;MIN($D284:$O284),J243&lt;=0.000001),J230,99)</f>
        <v>99</v>
      </c>
      <c r="K285" s="76" t="n">
        <f aca="false">IF(AND(K229=1,K230&gt;MIN($D284:$O284),K243&lt;=0.000001),K230,99)</f>
        <v>99</v>
      </c>
      <c r="L285" s="76" t="n">
        <f aca="false">IF(AND(L229=1,L230&gt;MIN($D284:$O284),L243&lt;=0.000001),L230,99)</f>
        <v>99</v>
      </c>
      <c r="M285" s="76" t="n">
        <f aca="false">IF(AND(M229=1,M230&gt;MIN($D284:$O284),M243&lt;=0.000001),M230,99)</f>
        <v>99</v>
      </c>
      <c r="N285" s="76" t="n">
        <f aca="false">IF(AND(N229=1,N230&gt;MIN($D284:$O284),N243&lt;=0.000001),N230,99)</f>
        <v>99</v>
      </c>
      <c r="O285" s="76" t="n">
        <f aca="false">IF(AND(O229=1,O230&gt;MIN($D284:$O284),O243&lt;=0.000001),O230,99)</f>
        <v>99</v>
      </c>
    </row>
    <row r="286" customFormat="false" ht="15" hidden="false" customHeight="false" outlineLevel="0" collapsed="false">
      <c r="B286" s="76" t="s">
        <v>1074</v>
      </c>
      <c r="C286" s="76" t="n">
        <v>9999999</v>
      </c>
      <c r="D286" s="76" t="n">
        <f aca="false">IF(D241=1,D228,9999999)</f>
        <v>9999999</v>
      </c>
      <c r="E286" s="76" t="n">
        <f aca="false">IF(E241=1,E228,9999999)</f>
        <v>9999999</v>
      </c>
      <c r="F286" s="76" t="n">
        <f aca="false">IF(F241=1,F228,9999999)</f>
        <v>9999999</v>
      </c>
      <c r="G286" s="76" t="n">
        <f aca="false">IF(G241=1,G228,9999999)</f>
        <v>9999999</v>
      </c>
      <c r="H286" s="76" t="n">
        <f aca="false">IF(H241=1,H228,9999999)</f>
        <v>9999999</v>
      </c>
      <c r="I286" s="76" t="n">
        <f aca="false">IF(I241=1,I228,9999999)</f>
        <v>9999999</v>
      </c>
      <c r="J286" s="76" t="n">
        <f aca="false">IF(J241=1,J228,9999999)</f>
        <v>9999999</v>
      </c>
      <c r="K286" s="76" t="n">
        <f aca="false">IF(K241=1,K228,9999999)</f>
        <v>9999999</v>
      </c>
      <c r="L286" s="77" t="n">
        <f aca="false">IF(L241=1,L228,9999999)</f>
        <v>47848</v>
      </c>
      <c r="M286" s="77" t="n">
        <f aca="false">IF(M241=1,M228,9999999)</f>
        <v>47938</v>
      </c>
      <c r="N286" s="77" t="n">
        <f aca="false">IF(N241=1,N228,9999999)</f>
        <v>48029</v>
      </c>
      <c r="O286" s="77" t="n">
        <f aca="false">IF(O241=1,O228,9999999)</f>
        <v>48121</v>
      </c>
    </row>
    <row r="287" customFormat="false" ht="15" hidden="false" customHeight="false" outlineLevel="0" collapsed="false">
      <c r="B287" s="76" t="s">
        <v>1075</v>
      </c>
      <c r="C287" s="76" t="n">
        <v>9999999</v>
      </c>
      <c r="D287" s="76" t="n">
        <f aca="false">IF(D283=1,D228,9999999)</f>
        <v>9999999</v>
      </c>
      <c r="E287" s="76" t="n">
        <f aca="false">IF(E283=1,E228,9999999)</f>
        <v>9999999</v>
      </c>
      <c r="F287" s="76" t="n">
        <f aca="false">IF(F283=1,F228,9999999)</f>
        <v>9999999</v>
      </c>
      <c r="G287" s="76" t="n">
        <f aca="false">IF(G283=1,G228,9999999)</f>
        <v>9999999</v>
      </c>
      <c r="H287" s="76" t="n">
        <f aca="false">IF(H283=1,H228,9999999)</f>
        <v>9999999</v>
      </c>
      <c r="I287" s="76" t="n">
        <f aca="false">IF(I283=1,I228,9999999)</f>
        <v>9999999</v>
      </c>
      <c r="J287" s="76" t="n">
        <f aca="false">IF(J283=1,J228,9999999)</f>
        <v>9999999</v>
      </c>
      <c r="K287" s="76" t="n">
        <f aca="false">IF(K283=1,K228,9999999)</f>
        <v>9999999</v>
      </c>
      <c r="L287" s="76" t="n">
        <f aca="false">IF(L283=1,L228,9999999)</f>
        <v>9999999</v>
      </c>
      <c r="M287" s="76" t="n">
        <f aca="false">IF(M283=1,M228,9999999)</f>
        <v>9999999</v>
      </c>
      <c r="N287" s="76" t="n">
        <f aca="false">IF(N283=1,N228,9999999)</f>
        <v>9999999</v>
      </c>
      <c r="O287" s="76" t="n">
        <f aca="false">IF(O283=1,O228,9999999)</f>
        <v>9999999</v>
      </c>
    </row>
    <row r="292" customFormat="false" ht="15" hidden="false" customHeight="false" outlineLevel="0" collapsed="false">
      <c r="B292" s="45" t="str">
        <f aca="false">G$5</f>
        <v>Distributions des fonds cibles divisées par deux et retardées d'un an</v>
      </c>
      <c r="C292" s="45" t="s">
        <v>55</v>
      </c>
      <c r="D292" s="45" t="n">
        <v>5</v>
      </c>
      <c r="E292" s="2"/>
      <c r="F292" s="2"/>
      <c r="G292" s="2"/>
      <c r="H292" s="2"/>
      <c r="I292" s="2"/>
      <c r="J292" s="2"/>
      <c r="K292" s="2"/>
      <c r="L292" s="2"/>
      <c r="M292" s="2"/>
      <c r="N292" s="2"/>
      <c r="O292" s="2"/>
    </row>
    <row r="293" customFormat="false" ht="15" hidden="false" customHeight="false" outlineLevel="0" collapsed="false">
      <c r="B293" s="65" t="s">
        <v>1019</v>
      </c>
      <c r="C293" s="65" t="n">
        <v>0</v>
      </c>
      <c r="D293" s="65" t="n">
        <v>1</v>
      </c>
      <c r="E293" s="65" t="n">
        <v>2</v>
      </c>
      <c r="F293" s="65" t="n">
        <v>3</v>
      </c>
      <c r="G293" s="65" t="n">
        <v>4</v>
      </c>
      <c r="H293" s="65" t="n">
        <v>5</v>
      </c>
      <c r="I293" s="65" t="n">
        <v>6</v>
      </c>
      <c r="J293" s="65" t="n">
        <v>7</v>
      </c>
      <c r="K293" s="65" t="n">
        <v>8</v>
      </c>
      <c r="L293" s="65" t="n">
        <v>9</v>
      </c>
      <c r="M293" s="65" t="n">
        <v>10</v>
      </c>
      <c r="N293" s="65" t="n">
        <v>11</v>
      </c>
      <c r="O293" s="65" t="n">
        <v>12</v>
      </c>
    </row>
    <row r="294" customFormat="false" ht="15" hidden="false" customHeight="false" outlineLevel="0" collapsed="false">
      <c r="B294" s="65" t="s">
        <v>209</v>
      </c>
      <c r="C294" s="71" t="n">
        <f aca="false">Date_depart</f>
        <v>47026</v>
      </c>
      <c r="D294" s="71" t="n">
        <f aca="false">EOMONTH(Date_depart,3*D293)</f>
        <v>47118</v>
      </c>
      <c r="E294" s="71" t="n">
        <f aca="false">EOMONTH(Date_depart,3*E293)</f>
        <v>47208</v>
      </c>
      <c r="F294" s="71" t="n">
        <f aca="false">EOMONTH(Date_depart,3*F293)</f>
        <v>47299</v>
      </c>
      <c r="G294" s="71" t="n">
        <f aca="false">EOMONTH(Date_depart,3*G293)</f>
        <v>47391</v>
      </c>
      <c r="H294" s="71" t="n">
        <f aca="false">EOMONTH(Date_depart,3*H293)</f>
        <v>47483</v>
      </c>
      <c r="I294" s="71" t="n">
        <f aca="false">EOMONTH(Date_depart,3*I293)</f>
        <v>47573</v>
      </c>
      <c r="J294" s="71" t="n">
        <f aca="false">EOMONTH(Date_depart,3*J293)</f>
        <v>47664</v>
      </c>
      <c r="K294" s="71" t="n">
        <f aca="false">EOMONTH(Date_depart,3*K293)</f>
        <v>47756</v>
      </c>
      <c r="L294" s="71" t="n">
        <f aca="false">EOMONTH(Date_depart,3*L293)</f>
        <v>47848</v>
      </c>
      <c r="M294" s="71" t="n">
        <f aca="false">EOMONTH(Date_depart,3*M293)</f>
        <v>47938</v>
      </c>
      <c r="N294" s="71" t="n">
        <f aca="false">EOMONTH(Date_depart,3*N293)</f>
        <v>48029</v>
      </c>
      <c r="O294" s="71" t="n">
        <f aca="false">EOMONTH(Date_depart,3*O293)</f>
        <v>48121</v>
      </c>
    </row>
    <row r="295" customFormat="false" ht="15" hidden="false" customHeight="false" outlineLevel="0" collapsed="false">
      <c r="B295" s="65" t="s">
        <v>1020</v>
      </c>
      <c r="C295" s="65" t="n">
        <v>0</v>
      </c>
      <c r="D295" s="65" t="n">
        <f aca="false">IF(OR(MONTH(D294)=6,MONTH(D294)=12),1,0)</f>
        <v>1</v>
      </c>
      <c r="E295" s="65" t="n">
        <f aca="false">IF(OR(MONTH(E294)=6,MONTH(E294)=12),1,0)</f>
        <v>0</v>
      </c>
      <c r="F295" s="65" t="n">
        <f aca="false">IF(OR(MONTH(F294)=6,MONTH(F294)=12),1,0)</f>
        <v>1</v>
      </c>
      <c r="G295" s="65" t="n">
        <f aca="false">IF(OR(MONTH(G294)=6,MONTH(G294)=12),1,0)</f>
        <v>0</v>
      </c>
      <c r="H295" s="65" t="n">
        <f aca="false">IF(OR(MONTH(H294)=6,MONTH(H294)=12),1,0)</f>
        <v>1</v>
      </c>
      <c r="I295" s="65" t="n">
        <f aca="false">IF(OR(MONTH(I294)=6,MONTH(I294)=12),1,0)</f>
        <v>0</v>
      </c>
      <c r="J295" s="65" t="n">
        <f aca="false">IF(OR(MONTH(J294)=6,MONTH(J294)=12),1,0)</f>
        <v>1</v>
      </c>
      <c r="K295" s="65" t="n">
        <f aca="false">IF(OR(MONTH(K294)=6,MONTH(K294)=12),1,0)</f>
        <v>0</v>
      </c>
      <c r="L295" s="65" t="n">
        <f aca="false">IF(OR(MONTH(L294)=6,MONTH(L294)=12),1,0)</f>
        <v>1</v>
      </c>
      <c r="M295" s="65" t="n">
        <f aca="false">IF(OR(MONTH(M294)=6,MONTH(M294)=12),1,0)</f>
        <v>0</v>
      </c>
      <c r="N295" s="65" t="n">
        <f aca="false">IF(OR(MONTH(N294)=6,MONTH(N294)=12),1,0)</f>
        <v>1</v>
      </c>
      <c r="O295" s="65" t="n">
        <f aca="false">IF(OR(MONTH(O294)=6,MONTH(O294)=12),1,0)</f>
        <v>0</v>
      </c>
    </row>
    <row r="296" customFormat="false" ht="15" hidden="false" customHeight="false" outlineLevel="0" collapsed="false">
      <c r="B296" s="65" t="s">
        <v>1021</v>
      </c>
      <c r="C296" s="65" t="n">
        <v>0</v>
      </c>
      <c r="D296" s="65" t="n">
        <f aca="false">C296+D295</f>
        <v>1</v>
      </c>
      <c r="E296" s="65" t="n">
        <f aca="false">D296+E295</f>
        <v>1</v>
      </c>
      <c r="F296" s="65" t="n">
        <f aca="false">E296+F295</f>
        <v>2</v>
      </c>
      <c r="G296" s="65" t="n">
        <f aca="false">F296+G295</f>
        <v>2</v>
      </c>
      <c r="H296" s="65" t="n">
        <f aca="false">G296+H295</f>
        <v>3</v>
      </c>
      <c r="I296" s="65" t="n">
        <f aca="false">H296+I295</f>
        <v>3</v>
      </c>
      <c r="J296" s="65" t="n">
        <f aca="false">I296+J295</f>
        <v>4</v>
      </c>
      <c r="K296" s="65" t="n">
        <f aca="false">J296+K295</f>
        <v>4</v>
      </c>
      <c r="L296" s="65" t="n">
        <f aca="false">K296+L295</f>
        <v>5</v>
      </c>
      <c r="M296" s="65" t="n">
        <f aca="false">L296+M295</f>
        <v>5</v>
      </c>
      <c r="N296" s="65" t="n">
        <f aca="false">M296+N295</f>
        <v>6</v>
      </c>
      <c r="O296" s="65" t="n">
        <f aca="false">N296+O295</f>
        <v>6</v>
      </c>
    </row>
    <row r="297" customFormat="false" ht="15" hidden="false" customHeight="false" outlineLevel="0" collapsed="false">
      <c r="B297" s="65" t="s">
        <v>1022</v>
      </c>
      <c r="C297" s="25"/>
      <c r="D297" s="72" t="n">
        <f aca="false">IF(D295=1,IF(C307=1,0,IF(D296=1,$G$6,IF(D296=2,$G$7,$G$8))),0)</f>
        <v>0.02</v>
      </c>
      <c r="E297" s="72" t="n">
        <f aca="false">IF(E295=1,IF(D307=1,0,IF(E296=1,$G$6,IF(E296=2,$G$7,$G$8))),0)</f>
        <v>0</v>
      </c>
      <c r="F297" s="72" t="n">
        <f aca="false">IF(F295=1,IF(E307=1,0,IF(F296=1,$G$6,IF(F296=2,$G$7,$G$8))),0)</f>
        <v>0.02</v>
      </c>
      <c r="G297" s="72" t="n">
        <f aca="false">IF(G295=1,IF(F307=1,0,IF(G296=1,$G$6,IF(G296=2,$G$7,$G$8))),0)</f>
        <v>0</v>
      </c>
      <c r="H297" s="72" t="n">
        <f aca="false">IF(H295=1,IF(G307=1,0,IF(H296=1,$G$6,IF(H296=2,$G$7,$G$8))),0)</f>
        <v>0.02</v>
      </c>
      <c r="I297" s="72" t="n">
        <f aca="false">IF(I295=1,IF(H307=1,0,IF(I296=1,$G$6,IF(I296=2,$G$7,$G$8))),0)</f>
        <v>0</v>
      </c>
      <c r="J297" s="72" t="n">
        <f aca="false">IF(J295=1,IF(I307=1,0,IF(J296=1,$G$6,IF(J296=2,$G$7,$G$8))),0)</f>
        <v>0.02</v>
      </c>
      <c r="K297" s="72" t="n">
        <f aca="false">IF(K295=1,IF(J307=1,0,IF(K296=1,$G$6,IF(K296=2,$G$7,$G$8))),0)</f>
        <v>0</v>
      </c>
      <c r="L297" s="72" t="n">
        <f aca="false">IF(L295=1,IF(K307=1,0,IF(L296=1,$G$6,IF(L296=2,$G$7,$G$8))),0)</f>
        <v>0.02</v>
      </c>
      <c r="M297" s="72" t="n">
        <f aca="false">IF(M295=1,IF(L307=1,0,IF(M296=1,$G$6,IF(M296=2,$G$7,$G$8))),0)</f>
        <v>0</v>
      </c>
      <c r="N297" s="72" t="n">
        <f aca="false">IF(N295=1,IF(M307=1,0,IF(N296=1,$G$6,IF(N296=2,$G$7,$G$8))),0)</f>
        <v>0.02</v>
      </c>
      <c r="O297" s="72" t="n">
        <f aca="false">IF(O295=1,IF(N307=1,0,IF(O296=1,$G$6,IF(O296=2,$G$7,$G$8))),0)</f>
        <v>0</v>
      </c>
    </row>
    <row r="298" customFormat="false" ht="15" hidden="false" customHeight="false" outlineLevel="0" collapsed="false">
      <c r="B298" s="65" t="s">
        <v>1023</v>
      </c>
      <c r="C298" s="25"/>
      <c r="D298" s="73" t="n">
        <f aca="false">C342</f>
        <v>50000000</v>
      </c>
      <c r="E298" s="73" t="n">
        <f aca="false">D342</f>
        <v>49725643.75</v>
      </c>
      <c r="F298" s="73" t="n">
        <f aca="false">E342</f>
        <v>50457641.7757813</v>
      </c>
      <c r="G298" s="73" t="n">
        <f aca="false">F342</f>
        <v>50188735.199101</v>
      </c>
      <c r="H298" s="73" t="n">
        <f aca="false">G342</f>
        <v>50936615.6922708</v>
      </c>
      <c r="I298" s="73" t="n">
        <f aca="false">H342</f>
        <v>50702403.0483776</v>
      </c>
      <c r="J298" s="73" t="n">
        <f aca="false">I342</f>
        <v>51490773.6887411</v>
      </c>
      <c r="K298" s="73" t="n">
        <f aca="false">J342</f>
        <v>51255029.6690167</v>
      </c>
      <c r="L298" s="73" t="n">
        <f aca="false">K342</f>
        <v>52054085.3077927</v>
      </c>
      <c r="M298" s="73" t="n">
        <f aca="false">L342</f>
        <v>51818892.7580678</v>
      </c>
      <c r="N298" s="73" t="n">
        <f aca="false">M342</f>
        <v>52630871.181279</v>
      </c>
      <c r="O298" s="73" t="n">
        <f aca="false">N342</f>
        <v>52398172.0923886</v>
      </c>
    </row>
    <row r="299" customFormat="false" ht="15" hidden="false" customHeight="false" outlineLevel="0" collapsed="false">
      <c r="B299" s="65" t="s">
        <v>177</v>
      </c>
      <c r="C299" s="25"/>
      <c r="D299" s="73" t="n">
        <f aca="false">IF(C307=1,0,$G$9*D298)</f>
        <v>0</v>
      </c>
      <c r="E299" s="73" t="n">
        <f aca="false">IF(D307=1,0,$G$9*E298)</f>
        <v>0</v>
      </c>
      <c r="F299" s="73" t="n">
        <f aca="false">IF(E307=1,0,$G$9*F298)</f>
        <v>0</v>
      </c>
      <c r="G299" s="73" t="n">
        <f aca="false">IF(F307=1,0,$G$9*G298)</f>
        <v>0</v>
      </c>
      <c r="H299" s="73" t="n">
        <f aca="false">IF(G307=1,0,$G$9*H298)</f>
        <v>0</v>
      </c>
      <c r="I299" s="73" t="n">
        <f aca="false">IF(H307=1,0,$G$9*I298)</f>
        <v>0</v>
      </c>
      <c r="J299" s="73" t="n">
        <f aca="false">IF(I307=1,0,$G$9*J298)</f>
        <v>0</v>
      </c>
      <c r="K299" s="73" t="n">
        <f aca="false">IF(J307=1,0,$G$9*K298)</f>
        <v>0</v>
      </c>
      <c r="L299" s="73" t="n">
        <f aca="false">IF(K307=1,0,$G$9*L298)</f>
        <v>0</v>
      </c>
      <c r="M299" s="73" t="n">
        <f aca="false">IF(L307=1,0,$G$9*M298)</f>
        <v>0</v>
      </c>
      <c r="N299" s="73" t="n">
        <f aca="false">IF(M307=1,0,$G$9*N298)</f>
        <v>0</v>
      </c>
      <c r="O299" s="73" t="n">
        <f aca="false">IF(N307=1,0,$G$9*O298)</f>
        <v>0</v>
      </c>
    </row>
    <row r="300" customFormat="false" ht="15" hidden="false" customHeight="false" outlineLevel="0" collapsed="false">
      <c r="B300" s="65" t="s">
        <v>1024</v>
      </c>
      <c r="C300" s="25"/>
      <c r="D300" s="73" t="n">
        <f aca="false">D297*D298</f>
        <v>1000000</v>
      </c>
      <c r="E300" s="73" t="n">
        <f aca="false">E297*E298</f>
        <v>0</v>
      </c>
      <c r="F300" s="73" t="n">
        <f aca="false">F297*F298</f>
        <v>1009152.83551563</v>
      </c>
      <c r="G300" s="73" t="n">
        <f aca="false">G297*G298</f>
        <v>0</v>
      </c>
      <c r="H300" s="73" t="n">
        <f aca="false">H297*H298</f>
        <v>1018732.31384542</v>
      </c>
      <c r="I300" s="73" t="n">
        <f aca="false">I297*I298</f>
        <v>0</v>
      </c>
      <c r="J300" s="73" t="n">
        <f aca="false">J297*J298</f>
        <v>1029815.47377482</v>
      </c>
      <c r="K300" s="73" t="n">
        <f aca="false">K297*K298</f>
        <v>0</v>
      </c>
      <c r="L300" s="73" t="n">
        <f aca="false">L297*L298</f>
        <v>1041081.70615586</v>
      </c>
      <c r="M300" s="73" t="n">
        <f aca="false">M297*M298</f>
        <v>0</v>
      </c>
      <c r="N300" s="73" t="n">
        <f aca="false">N297*N298</f>
        <v>1052617.42362558</v>
      </c>
      <c r="O300" s="73" t="n">
        <f aca="false">O297*O298</f>
        <v>0</v>
      </c>
    </row>
    <row r="301" customFormat="false" ht="15" hidden="false" customHeight="false" outlineLevel="0" collapsed="false">
      <c r="B301" s="65" t="s">
        <v>1025</v>
      </c>
      <c r="C301" s="25"/>
      <c r="D301" s="73" t="n">
        <f aca="false">C309</f>
        <v>0</v>
      </c>
      <c r="E301" s="73" t="n">
        <f aca="false">D309</f>
        <v>0</v>
      </c>
      <c r="F301" s="73" t="n">
        <f aca="false">E309</f>
        <v>0</v>
      </c>
      <c r="G301" s="73" t="n">
        <f aca="false">F309</f>
        <v>0</v>
      </c>
      <c r="H301" s="73" t="n">
        <f aca="false">G309</f>
        <v>0</v>
      </c>
      <c r="I301" s="73" t="n">
        <f aca="false">H309</f>
        <v>0</v>
      </c>
      <c r="J301" s="73" t="n">
        <f aca="false">I309</f>
        <v>0</v>
      </c>
      <c r="K301" s="73" t="n">
        <f aca="false">J309</f>
        <v>0</v>
      </c>
      <c r="L301" s="73" t="n">
        <f aca="false">K309</f>
        <v>0</v>
      </c>
      <c r="M301" s="73" t="n">
        <f aca="false">L309</f>
        <v>0</v>
      </c>
      <c r="N301" s="73" t="n">
        <f aca="false">M309</f>
        <v>0</v>
      </c>
      <c r="O301" s="73" t="n">
        <f aca="false">N309</f>
        <v>0</v>
      </c>
    </row>
    <row r="302" customFormat="false" ht="15" hidden="false" customHeight="false" outlineLevel="0" collapsed="false">
      <c r="B302" s="65" t="s">
        <v>1026</v>
      </c>
      <c r="C302" s="25"/>
      <c r="D302" s="73" t="n">
        <f aca="false">D300+D301</f>
        <v>1000000</v>
      </c>
      <c r="E302" s="73" t="n">
        <f aca="false">E300+E301</f>
        <v>0</v>
      </c>
      <c r="F302" s="73" t="n">
        <f aca="false">F300+F301</f>
        <v>1009152.83551563</v>
      </c>
      <c r="G302" s="73" t="n">
        <f aca="false">G300+G301</f>
        <v>0</v>
      </c>
      <c r="H302" s="73" t="n">
        <f aca="false">H300+H301</f>
        <v>1018732.31384542</v>
      </c>
      <c r="I302" s="73" t="n">
        <f aca="false">I300+I301</f>
        <v>0</v>
      </c>
      <c r="J302" s="73" t="n">
        <f aca="false">J300+J301</f>
        <v>1029815.47377482</v>
      </c>
      <c r="K302" s="73" t="n">
        <f aca="false">K300+K301</f>
        <v>0</v>
      </c>
      <c r="L302" s="73" t="n">
        <f aca="false">L300+L301</f>
        <v>1041081.70615586</v>
      </c>
      <c r="M302" s="73" t="n">
        <f aca="false">M300+M301</f>
        <v>0</v>
      </c>
      <c r="N302" s="73" t="n">
        <f aca="false">N300+N301</f>
        <v>1052617.42362558</v>
      </c>
      <c r="O302" s="73" t="n">
        <f aca="false">O300+O301</f>
        <v>0</v>
      </c>
    </row>
    <row r="303" customFormat="false" ht="15" hidden="false" customHeight="false" outlineLevel="0" collapsed="false">
      <c r="B303" s="65" t="s">
        <v>1027</v>
      </c>
      <c r="C303" s="25"/>
      <c r="D303" s="73" t="n">
        <f aca="false">IF($G$21=1,Gate*D298+D299,D302)</f>
        <v>2500000</v>
      </c>
      <c r="E303" s="73" t="n">
        <f aca="false">IF($G$21=1,Gate*E298+E299,E302)</f>
        <v>2486282.1875</v>
      </c>
      <c r="F303" s="73" t="n">
        <f aca="false">IF($G$21=1,Gate*F298+F299,F302)</f>
        <v>2522882.08878906</v>
      </c>
      <c r="G303" s="73" t="n">
        <f aca="false">IF($G$21=1,Gate*G298+G299,G302)</f>
        <v>2509436.75995505</v>
      </c>
      <c r="H303" s="73" t="n">
        <f aca="false">IF($G$21=1,Gate*H298+H299,H302)</f>
        <v>2546830.78461354</v>
      </c>
      <c r="I303" s="73" t="n">
        <f aca="false">IF($G$21=1,Gate*I298+I299,I302)</f>
        <v>2535120.15241888</v>
      </c>
      <c r="J303" s="73" t="n">
        <f aca="false">IF($G$21=1,Gate*J298+J299,J302)</f>
        <v>2574538.68443705</v>
      </c>
      <c r="K303" s="73" t="n">
        <f aca="false">IF($G$21=1,Gate*K298+K299,K302)</f>
        <v>2562751.48345084</v>
      </c>
      <c r="L303" s="73" t="n">
        <f aca="false">IF($G$21=1,Gate*L298+L299,L302)</f>
        <v>2602704.26538964</v>
      </c>
      <c r="M303" s="73" t="n">
        <f aca="false">IF($G$21=1,Gate*M298+M299,M302)</f>
        <v>2590944.63790339</v>
      </c>
      <c r="N303" s="73" t="n">
        <f aca="false">IF($G$21=1,Gate*N298+N299,N302)</f>
        <v>2631543.55906395</v>
      </c>
      <c r="O303" s="73" t="n">
        <f aca="false">IF($G$21=1,Gate*O298+O299,O302)</f>
        <v>2619908.60461943</v>
      </c>
    </row>
    <row r="304" customFormat="false" ht="15" hidden="false" customHeight="false" outlineLevel="0" collapsed="false">
      <c r="B304" s="65" t="s">
        <v>1028</v>
      </c>
      <c r="C304" s="25"/>
      <c r="D304" s="73" t="n">
        <f aca="false">IF(D295=1,MIN(D302,D303),0)</f>
        <v>1000000</v>
      </c>
      <c r="E304" s="73" t="n">
        <f aca="false">IF(E295=1,MIN(E302,E303),0)</f>
        <v>0</v>
      </c>
      <c r="F304" s="73" t="n">
        <f aca="false">IF(F295=1,MIN(F302,F303),0)</f>
        <v>1009152.83551563</v>
      </c>
      <c r="G304" s="73" t="n">
        <f aca="false">IF(G295=1,MIN(G302,G303),0)</f>
        <v>0</v>
      </c>
      <c r="H304" s="73" t="n">
        <f aca="false">IF(H295=1,MIN(H302,H303),0)</f>
        <v>1018732.31384542</v>
      </c>
      <c r="I304" s="73" t="n">
        <f aca="false">IF(I295=1,MIN(I302,I303),0)</f>
        <v>0</v>
      </c>
      <c r="J304" s="73" t="n">
        <f aca="false">IF(J295=1,MIN(J302,J303),0)</f>
        <v>1029815.47377482</v>
      </c>
      <c r="K304" s="73" t="n">
        <f aca="false">IF(K295=1,MIN(K302,K303),0)</f>
        <v>0</v>
      </c>
      <c r="L304" s="73" t="n">
        <f aca="false">IF(L295=1,MIN(L302,L303),0)</f>
        <v>1041081.70615586</v>
      </c>
      <c r="M304" s="73" t="n">
        <f aca="false">IF(M295=1,MIN(M302,M303),0)</f>
        <v>0</v>
      </c>
      <c r="N304" s="73" t="n">
        <f aca="false">IF(N295=1,MIN(N302,N303),0)</f>
        <v>1052617.42362558</v>
      </c>
      <c r="O304" s="73" t="n">
        <f aca="false">IF(O295=1,MIN(O302,O303),0)</f>
        <v>0</v>
      </c>
    </row>
    <row r="305" customFormat="false" ht="15" hidden="false" customHeight="false" outlineLevel="0" collapsed="false">
      <c r="B305" s="65" t="s">
        <v>1029</v>
      </c>
      <c r="C305" s="25"/>
      <c r="D305" s="73" t="n">
        <f aca="false">MAX(0,D333+D324+D325-Poche_min_exec*D298-D304-SUM(E330:F330)+MAX(0,MIN($G$20*AN_cible,Emprunt_max*D298)-C341))</f>
        <v>616250</v>
      </c>
      <c r="E305" s="73" t="n">
        <f aca="false">MAX(0,E333+E324+E325-Poche_min_exec*E298-E304-SUM(F330:G330)+MAX(0,MIN($G$20*AN_cible,Emprunt_max*E298)-D341))</f>
        <v>974812</v>
      </c>
      <c r="F305" s="73" t="n">
        <f aca="false">MAX(0,F333+F324+F325-Poche_min_exec*F298-F304-SUM(G330:H330)+MAX(0,MIN($G$20*AN_cible,Emprunt_max*F298)-E341))</f>
        <v>190356.658533593</v>
      </c>
      <c r="G305" s="73" t="n">
        <f aca="false">MAX(0,G333+G324+G325-Poche_min_exec*G298-G304-SUM(H330:I330)+MAX(0,MIN($G$20*AN_cible,Emprunt_max*G298)-F341))</f>
        <v>481276.08374897</v>
      </c>
      <c r="H305" s="73" t="n">
        <f aca="false">MAX(0,H333+H324+H325-Poche_min_exec*H298-H304-SUM(I330:J330)+MAX(0,MIN($G$20*AN_cible,Emprunt_max*H298)-G341))</f>
        <v>0</v>
      </c>
      <c r="I305" s="73" t="n">
        <f aca="false">MAX(0,I333+I324+I325-Poche_min_exec*I298-I304-SUM(J330:K330)+MAX(0,MIN($G$20*AN_cible,Emprunt_max*I298)-H341))</f>
        <v>439485.439419429</v>
      </c>
      <c r="J305" s="73" t="n">
        <f aca="false">MAX(0,J333+J324+J325-Poche_min_exec*J298-J304-SUM(K330:L330)+MAX(0,MIN($G$20*AN_cible,Emprunt_max*J298)-I341))</f>
        <v>0</v>
      </c>
      <c r="K305" s="73" t="n">
        <f aca="false">MAX(0,K333+K324+K325-Poche_min_exec*K298-K304-SUM(L330:M330)+MAX(0,MIN($G$20*AN_cible,Emprunt_max*K298)-J341))</f>
        <v>260700.175925912</v>
      </c>
      <c r="L305" s="73" t="n">
        <f aca="false">MAX(0,L333+L324+L325-Poche_min_exec*L298-L304-SUM(M330:N330)+MAX(0,MIN($G$20*AN_cible,Emprunt_max*L298)-K341))</f>
        <v>0</v>
      </c>
      <c r="M305" s="73" t="n">
        <f aca="false">MAX(0,M333+M324+M325-Poche_min_exec*M298-M304-SUM(N330:O330)+MAX(0,MIN($G$20*AN_cible,Emprunt_max*M298)-L341))</f>
        <v>0</v>
      </c>
      <c r="N305" s="73" t="n">
        <f aca="false">MAX(0,N333+N324+N325-Poche_min_exec*N298-N304-SUM(O330:O330)+MAX(0,MIN($G$20*AN_cible,Emprunt_max*N298)-M341))</f>
        <v>0</v>
      </c>
      <c r="O305" s="73" t="n">
        <f aca="false">MAX(0,O333+O324+O325-Poche_min_exec*O298-O304-0+MAX(0,MIN($G$20*AN_cible,Emprunt_max*O298)-N341))</f>
        <v>782756.445517657</v>
      </c>
    </row>
    <row r="306" customFormat="false" ht="15" hidden="false" customHeight="false" outlineLevel="0" collapsed="false">
      <c r="B306" s="65" t="s">
        <v>1030</v>
      </c>
      <c r="C306" s="25"/>
      <c r="D306" s="73" t="n">
        <f aca="false">IF(AND(D295=1,$G$21=1,$G$22=1),MIN(D302-D304,D305),0)</f>
        <v>0</v>
      </c>
      <c r="E306" s="73" t="n">
        <f aca="false">IF(AND(E295=1,$G$21=1,$G$22=1),MIN(E302-E304,E305),0)</f>
        <v>0</v>
      </c>
      <c r="F306" s="73" t="n">
        <f aca="false">IF(AND(F295=1,$G$21=1,$G$22=1),MIN(F302-F304,F305),0)</f>
        <v>0</v>
      </c>
      <c r="G306" s="73" t="n">
        <f aca="false">IF(AND(G295=1,$G$21=1,$G$22=1),MIN(G302-G304,G305),0)</f>
        <v>0</v>
      </c>
      <c r="H306" s="73" t="n">
        <f aca="false">IF(AND(H295=1,$G$21=1,$G$22=1),MIN(H302-H304,H305),0)</f>
        <v>0</v>
      </c>
      <c r="I306" s="73" t="n">
        <f aca="false">IF(AND(I295=1,$G$21=1,$G$22=1),MIN(I302-I304,I305),0)</f>
        <v>0</v>
      </c>
      <c r="J306" s="73" t="n">
        <f aca="false">IF(AND(J295=1,$G$21=1,$G$22=1),MIN(J302-J304,J305),0)</f>
        <v>0</v>
      </c>
      <c r="K306" s="73" t="n">
        <f aca="false">IF(AND(K295=1,$G$21=1,$G$22=1),MIN(K302-K304,K305),0)</f>
        <v>0</v>
      </c>
      <c r="L306" s="73" t="n">
        <f aca="false">IF(AND(L295=1,$G$21=1,$G$22=1),MIN(L302-L304,L305),0)</f>
        <v>0</v>
      </c>
      <c r="M306" s="73" t="n">
        <f aca="false">IF(AND(M295=1,$G$21=1,$G$22=1),MIN(M302-M304,M305),0)</f>
        <v>0</v>
      </c>
      <c r="N306" s="73" t="n">
        <f aca="false">IF(AND(N295=1,$G$21=1,$G$22=1),MIN(N302-N304,N305),0)</f>
        <v>0</v>
      </c>
      <c r="O306" s="73" t="n">
        <f aca="false">IF(AND(O295=1,$G$21=1,$G$22=1),MIN(O302-O304,O305),0)</f>
        <v>0</v>
      </c>
    </row>
    <row r="307" customFormat="false" ht="15" hidden="false" customHeight="false" outlineLevel="0" collapsed="false">
      <c r="B307" s="65" t="s">
        <v>1031</v>
      </c>
      <c r="C307" s="65" t="n">
        <v>0</v>
      </c>
      <c r="D307" s="65" t="n">
        <f aca="false">IF(C307=1,1,IF(AND(D295=1,$G$21=1,C311&gt;=Gate_dates,D302-D304-D306&gt;0.000001),1,0))</f>
        <v>0</v>
      </c>
      <c r="E307" s="65" t="n">
        <f aca="false">IF(D307=1,1,IF(AND(E295=1,$G$21=1,D311&gt;=Gate_dates,E302-E304-E306&gt;0.000001),1,0))</f>
        <v>0</v>
      </c>
      <c r="F307" s="65" t="n">
        <f aca="false">IF(E307=1,1,IF(AND(F295=1,$G$21=1,E311&gt;=Gate_dates,F302-F304-F306&gt;0.000001),1,0))</f>
        <v>0</v>
      </c>
      <c r="G307" s="65" t="n">
        <f aca="false">IF(F307=1,1,IF(AND(G295=1,$G$21=1,F311&gt;=Gate_dates,G302-G304-G306&gt;0.000001),1,0))</f>
        <v>0</v>
      </c>
      <c r="H307" s="65" t="n">
        <f aca="false">IF(G307=1,1,IF(AND(H295=1,$G$21=1,G311&gt;=Gate_dates,H302-H304-H306&gt;0.000001),1,0))</f>
        <v>0</v>
      </c>
      <c r="I307" s="65" t="n">
        <f aca="false">IF(H307=1,1,IF(AND(I295=1,$G$21=1,H311&gt;=Gate_dates,I302-I304-I306&gt;0.000001),1,0))</f>
        <v>0</v>
      </c>
      <c r="J307" s="65" t="n">
        <f aca="false">IF(I307=1,1,IF(AND(J295=1,$G$21=1,I311&gt;=Gate_dates,J302-J304-J306&gt;0.000001),1,0))</f>
        <v>0</v>
      </c>
      <c r="K307" s="65" t="n">
        <f aca="false">IF(J307=1,1,IF(AND(K295=1,$G$21=1,J311&gt;=Gate_dates,K302-K304-K306&gt;0.000001),1,0))</f>
        <v>0</v>
      </c>
      <c r="L307" s="65" t="n">
        <f aca="false">IF(K307=1,1,IF(AND(L295=1,$G$21=1,K311&gt;=Gate_dates,L302-L304-L306&gt;0.000001),1,0))</f>
        <v>0</v>
      </c>
      <c r="M307" s="65" t="n">
        <f aca="false">IF(L307=1,1,IF(AND(M295=1,$G$21=1,L311&gt;=Gate_dates,M302-M304-M306&gt;0.000001),1,0))</f>
        <v>0</v>
      </c>
      <c r="N307" s="65" t="n">
        <f aca="false">IF(M307=1,1,IF(AND(N295=1,$G$21=1,M311&gt;=Gate_dates,N302-N304-N306&gt;0.000001),1,0))</f>
        <v>0</v>
      </c>
      <c r="O307" s="65" t="n">
        <f aca="false">IF(N307=1,1,IF(AND(O295=1,$G$21=1,N311&gt;=Gate_dates,O302-O304-O306&gt;0.000001),1,0))</f>
        <v>0</v>
      </c>
    </row>
    <row r="308" customFormat="false" ht="15" hidden="false" customHeight="false" outlineLevel="0" collapsed="false">
      <c r="B308" s="65" t="s">
        <v>1032</v>
      </c>
      <c r="C308" s="25"/>
      <c r="D308" s="73" t="n">
        <f aca="false">IF(D307=1,0,D304+D306)</f>
        <v>1000000</v>
      </c>
      <c r="E308" s="73" t="n">
        <f aca="false">IF(E307=1,0,E304+E306)</f>
        <v>0</v>
      </c>
      <c r="F308" s="73" t="n">
        <f aca="false">IF(F307=1,0,F304+F306)</f>
        <v>1009152.83551563</v>
      </c>
      <c r="G308" s="73" t="n">
        <f aca="false">IF(G307=1,0,G304+G306)</f>
        <v>0</v>
      </c>
      <c r="H308" s="73" t="n">
        <f aca="false">IF(H307=1,0,H304+H306)</f>
        <v>1018732.31384542</v>
      </c>
      <c r="I308" s="73" t="n">
        <f aca="false">IF(I307=1,0,I304+I306)</f>
        <v>0</v>
      </c>
      <c r="J308" s="73" t="n">
        <f aca="false">IF(J307=1,0,J304+J306)</f>
        <v>1029815.47377482</v>
      </c>
      <c r="K308" s="73" t="n">
        <f aca="false">IF(K307=1,0,K304+K306)</f>
        <v>0</v>
      </c>
      <c r="L308" s="73" t="n">
        <f aca="false">IF(L307=1,0,L304+L306)</f>
        <v>1041081.70615586</v>
      </c>
      <c r="M308" s="73" t="n">
        <f aca="false">IF(M307=1,0,M304+M306)</f>
        <v>0</v>
      </c>
      <c r="N308" s="73" t="n">
        <f aca="false">IF(N307=1,0,N304+N306)</f>
        <v>1052617.42362558</v>
      </c>
      <c r="O308" s="73" t="n">
        <f aca="false">IF(O307=1,0,O304+O306)</f>
        <v>0</v>
      </c>
    </row>
    <row r="309" customFormat="false" ht="15" hidden="false" customHeight="false" outlineLevel="0" collapsed="false">
      <c r="B309" s="65" t="s">
        <v>1033</v>
      </c>
      <c r="C309" s="73" t="n">
        <v>0</v>
      </c>
      <c r="D309" s="73" t="n">
        <f aca="false">D302-D308</f>
        <v>0</v>
      </c>
      <c r="E309" s="73" t="n">
        <f aca="false">E302-E308</f>
        <v>0</v>
      </c>
      <c r="F309" s="73" t="n">
        <f aca="false">F302-F308</f>
        <v>0</v>
      </c>
      <c r="G309" s="73" t="n">
        <f aca="false">G302-G308</f>
        <v>0</v>
      </c>
      <c r="H309" s="73" t="n">
        <f aca="false">H302-H308</f>
        <v>0</v>
      </c>
      <c r="I309" s="73" t="n">
        <f aca="false">I302-I308</f>
        <v>0</v>
      </c>
      <c r="J309" s="73" t="n">
        <f aca="false">J302-J308</f>
        <v>0</v>
      </c>
      <c r="K309" s="73" t="n">
        <f aca="false">K302-K308</f>
        <v>0</v>
      </c>
      <c r="L309" s="73" t="n">
        <f aca="false">L302-L308</f>
        <v>0</v>
      </c>
      <c r="M309" s="73" t="n">
        <f aca="false">M302-M308</f>
        <v>0</v>
      </c>
      <c r="N309" s="73" t="n">
        <f aca="false">N302-N308</f>
        <v>0</v>
      </c>
      <c r="O309" s="73" t="n">
        <f aca="false">O302-O308</f>
        <v>0</v>
      </c>
    </row>
    <row r="310" customFormat="false" ht="15" hidden="false" customHeight="false" outlineLevel="0" collapsed="false">
      <c r="B310" s="65" t="s">
        <v>1034</v>
      </c>
      <c r="C310" s="25"/>
      <c r="D310" s="65" t="n">
        <f aca="false">IF(AND(D295=1,D307=0,D309&gt;0.000001),1,0)</f>
        <v>0</v>
      </c>
      <c r="E310" s="65" t="n">
        <f aca="false">IF(AND(E295=1,E307=0,E309&gt;0.000001),1,0)</f>
        <v>0</v>
      </c>
      <c r="F310" s="65" t="n">
        <f aca="false">IF(AND(F295=1,F307=0,F309&gt;0.000001),1,0)</f>
        <v>0</v>
      </c>
      <c r="G310" s="65" t="n">
        <f aca="false">IF(AND(G295=1,G307=0,G309&gt;0.000001),1,0)</f>
        <v>0</v>
      </c>
      <c r="H310" s="65" t="n">
        <f aca="false">IF(AND(H295=1,H307=0,H309&gt;0.000001),1,0)</f>
        <v>0</v>
      </c>
      <c r="I310" s="65" t="n">
        <f aca="false">IF(AND(I295=1,I307=0,I309&gt;0.000001),1,0)</f>
        <v>0</v>
      </c>
      <c r="J310" s="65" t="n">
        <f aca="false">IF(AND(J295=1,J307=0,J309&gt;0.000001),1,0)</f>
        <v>0</v>
      </c>
      <c r="K310" s="65" t="n">
        <f aca="false">IF(AND(K295=1,K307=0,K309&gt;0.000001),1,0)</f>
        <v>0</v>
      </c>
      <c r="L310" s="65" t="n">
        <f aca="false">IF(AND(L295=1,L307=0,L309&gt;0.000001),1,0)</f>
        <v>0</v>
      </c>
      <c r="M310" s="65" t="n">
        <f aca="false">IF(AND(M295=1,M307=0,M309&gt;0.000001),1,0)</f>
        <v>0</v>
      </c>
      <c r="N310" s="65" t="n">
        <f aca="false">IF(AND(N295=1,N307=0,N309&gt;0.000001),1,0)</f>
        <v>0</v>
      </c>
      <c r="O310" s="65" t="n">
        <f aca="false">IF(AND(O295=1,O307=0,O309&gt;0.000001),1,0)</f>
        <v>0</v>
      </c>
    </row>
    <row r="311" customFormat="false" ht="15" hidden="false" customHeight="false" outlineLevel="0" collapsed="false">
      <c r="B311" s="65" t="s">
        <v>843</v>
      </c>
      <c r="C311" s="65" t="n">
        <v>0</v>
      </c>
      <c r="D311" s="65" t="n">
        <f aca="false">IF(D295=1,IF(D310=1,C311+1,0),C311)</f>
        <v>0</v>
      </c>
      <c r="E311" s="65" t="n">
        <f aca="false">IF(E295=1,IF(E310=1,D311+1,0),D311)</f>
        <v>0</v>
      </c>
      <c r="F311" s="65" t="n">
        <f aca="false">IF(F295=1,IF(F310=1,E311+1,0),E311)</f>
        <v>0</v>
      </c>
      <c r="G311" s="65" t="n">
        <f aca="false">IF(G295=1,IF(G310=1,F311+1,0),F311)</f>
        <v>0</v>
      </c>
      <c r="H311" s="65" t="n">
        <f aca="false">IF(H295=1,IF(H310=1,G311+1,0),G311)</f>
        <v>0</v>
      </c>
      <c r="I311" s="65" t="n">
        <f aca="false">IF(I295=1,IF(I310=1,H311+1,0),H311)</f>
        <v>0</v>
      </c>
      <c r="J311" s="65" t="n">
        <f aca="false">IF(J295=1,IF(J310=1,I311+1,0),I311)</f>
        <v>0</v>
      </c>
      <c r="K311" s="65" t="n">
        <f aca="false">IF(K295=1,IF(K310=1,J311+1,0),J311)</f>
        <v>0</v>
      </c>
      <c r="L311" s="65" t="n">
        <f aca="false">IF(L295=1,IF(L310=1,K311+1,0),K311)</f>
        <v>0</v>
      </c>
      <c r="M311" s="65" t="n">
        <f aca="false">IF(M295=1,IF(M310=1,L311+1,0),L311)</f>
        <v>0</v>
      </c>
      <c r="N311" s="65" t="n">
        <f aca="false">IF(N295=1,IF(N310=1,M311+1,0),M311)</f>
        <v>0</v>
      </c>
      <c r="O311" s="65" t="n">
        <f aca="false">IF(O295=1,IF(O310=1,N311+1,0),N311)</f>
        <v>0</v>
      </c>
    </row>
    <row r="312" customFormat="false" ht="15" hidden="false" customHeight="false" outlineLevel="0" collapsed="false">
      <c r="B312" s="65" t="s">
        <v>1035</v>
      </c>
      <c r="C312" s="73" t="n">
        <f aca="false">AN_cible*Ws_MAPIF</f>
        <v>12500000</v>
      </c>
      <c r="D312" s="73" t="n">
        <f aca="false">C312*(1+Rend_MAPIF/4)*IF(D293=1,(1-(Cap_MAPIF*$G$15+(1-Cap_MAPIF)*$G$16))*(1+1*$G$14),1)+D322-D316-D337*IF((C312+C313+C314+C315)&gt;0,C312/(C312+C313+C314+C315),0)</f>
        <v>13159062.5</v>
      </c>
      <c r="E312" s="73" t="n">
        <f aca="false">D312*(1+Rend_MAPIF/4)*IF(E293=1,(1-(Cap_MAPIF*$G$15+(1-Cap_MAPIF)*$G$16))*(1+1*$G$14),1)+E322-E316-E337*IF((D312+D313+D314+D315)&gt;0,D312/(D312+D313+D314+D315),0)</f>
        <v>13833102.1953125</v>
      </c>
      <c r="F312" s="73" t="n">
        <f aca="false">E312*(1+Rend_MAPIF/4)*IF(F293=1,(1-(Cap_MAPIF*$G$15+(1-Cap_MAPIF)*$G$16))*(1+1*$G$14),1)+F322-F316-F337*IF((E312+E313+E314+E315)&gt;0,E312/(E312+E313+E314+E315),0)</f>
        <v>14522459.442701</v>
      </c>
      <c r="G312" s="73" t="n">
        <f aca="false">F312*(1+Rend_MAPIF/4)*IF(G293=1,(1-(Cap_MAPIF*$G$15+(1-Cap_MAPIF)*$G$16))*(1+1*$G$14),1)+G322-G316-G337*IF((F312+F313+F314+F315)&gt;0,F312/(F312+F313+F314+F315),0)</f>
        <v>15227482.3335364</v>
      </c>
      <c r="H312" s="73" t="n">
        <f aca="false">G312*(1+Rend_MAPIF/4)*IF(H293=1,(1-(Cap_MAPIF*$G$15+(1-Cap_MAPIF)*$G$16))*(1+1*$G$14),1)+H322-H316-H337*IF((G312+G313+G314+G315)&gt;0,G312/(G312+G313+G314+G315),0)</f>
        <v>15834320.7520645</v>
      </c>
      <c r="I312" s="73" t="n">
        <f aca="false">H312*(1+Rend_MAPIF/4)*IF(I293=1,(1-(Cap_MAPIF*$G$15+(1-Cap_MAPIF)*$G$16))*(1+1*$G$14),1)+I322-I316-I337*IF((H312+H313+H314+H315)&gt;0,H312/(H312+H313+H314+H315),0)</f>
        <v>16450398.2855146</v>
      </c>
      <c r="J312" s="73" t="n">
        <f aca="false">I312*(1+Rend_MAPIF/4)*IF(J293=1,(1-(Cap_MAPIF*$G$15+(1-Cap_MAPIF)*$G$16))*(1+1*$G$14),1)+J322-J316-J337*IF((I312+I313+I314+I315)&gt;0,I312/(I312+I313+I314+I315),0)</f>
        <v>17075855.5994116</v>
      </c>
      <c r="K312" s="73" t="n">
        <f aca="false">J312*(1+Rend_MAPIF/4)*IF(K293=1,(1-(Cap_MAPIF*$G$15+(1-Cap_MAPIF)*$G$16))*(1+1*$G$14),1)+K322-K316-K337*IF((J312+J313+J314+J315)&gt;0,J312/(J312+J313+J314+J315),0)</f>
        <v>17710835.5009126</v>
      </c>
      <c r="L312" s="73" t="n">
        <f aca="false">K312*(1+Rend_MAPIF/4)*IF(L293=1,(1-(Cap_MAPIF*$G$15+(1-Cap_MAPIF)*$G$16))*(1+1*$G$14),1)+L322-L316-L337*IF((K312+K313+K314+K315)&gt;0,K312/(K312+K313+K314+K315),0)</f>
        <v>18355482.971414</v>
      </c>
      <c r="M312" s="73" t="n">
        <f aca="false">L312*(1+Rend_MAPIF/4)*IF(M293=1,(1-(Cap_MAPIF*$G$15+(1-Cap_MAPIF)*$G$16))*(1+1*$G$14),1)+M322-M316-M337*IF((L312+L313+L314+L315)&gt;0,L312/(L312+L313+L314+L315),0)</f>
        <v>19009945.1996538</v>
      </c>
      <c r="N312" s="73" t="n">
        <f aca="false">M312*(1+Rend_MAPIF/4)*IF(N293=1,(1-(Cap_MAPIF*$G$15+(1-Cap_MAPIF)*$G$16))*(1+1*$G$14),1)+N322-N316-N337*IF((M312+M313+M314+M315)&gt;0,M312/(M312+M313+M314+M315),0)</f>
        <v>19674371.6153186</v>
      </c>
      <c r="O312" s="73" t="n">
        <f aca="false">N312*(1+Rend_MAPIF/4)*IF(O293=1,(1-(Cap_MAPIF*$G$15+(1-Cap_MAPIF)*$G$16))*(1+1*$G$14),1)+O322-O316-O337*IF((N312+N313+N314+N315)&gt;0,N312/(N312+N313+N314+N315),0)</f>
        <v>20348913.9231618</v>
      </c>
    </row>
    <row r="313" customFormat="false" ht="15" hidden="false" customHeight="false" outlineLevel="0" collapsed="false">
      <c r="B313" s="65" t="s">
        <v>1036</v>
      </c>
      <c r="C313" s="73" t="n">
        <f aca="false">AN_cible*Ws_MSIG</f>
        <v>5500000</v>
      </c>
      <c r="D313" s="73" t="n">
        <f aca="false">C313*(1+Rend_MSIG/4)*IF(D293=1,(1-(Cap_MSIG*$G$15+(1-Cap_MSIG)*$G$16))*(1+MSIG_USD*$G$14),1)+D323-D317-D337*IF((C312+C313+C314+C315)&gt;0,C313/(C312+C313+C314+C315),0)</f>
        <v>5869487.5</v>
      </c>
      <c r="E313" s="73" t="n">
        <f aca="false">D313*(1+Rend_MSIG/4)*IF(E293=1,(1-(Cap_MSIG*$G$15+(1-Cap_MSIG)*$G$16))*(1+MSIG_USD*$G$14),1)+E323-E317-E337*IF((D312+D313+D314+D315)&gt;0,D313/(D312+D313+D314+D315),0)</f>
        <v>6247002.1159375</v>
      </c>
      <c r="F313" s="73" t="n">
        <f aca="false">E313*(1+Rend_MSIG/4)*IF(F293=1,(1-(Cap_MSIG*$G$15+(1-Cap_MSIG)*$G$16))*(1+MSIG_USD*$G$14),1)+F323-F317-F337*IF((E312+E313+E314+E315)&gt;0,E313/(E312+E313+E314+E315),0)</f>
        <v>6632718.23690624</v>
      </c>
      <c r="G313" s="73" t="n">
        <f aca="false">F313*(1+Rend_MSIG/4)*IF(G293=1,(1-(Cap_MSIG*$G$15+(1-Cap_MSIG)*$G$16))*(1+MSIG_USD*$G$14),1)+G323-G317-G337*IF((F312+F313+F314+F315)&gt;0,F313/(F312+F313+F314+F315),0)</f>
        <v>7026814.04060303</v>
      </c>
      <c r="H313" s="73" t="n">
        <f aca="false">G313*(1+Rend_MSIG/4)*IF(H293=1,(1-(Cap_MSIG*$G$15+(1-Cap_MSIG)*$G$16))*(1+MSIG_USD*$G$14),1)+H323-H317-H337*IF((G312+G313+G314+G315)&gt;0,G313/(G312+G313+G314+G315),0)</f>
        <v>7367986.95277986</v>
      </c>
      <c r="I313" s="73" t="n">
        <f aca="false">H313*(1+Rend_MSIG/4)*IF(I293=1,(1-(Cap_MSIG*$G$15+(1-Cap_MSIG)*$G$16))*(1+MSIG_USD*$G$14),1)+I323-I317-I337*IF((H312+H313+H314+H315)&gt;0,H313/(H312+H313+H314+H315),0)</f>
        <v>7713586.58349217</v>
      </c>
      <c r="J313" s="73" t="n">
        <f aca="false">I313*(1+Rend_MSIG/4)*IF(J293=1,(1-(Cap_MSIG*$G$15+(1-Cap_MSIG)*$G$16))*(1+MSIG_USD*$G$14),1)+J323-J317-J337*IF((I312+I313+I314+I315)&gt;0,I313/(I312+I313+I314+I315),0)</f>
        <v>8063670.36941299</v>
      </c>
      <c r="K313" s="73" t="n">
        <f aca="false">J313*(1+Rend_MSIG/4)*IF(K293=1,(1-(Cap_MSIG*$G$15+(1-Cap_MSIG)*$G$16))*(1+MSIG_USD*$G$14),1)+K323-K317-K337*IF((J312+J313+J314+J315)&gt;0,J313/(J312+J313+J314+J315),0)</f>
        <v>8418296.49245612</v>
      </c>
      <c r="L313" s="73" t="n">
        <f aca="false">K313*(1+Rend_MSIG/4)*IF(L293=1,(1-(Cap_MSIG*$G$15+(1-Cap_MSIG)*$G$16))*(1+MSIG_USD*$G$14),1)+L323-L317-L337*IF((K312+K313+K314+K315)&gt;0,K313/(K312+K313+K314+K315),0)</f>
        <v>8777523.88944574</v>
      </c>
      <c r="M313" s="73" t="n">
        <f aca="false">L313*(1+Rend_MSIG/4)*IF(M293=1,(1-(Cap_MSIG*$G$15+(1-Cap_MSIG)*$G$16))*(1+MSIG_USD*$G$14),1)+M323-M317-M337*IF((L312+L313+L314+L315)&gt;0,L313/(L312+L313+L314+L315),0)</f>
        <v>9141412.26191129</v>
      </c>
      <c r="N313" s="73" t="n">
        <f aca="false">M313*(1+Rend_MSIG/4)*IF(N293=1,(1-(Cap_MSIG*$G$15+(1-Cap_MSIG)*$G$16))*(1+MSIG_USD*$G$14),1)+N323-N317-N337*IF((M312+M313+M314+M315)&gt;0,M313/(M312+M313+M314+M315),0)</f>
        <v>9510022.08600959</v>
      </c>
      <c r="O313" s="73" t="n">
        <f aca="false">N313*(1+Rend_MSIG/4)*IF(O293=1,(1-(Cap_MSIG*$G$15+(1-Cap_MSIG)*$G$16))*(1+MSIG_USD*$G$14),1)+O323-O317-O337*IF((N312+N313+N314+N315)&gt;0,N313/(N312+N313+N314+N315),0)</f>
        <v>9883414.62257557</v>
      </c>
    </row>
    <row r="314" customFormat="false" ht="15" hidden="false" customHeight="false" outlineLevel="0" collapsed="false">
      <c r="B314" s="65" t="s">
        <v>1037</v>
      </c>
      <c r="C314" s="73" t="n">
        <f aca="false">AN_cible*Ws_PG</f>
        <v>12250000</v>
      </c>
      <c r="D314" s="73" t="n">
        <f aca="false">C314*(1+Rend_PG/4)*IF(D293=1,(1-(Cap_PG*$G$15+(1-Cap_PG)*$G$16))*(1+0*$G$14),1)-D318-D334*IF((D324+D325)&gt;0,D324/(D324+D325),0)+D339/2-D337*IF((C312+C313+C314+C315)&gt;0,C314/(C312+C313+C314+C315),0)</f>
        <v>11950181.25</v>
      </c>
      <c r="E314" s="73" t="n">
        <f aca="false">D314*(1+Rend_PG/4)*IF(E293=1,(1-(Cap_PG*$G$15+(1-Cap_PG)*$G$16))*(1+0*$G$14),1)-E318-E334*IF((E324+E325)&gt;0,E324/(E324+E325),0)+E339/2-E337*IF((D312+D313+D314+D315)&gt;0,D314/(D312+D313+D314+D315),0)</f>
        <v>11657700.5639063</v>
      </c>
      <c r="F314" s="73" t="n">
        <f aca="false">E314*(1+Rend_PG/4)*IF(F293=1,(1-(Cap_PG*$G$15+(1-Cap_PG)*$G$16))*(1+0*$G$14),1)-F318-F334*IF((F324+F325)&gt;0,F324/(F324+F325),0)+F339/2-F337*IF((E312+E313+E314+E315)&gt;0,E314/(E312+E313+E314+E315),0)</f>
        <v>11372378.3426046</v>
      </c>
      <c r="G314" s="73" t="n">
        <f aca="false">F314*(1+Rend_PG/4)*IF(G293=1,(1-(Cap_PG*$G$15+(1-Cap_PG)*$G$16))*(1+0*$G$14),1)-G318-G334*IF((G324+G325)&gt;0,G324/(G324+G325),0)+G339/2-G337*IF((F312+F313+F314+F315)&gt;0,F314/(F312+F313+F314+F315),0)</f>
        <v>11094039.3826694</v>
      </c>
      <c r="H314" s="73" t="n">
        <f aca="false">G314*(1+Rend_PG/4)*IF(H293=1,(1-(Cap_PG*$G$15+(1-Cap_PG)*$G$16))*(1+0*$G$14),1)-H318-H334*IF((H324+H325)&gt;0,H324/(H324+H325),0)+H339/2-H337*IF((G312+G313+G314+G315)&gt;0,G314/(G312+G313+G314+G315),0)</f>
        <v>10794777.6703219</v>
      </c>
      <c r="I314" s="73" t="n">
        <f aca="false">H314*(1+Rend_PG/4)*IF(I293=1,(1-(Cap_PG*$G$15+(1-Cap_PG)*$G$16))*(1+0*$G$14),1)-I318-I334*IF((I324+I325)&gt;0,I324/(I324+I325),0)+I339/2-I337*IF((H312+H313+H314+H315)&gt;0,H314/(H312+H313+H314+H315),0)</f>
        <v>10503588.542665</v>
      </c>
      <c r="J314" s="73" t="n">
        <f aca="false">I314*(1+Rend_PG/4)*IF(J293=1,(1-(Cap_PG*$G$15+(1-Cap_PG)*$G$16))*(1+0*$G$14),1)-J318-J334*IF((J324+J325)&gt;0,J324/(J324+J325),0)+J339/2-J337*IF((I312+I313+I314+I315)&gt;0,I314/(I312+I313+I314+I315),0)</f>
        <v>10220254.2417266</v>
      </c>
      <c r="K314" s="73" t="n">
        <f aca="false">J314*(1+Rend_PG/4)*IF(K293=1,(1-(Cap_PG*$G$15+(1-Cap_PG)*$G$16))*(1+0*$G$14),1)-K318-K334*IF((K324+K325)&gt;0,K324/(K324+K325),0)+K339/2-K337*IF((J312+J313+J314+J315)&gt;0,J314/(J312+J313+J314+J315),0)</f>
        <v>9944562.883556</v>
      </c>
      <c r="L314" s="73" t="n">
        <f aca="false">K314*(1+Rend_PG/4)*IF(L293=1,(1-(Cap_PG*$G$15+(1-Cap_PG)*$G$16))*(1+0*$G$14),1)-L318-L334*IF((L324+L325)&gt;0,L324/(L324+L325),0)+L339/2-L337*IF((K312+K313+K314+K315)&gt;0,K314/(K312+K313+K314+K315),0)</f>
        <v>9676308.29977208</v>
      </c>
      <c r="M314" s="73" t="n">
        <f aca="false">L314*(1+Rend_PG/4)*IF(M293=1,(1-(Cap_PG*$G$15+(1-Cap_PG)*$G$16))*(1+0*$G$14),1)-M318-M334*IF((M324+M325)&gt;0,M324/(M324+M325),0)+M339/2-M337*IF((L312+L313+L314+L315)&gt;0,L314/(L312+L313+L314+L315),0)</f>
        <v>9415289.88338572</v>
      </c>
      <c r="N314" s="73" t="n">
        <f aca="false">M314*(1+Rend_PG/4)*IF(N293=1,(1-(Cap_PG*$G$15+(1-Cap_PG)*$G$16))*(1+0*$G$14),1)-N318-N334*IF((N324+N325)&gt;0,N324/(N324+N325),0)+N339/2-N337*IF((M312+M313+M314+M315)&gt;0,M314/(M312+M313+M314+M315),0)</f>
        <v>9161312.4387814</v>
      </c>
      <c r="O314" s="73" t="n">
        <f aca="false">N314*(1+Rend_PG/4)*IF(O293=1,(1-(Cap_PG*$G$15+(1-Cap_PG)*$G$16))*(1+0*$G$14),1)-O318-O334*IF((O324+O325)&gt;0,O324/(O324+O325),0)+O339/2-O337*IF((N312+N313+N314+N315)&gt;0,N314/(N312+N313+N314+N315),0)</f>
        <v>8914186.03574527</v>
      </c>
    </row>
    <row r="315" customFormat="false" ht="15" hidden="false" customHeight="false" outlineLevel="0" collapsed="false">
      <c r="B315" s="65" t="s">
        <v>1038</v>
      </c>
      <c r="C315" s="73" t="n">
        <f aca="false">AN_cible*Ws_ARES</f>
        <v>12250000</v>
      </c>
      <c r="D315" s="73" t="n">
        <f aca="false">C315*(1+Rend_ARES/4)*IF(D293=1,(1-(Cap_ARES*$G$15+(1-Cap_ARES)*$G$16))*(1+0*$G$14),1)-D319-D334*IF((D324+D325)&gt;0,D325/(D324+D325),0)/(1-IF(D293&lt;=Deduc_trim,Deduc_ares,0))+D339/2-D337*IF((C312+C313+C314+C315)&gt;0,C315/(C312+C313+C314+C315),0)</f>
        <v>11880662.5</v>
      </c>
      <c r="E315" s="73" t="n">
        <f aca="false">D315*(1+Rend_ARES/4)*IF(E293=1,(1-(Cap_ARES*$G$15+(1-Cap_ARES)*$G$16))*(1+0*$G$14),1)-E319-E334*IF((E324+E325)&gt;0,E325/(E324+E325),0)/(1-IF(E293&lt;=Deduc_trim,Deduc_ares,0))+E339/2-E337*IF((D312+D313+D314+D315)&gt;0,D315/(D312+D313+D314+D315),0)</f>
        <v>11522460.525625</v>
      </c>
      <c r="F315" s="73" t="n">
        <f aca="false">E315*(1+Rend_ARES/4)*IF(F293=1,(1-(Cap_ARES*$G$15+(1-Cap_ARES)*$G$16))*(1+0*$G$14),1)-F319-F334*IF((F324+F325)&gt;0,F325/(F324+F325),0)/(1-IF(F293&lt;=Deduc_trim,Deduc_ares,0))+F339/2-F337*IF((E312+E313+E314+E315)&gt;0,E315/(E312+E313+E314+E315),0)</f>
        <v>11175058.3407774</v>
      </c>
      <c r="G315" s="73" t="n">
        <f aca="false">F315*(1+Rend_ARES/4)*IF(G293=1,(1-(Cap_ARES*$G$15+(1-Cap_ARES)*$G$16))*(1+0*$G$14),1)-G319-G334*IF((G324+G325)&gt;0,G325/(G324+G325),0)/(1-IF(G293&lt;=Deduc_trim,Deduc_ares,0))+G339/2-G337*IF((F312+F313+F314+F315)&gt;0,F315/(F312+F313+F314+F315),0)</f>
        <v>10838130.331803</v>
      </c>
      <c r="H315" s="73" t="n">
        <f aca="false">G315*(1+Rend_ARES/4)*IF(H293=1,(1-(Cap_ARES*$G$15+(1-Cap_ARES)*$G$16))*(1+0*$G$14),1)-H319-H334*IF((H324+H325)&gt;0,H325/(H324+H325),0)/(1-IF(H293&lt;=Deduc_trim,Deduc_ares,0))+H339/2-H337*IF((G312+G313+G314+G315)&gt;0,G315/(G312+G313+G314+G315),0)</f>
        <v>10443622.3877253</v>
      </c>
      <c r="I315" s="73" t="n">
        <f aca="false">H315*(1+Rend_ARES/4)*IF(I293=1,(1-(Cap_ARES*$G$15+(1-Cap_ARES)*$G$16))*(1+0*$G$14),1)-I319-I334*IF((I324+I325)&gt;0,I325/(I324+I325),0)/(1-IF(I293&lt;=Deduc_trim,Deduc_ares,0))+I339/2-I337*IF((H312+H313+H314+H315)&gt;0,H315/(H312+H313+H314+H315),0)</f>
        <v>10063474.5328121</v>
      </c>
      <c r="J315" s="73" t="n">
        <f aca="false">I315*(1+Rend_ARES/4)*IF(J293=1,(1-(Cap_ARES*$G$15+(1-Cap_ARES)*$G$16))*(1+0*$G$14),1)-J319-J334*IF((J324+J325)&gt;0,J325/(J324+J325),0)/(1-IF(J293&lt;=Deduc_trim,Deduc_ares,0))+J339/2-J337*IF((I312+I313+I314+I315)&gt;0,I315/(I312+I313+I314+I315),0)</f>
        <v>9697164.05981777</v>
      </c>
      <c r="K315" s="73" t="n">
        <f aca="false">J315*(1+Rend_ARES/4)*IF(K293=1,(1-(Cap_ARES*$G$15+(1-Cap_ARES)*$G$16))*(1+0*$G$14),1)-K319-K334*IF((K324+K325)&gt;0,K325/(K324+K325),0)/(1-IF(K293&lt;=Deduc_trim,Deduc_ares,0))+K339/2-K337*IF((J312+J313+J314+J315)&gt;0,J315/(J312+J313+J314+J315),0)</f>
        <v>9344187.2880404</v>
      </c>
      <c r="L315" s="73" t="n">
        <f aca="false">K315*(1+Rend_ARES/4)*IF(L293=1,(1-(Cap_ARES*$G$15+(1-Cap_ARES)*$G$16))*(1+0*$G$14),1)-L319-L334*IF((L324+L325)&gt;0,L325/(L324+L325),0)/(1-IF(L293&lt;=Deduc_trim,Deduc_ares,0))+L339/2-L337*IF((K312+K313+K314+K315)&gt;0,K315/(K312+K313+K314+K315),0)</f>
        <v>9004058.87075573</v>
      </c>
      <c r="M315" s="73" t="n">
        <f aca="false">L315*(1+Rend_ARES/4)*IF(M293=1,(1-(Cap_ARES*$G$15+(1-Cap_ARES)*$G$16))*(1+0*$G$14),1)-M319-M334*IF((M324+M325)&gt;0,M325/(M324+M325),0)/(1-IF(M293&lt;=Deduc_trim,Deduc_ares,0))+M339/2-M337*IF((L312+L313+L314+L315)&gt;0,L315/(L312+L313+L314+L315),0)</f>
        <v>8676311.12786022</v>
      </c>
      <c r="N315" s="73" t="n">
        <f aca="false">M315*(1+Rend_ARES/4)*IF(N293=1,(1-(Cap_ARES*$G$15+(1-Cap_ARES)*$G$16))*(1+0*$G$14),1)-N319-N334*IF((N324+N325)&gt;0,N325/(N324+N325),0)/(1-IF(N293&lt;=Deduc_trim,Deduc_ares,0))+N339/2-N337*IF((M312+M313+M314+M315)&gt;0,M315/(M312+M313+M314+M315),0)</f>
        <v>8360493.4028061</v>
      </c>
      <c r="O315" s="73" t="n">
        <f aca="false">N315*(1+Rend_ARES/4)*IF(O293=1,(1-(Cap_ARES*$G$15+(1-Cap_ARES)*$G$16))*(1+0*$G$14),1)-O319-O334*IF((O324+O325)&gt;0,O325/(O324+O325),0)/(1-IF(O293&lt;=Deduc_trim,Deduc_ares,0))+O339/2-O337*IF((N312+N313+N314+N315)&gt;0,N315/(N312+N313+N314+N315),0)</f>
        <v>8056171.44294396</v>
      </c>
    </row>
    <row r="316" customFormat="false" ht="15" hidden="false" customHeight="false" outlineLevel="0" collapsed="false">
      <c r="B316" s="65" t="s">
        <v>1039</v>
      </c>
      <c r="C316" s="25"/>
      <c r="D316" s="73" t="n">
        <f aca="false">C312*Dist_MAPIF/4*IF(D293&lt;=$G$11,0,$G$10)</f>
        <v>0</v>
      </c>
      <c r="E316" s="73" t="n">
        <f aca="false">D312*Dist_MAPIF/4*IF(E293&lt;=$G$11,0,$G$10)</f>
        <v>0</v>
      </c>
      <c r="F316" s="73" t="n">
        <f aca="false">E312*Dist_MAPIF/4*IF(F293&lt;=$G$11,0,$G$10)</f>
        <v>0</v>
      </c>
      <c r="G316" s="73" t="n">
        <f aca="false">F312*Dist_MAPIF/4*IF(G293&lt;=$G$11,0,$G$10)</f>
        <v>0</v>
      </c>
      <c r="H316" s="73" t="n">
        <f aca="false">G312*Dist_MAPIF/4*IF(H293&lt;=$G$11,0,$G$10)</f>
        <v>114206.117501523</v>
      </c>
      <c r="I316" s="73" t="n">
        <f aca="false">H312*Dist_MAPIF/4*IF(I293&lt;=$G$11,0,$G$10)</f>
        <v>118757.405640483</v>
      </c>
      <c r="J316" s="73" t="n">
        <f aca="false">I312*Dist_MAPIF/4*IF(J293&lt;=$G$11,0,$G$10)</f>
        <v>123377.98714136</v>
      </c>
      <c r="K316" s="73" t="n">
        <f aca="false">J312*Dist_MAPIF/4*IF(K293&lt;=$G$11,0,$G$10)</f>
        <v>128068.916995587</v>
      </c>
      <c r="L316" s="73" t="n">
        <f aca="false">K312*Dist_MAPIF/4*IF(L293&lt;=$G$11,0,$G$10)</f>
        <v>132831.266256845</v>
      </c>
      <c r="M316" s="73" t="n">
        <f aca="false">L312*Dist_MAPIF/4*IF(M293&lt;=$G$11,0,$G$10)</f>
        <v>137666.122285605</v>
      </c>
      <c r="N316" s="73" t="n">
        <f aca="false">M312*Dist_MAPIF/4*IF(N293&lt;=$G$11,0,$G$10)</f>
        <v>142574.588997404</v>
      </c>
      <c r="O316" s="73" t="n">
        <f aca="false">N312*Dist_MAPIF/4*IF(O293&lt;=$G$11,0,$G$10)</f>
        <v>147557.787114889</v>
      </c>
    </row>
    <row r="317" customFormat="false" ht="15" hidden="false" customHeight="false" outlineLevel="0" collapsed="false">
      <c r="B317" s="65" t="s">
        <v>1040</v>
      </c>
      <c r="C317" s="25"/>
      <c r="D317" s="73" t="n">
        <f aca="false">C313*Dist_MSIG/4*IF(D293&lt;=$G$11,0,$G$10)</f>
        <v>0</v>
      </c>
      <c r="E317" s="73" t="n">
        <f aca="false">D313*Dist_MSIG/4*IF(E293&lt;=$G$11,0,$G$10)</f>
        <v>0</v>
      </c>
      <c r="F317" s="73" t="n">
        <f aca="false">E313*Dist_MSIG/4*IF(F293&lt;=$G$11,0,$G$10)</f>
        <v>0</v>
      </c>
      <c r="G317" s="73" t="n">
        <f aca="false">F313*Dist_MSIG/4*IF(G293&lt;=$G$11,0,$G$10)</f>
        <v>0</v>
      </c>
      <c r="H317" s="73" t="n">
        <f aca="false">G313*Dist_MSIG/4*IF(H293&lt;=$G$11,0,$G$10)</f>
        <v>61484.6228552765</v>
      </c>
      <c r="I317" s="73" t="n">
        <f aca="false">H313*Dist_MSIG/4*IF(I293&lt;=$G$11,0,$G$10)</f>
        <v>64469.8858368237</v>
      </c>
      <c r="J317" s="73" t="n">
        <f aca="false">I313*Dist_MSIG/4*IF(J293&lt;=$G$11,0,$G$10)</f>
        <v>67493.8826055565</v>
      </c>
      <c r="K317" s="73" t="n">
        <f aca="false">J313*Dist_MSIG/4*IF(K293&lt;=$G$11,0,$G$10)</f>
        <v>70557.1157323636</v>
      </c>
      <c r="L317" s="73" t="n">
        <f aca="false">K313*Dist_MSIG/4*IF(L293&lt;=$G$11,0,$G$10)</f>
        <v>73660.094308991</v>
      </c>
      <c r="M317" s="73" t="n">
        <f aca="false">L313*Dist_MSIG/4*IF(M293&lt;=$G$11,0,$G$10)</f>
        <v>76803.3340326502</v>
      </c>
      <c r="N317" s="73" t="n">
        <f aca="false">M313*Dist_MSIG/4*IF(N293&lt;=$G$11,0,$G$10)</f>
        <v>79987.3572917238</v>
      </c>
      <c r="O317" s="73" t="n">
        <f aca="false">N313*Dist_MSIG/4*IF(O293&lt;=$G$11,0,$G$10)</f>
        <v>83212.6932525839</v>
      </c>
    </row>
    <row r="318" customFormat="false" ht="15" hidden="false" customHeight="false" outlineLevel="0" collapsed="false">
      <c r="B318" s="65" t="s">
        <v>1041</v>
      </c>
      <c r="C318" s="25"/>
      <c r="D318" s="73" t="n">
        <f aca="false">C314*Dist_PG/4*IF(D293&lt;=$G$11,0,$G$10)</f>
        <v>0</v>
      </c>
      <c r="E318" s="73" t="n">
        <f aca="false">D314*Dist_PG/4*IF(E293&lt;=$G$11,0,$G$10)</f>
        <v>0</v>
      </c>
      <c r="F318" s="73" t="n">
        <f aca="false">E314*Dist_PG/4*IF(F293&lt;=$G$11,0,$G$10)</f>
        <v>0</v>
      </c>
      <c r="G318" s="73" t="n">
        <f aca="false">F314*Dist_PG/4*IF(G293&lt;=$G$11,0,$G$10)</f>
        <v>0</v>
      </c>
      <c r="H318" s="73" t="n">
        <f aca="false">G314*Dist_PG/4*IF(H293&lt;=$G$11,0,$G$10)</f>
        <v>27735.0984566735</v>
      </c>
      <c r="I318" s="73" t="n">
        <f aca="false">H314*Dist_PG/4*IF(I293&lt;=$G$11,0,$G$10)</f>
        <v>26986.9441758047</v>
      </c>
      <c r="J318" s="73" t="n">
        <f aca="false">I314*Dist_PG/4*IF(J293&lt;=$G$11,0,$G$10)</f>
        <v>26258.9713566624</v>
      </c>
      <c r="K318" s="73" t="n">
        <f aca="false">J314*Dist_PG/4*IF(K293&lt;=$G$11,0,$G$10)</f>
        <v>25550.6356043164</v>
      </c>
      <c r="L318" s="73" t="n">
        <f aca="false">K314*Dist_PG/4*IF(L293&lt;=$G$11,0,$G$10)</f>
        <v>24861.40720889</v>
      </c>
      <c r="M318" s="73" t="n">
        <f aca="false">L314*Dist_PG/4*IF(M293&lt;=$G$11,0,$G$10)</f>
        <v>24190.7707494302</v>
      </c>
      <c r="N318" s="73" t="n">
        <f aca="false">M314*Dist_PG/4*IF(N293&lt;=$G$11,0,$G$10)</f>
        <v>23538.2247084643</v>
      </c>
      <c r="O318" s="73" t="n">
        <f aca="false">N314*Dist_PG/4*IF(O293&lt;=$G$11,0,$G$10)</f>
        <v>22903.2810969535</v>
      </c>
    </row>
    <row r="319" customFormat="false" ht="15" hidden="false" customHeight="false" outlineLevel="0" collapsed="false">
      <c r="B319" s="65" t="s">
        <v>1042</v>
      </c>
      <c r="C319" s="25"/>
      <c r="D319" s="73" t="n">
        <f aca="false">C315*Dist_ARES/4*IF(D293&lt;=$G$11,0,$G$10)</f>
        <v>0</v>
      </c>
      <c r="E319" s="73" t="n">
        <f aca="false">D315*Dist_ARES/4*IF(E293&lt;=$G$11,0,$G$10)</f>
        <v>0</v>
      </c>
      <c r="F319" s="73" t="n">
        <f aca="false">E315*Dist_ARES/4*IF(F293&lt;=$G$11,0,$G$10)</f>
        <v>0</v>
      </c>
      <c r="G319" s="73" t="n">
        <f aca="false">F315*Dist_ARES/4*IF(G293&lt;=$G$11,0,$G$10)</f>
        <v>0</v>
      </c>
      <c r="H319" s="73" t="n">
        <f aca="false">G315*Dist_ARES/4*IF(H293&lt;=$G$11,0,$G$10)</f>
        <v>67738.3145737685</v>
      </c>
      <c r="I319" s="73" t="n">
        <f aca="false">H315*Dist_ARES/4*IF(I293&lt;=$G$11,0,$G$10)</f>
        <v>65272.6399232833</v>
      </c>
      <c r="J319" s="73" t="n">
        <f aca="false">I315*Dist_ARES/4*IF(J293&lt;=$G$11,0,$G$10)</f>
        <v>62896.7158300758</v>
      </c>
      <c r="K319" s="73" t="n">
        <f aca="false">J315*Dist_ARES/4*IF(K293&lt;=$G$11,0,$G$10)</f>
        <v>60607.2753738611</v>
      </c>
      <c r="L319" s="73" t="n">
        <f aca="false">K315*Dist_ARES/4*IF(L293&lt;=$G$11,0,$G$10)</f>
        <v>58401.1705502525</v>
      </c>
      <c r="M319" s="73" t="n">
        <f aca="false">L315*Dist_ARES/4*IF(M293&lt;=$G$11,0,$G$10)</f>
        <v>56275.3679422233</v>
      </c>
      <c r="N319" s="73" t="n">
        <f aca="false">M315*Dist_ARES/4*IF(N293&lt;=$G$11,0,$G$10)</f>
        <v>54226.9445491264</v>
      </c>
      <c r="O319" s="73" t="n">
        <f aca="false">N315*Dist_ARES/4*IF(O293&lt;=$G$11,0,$G$10)</f>
        <v>52253.0837675382</v>
      </c>
    </row>
    <row r="320" customFormat="false" ht="15" hidden="false" customHeight="false" outlineLevel="0" collapsed="false">
      <c r="B320" s="65" t="s">
        <v>1043</v>
      </c>
      <c r="C320" s="73" t="n">
        <f aca="false">AN_cible*$G$12*Part_MAPIF_NA</f>
        <v>4500000</v>
      </c>
      <c r="D320" s="73" t="n">
        <f aca="false">C320*IF(D293=1,1+$G$14,1)-D322</f>
        <v>4125000</v>
      </c>
      <c r="E320" s="73" t="n">
        <f aca="false">D320*IF(E293=1,1+$G$14,1)-E322</f>
        <v>3750000</v>
      </c>
      <c r="F320" s="73" t="n">
        <f aca="false">E320*IF(F293=1,1+$G$14,1)-F322</f>
        <v>3375000</v>
      </c>
      <c r="G320" s="73" t="n">
        <f aca="false">F320*IF(G293=1,1+$G$14,1)-G322</f>
        <v>3000000</v>
      </c>
      <c r="H320" s="73" t="n">
        <f aca="false">G320*IF(H293=1,1+$G$14,1)-H322</f>
        <v>2625000</v>
      </c>
      <c r="I320" s="73" t="n">
        <f aca="false">H320*IF(I293=1,1+$G$14,1)-I322</f>
        <v>2250000</v>
      </c>
      <c r="J320" s="73" t="n">
        <f aca="false">I320*IF(J293=1,1+$G$14,1)-J322</f>
        <v>1875000</v>
      </c>
      <c r="K320" s="73" t="n">
        <f aca="false">J320*IF(K293=1,1+$G$14,1)-K322</f>
        <v>1500000</v>
      </c>
      <c r="L320" s="73" t="n">
        <f aca="false">K320*IF(L293=1,1+$G$14,1)-L322</f>
        <v>1125000</v>
      </c>
      <c r="M320" s="73" t="n">
        <f aca="false">L320*IF(M293=1,1+$G$14,1)-M322</f>
        <v>750000</v>
      </c>
      <c r="N320" s="73" t="n">
        <f aca="false">M320*IF(N293=1,1+$G$14,1)-N322</f>
        <v>375000</v>
      </c>
      <c r="O320" s="73" t="n">
        <f aca="false">N320*IF(O293=1,1+$G$14,1)-O322</f>
        <v>0</v>
      </c>
    </row>
    <row r="321" customFormat="false" ht="15" hidden="false" customHeight="false" outlineLevel="0" collapsed="false">
      <c r="B321" s="65" t="s">
        <v>1044</v>
      </c>
      <c r="C321" s="73" t="n">
        <f aca="false">AN_cible*$G$12*(1-Part_MAPIF_NA)</f>
        <v>3000000</v>
      </c>
      <c r="D321" s="73" t="n">
        <f aca="false">C321*IF(D293=1,1+MSIG_USD*$G$14,1)-D323</f>
        <v>2750000</v>
      </c>
      <c r="E321" s="73" t="n">
        <f aca="false">D321*IF(E293=1,1+MSIG_USD*$G$14,1)-E323</f>
        <v>2500000</v>
      </c>
      <c r="F321" s="73" t="n">
        <f aca="false">E321*IF(F293=1,1+MSIG_USD*$G$14,1)-F323</f>
        <v>2250000</v>
      </c>
      <c r="G321" s="73" t="n">
        <f aca="false">F321*IF(G293=1,1+MSIG_USD*$G$14,1)-G323</f>
        <v>2000000</v>
      </c>
      <c r="H321" s="73" t="n">
        <f aca="false">G321*IF(H293=1,1+MSIG_USD*$G$14,1)-H323</f>
        <v>1750000</v>
      </c>
      <c r="I321" s="73" t="n">
        <f aca="false">H321*IF(I293=1,1+MSIG_USD*$G$14,1)-I323</f>
        <v>1500000</v>
      </c>
      <c r="J321" s="73" t="n">
        <f aca="false">I321*IF(J293=1,1+MSIG_USD*$G$14,1)-J323</f>
        <v>1250000</v>
      </c>
      <c r="K321" s="73" t="n">
        <f aca="false">J321*IF(K293=1,1+MSIG_USD*$G$14,1)-K323</f>
        <v>1000000</v>
      </c>
      <c r="L321" s="73" t="n">
        <f aca="false">K321*IF(L293=1,1+MSIG_USD*$G$14,1)-L323</f>
        <v>750000</v>
      </c>
      <c r="M321" s="73" t="n">
        <f aca="false">L321*IF(M293=1,1+MSIG_USD*$G$14,1)-M323</f>
        <v>500000</v>
      </c>
      <c r="N321" s="73" t="n">
        <f aca="false">M321*IF(N293=1,1+MSIG_USD*$G$14,1)-N323</f>
        <v>250000</v>
      </c>
      <c r="O321" s="73" t="n">
        <f aca="false">N321*IF(O293=1,1+MSIG_USD*$G$14,1)-O323</f>
        <v>0</v>
      </c>
    </row>
    <row r="322" customFormat="false" ht="15" hidden="false" customHeight="false" outlineLevel="0" collapsed="false">
      <c r="B322" s="65" t="s">
        <v>1045</v>
      </c>
      <c r="C322" s="25"/>
      <c r="D322" s="73" t="n">
        <f aca="false">MIN(C320*IF(D293=1,1+$G$14,1),$C320*(1+$G$14)*IF(D293&lt;=4,$G$13/4,Appels_base))</f>
        <v>375000</v>
      </c>
      <c r="E322" s="73" t="n">
        <f aca="false">MIN(D320*IF(E293=1,1+$G$14,1),$C320*(1+$G$14)*IF(E293&lt;=4,$G$13/4,Appels_base))</f>
        <v>375000</v>
      </c>
      <c r="F322" s="73" t="n">
        <f aca="false">MIN(E320*IF(F293=1,1+$G$14,1),$C320*(1+$G$14)*IF(F293&lt;=4,$G$13/4,Appels_base))</f>
        <v>375000</v>
      </c>
      <c r="G322" s="73" t="n">
        <f aca="false">MIN(F320*IF(G293=1,1+$G$14,1),$C320*(1+$G$14)*IF(G293&lt;=4,$G$13/4,Appels_base))</f>
        <v>375000</v>
      </c>
      <c r="H322" s="73" t="n">
        <f aca="false">MIN(G320*IF(H293=1,1+$G$14,1),$C320*(1+$G$14)*IF(H293&lt;=4,$G$13/4,Appels_base))</f>
        <v>375000</v>
      </c>
      <c r="I322" s="73" t="n">
        <f aca="false">MIN(H320*IF(I293=1,1+$G$14,1),$C320*(1+$G$14)*IF(I293&lt;=4,$G$13/4,Appels_base))</f>
        <v>375000</v>
      </c>
      <c r="J322" s="73" t="n">
        <f aca="false">MIN(I320*IF(J293=1,1+$G$14,1),$C320*(1+$G$14)*IF(J293&lt;=4,$G$13/4,Appels_base))</f>
        <v>375000</v>
      </c>
      <c r="K322" s="73" t="n">
        <f aca="false">MIN(J320*IF(K293=1,1+$G$14,1),$C320*(1+$G$14)*IF(K293&lt;=4,$G$13/4,Appels_base))</f>
        <v>375000</v>
      </c>
      <c r="L322" s="73" t="n">
        <f aca="false">MIN(K320*IF(L293=1,1+$G$14,1),$C320*(1+$G$14)*IF(L293&lt;=4,$G$13/4,Appels_base))</f>
        <v>375000</v>
      </c>
      <c r="M322" s="73" t="n">
        <f aca="false">MIN(L320*IF(M293=1,1+$G$14,1),$C320*(1+$G$14)*IF(M293&lt;=4,$G$13/4,Appels_base))</f>
        <v>375000</v>
      </c>
      <c r="N322" s="73" t="n">
        <f aca="false">MIN(M320*IF(N293=1,1+$G$14,1),$C320*(1+$G$14)*IF(N293&lt;=4,$G$13/4,Appels_base))</f>
        <v>375000</v>
      </c>
      <c r="O322" s="73" t="n">
        <f aca="false">MIN(N320*IF(O293=1,1+$G$14,1),$C320*(1+$G$14)*IF(O293&lt;=4,$G$13/4,Appels_base))</f>
        <v>375000</v>
      </c>
    </row>
    <row r="323" customFormat="false" ht="15" hidden="false" customHeight="false" outlineLevel="0" collapsed="false">
      <c r="B323" s="65" t="s">
        <v>1046</v>
      </c>
      <c r="C323" s="25"/>
      <c r="D323" s="73" t="n">
        <f aca="false">MIN(C321*IF(D293=1,1+MSIG_USD*$G$14,1),$C321*(1+MSIG_USD*$G$14)*IF(D293&lt;=4,$G$13/4,Appels_base))</f>
        <v>250000</v>
      </c>
      <c r="E323" s="73" t="n">
        <f aca="false">MIN(D321*IF(E293=1,1+MSIG_USD*$G$14,1),$C321*(1+MSIG_USD*$G$14)*IF(E293&lt;=4,$G$13/4,Appels_base))</f>
        <v>250000</v>
      </c>
      <c r="F323" s="73" t="n">
        <f aca="false">MIN(E321*IF(F293=1,1+MSIG_USD*$G$14,1),$C321*(1+MSIG_USD*$G$14)*IF(F293&lt;=4,$G$13/4,Appels_base))</f>
        <v>250000</v>
      </c>
      <c r="G323" s="73" t="n">
        <f aca="false">MIN(F321*IF(G293=1,1+MSIG_USD*$G$14,1),$C321*(1+MSIG_USD*$G$14)*IF(G293&lt;=4,$G$13/4,Appels_base))</f>
        <v>250000</v>
      </c>
      <c r="H323" s="73" t="n">
        <f aca="false">MIN(G321*IF(H293=1,1+MSIG_USD*$G$14,1),$C321*(1+MSIG_USD*$G$14)*IF(H293&lt;=4,$G$13/4,Appels_base))</f>
        <v>250000</v>
      </c>
      <c r="I323" s="73" t="n">
        <f aca="false">MIN(H321*IF(I293=1,1+MSIG_USD*$G$14,1),$C321*(1+MSIG_USD*$G$14)*IF(I293&lt;=4,$G$13/4,Appels_base))</f>
        <v>250000</v>
      </c>
      <c r="J323" s="73" t="n">
        <f aca="false">MIN(I321*IF(J293=1,1+MSIG_USD*$G$14,1),$C321*(1+MSIG_USD*$G$14)*IF(J293&lt;=4,$G$13/4,Appels_base))</f>
        <v>250000</v>
      </c>
      <c r="K323" s="73" t="n">
        <f aca="false">MIN(J321*IF(K293=1,1+MSIG_USD*$G$14,1),$C321*(1+MSIG_USD*$G$14)*IF(K293&lt;=4,$G$13/4,Appels_base))</f>
        <v>250000</v>
      </c>
      <c r="L323" s="73" t="n">
        <f aca="false">MIN(K321*IF(L293=1,1+MSIG_USD*$G$14,1),$C321*(1+MSIG_USD*$G$14)*IF(L293&lt;=4,$G$13/4,Appels_base))</f>
        <v>250000</v>
      </c>
      <c r="M323" s="73" t="n">
        <f aca="false">MIN(L321*IF(M293=1,1+MSIG_USD*$G$14,1),$C321*(1+MSIG_USD*$G$14)*IF(M293&lt;=4,$G$13/4,Appels_base))</f>
        <v>250000</v>
      </c>
      <c r="N323" s="73" t="n">
        <f aca="false">MIN(M321*IF(N293=1,1+MSIG_USD*$G$14,1),$C321*(1+MSIG_USD*$G$14)*IF(N293&lt;=4,$G$13/4,Appels_base))</f>
        <v>250000</v>
      </c>
      <c r="O323" s="73" t="n">
        <f aca="false">MIN(N321*IF(O293=1,1+MSIG_USD*$G$14,1),$C321*(1+MSIG_USD*$G$14)*IF(O293&lt;=4,$G$13/4,Appels_base))</f>
        <v>250000</v>
      </c>
    </row>
    <row r="324" customFormat="false" ht="15" hidden="false" customHeight="false" outlineLevel="0" collapsed="false">
      <c r="B324" s="65" t="s">
        <v>1047</v>
      </c>
      <c r="C324" s="25"/>
      <c r="D324" s="73" t="n">
        <f aca="false">C314*Capacite_evg*IF(D293&lt;=4,$G$17,$G$18)</f>
        <v>612500</v>
      </c>
      <c r="E324" s="73" t="n">
        <f aca="false">D314*Capacite_evg*IF(E293&lt;=4,$G$17,$G$18)</f>
        <v>597509.0625</v>
      </c>
      <c r="F324" s="73" t="n">
        <f aca="false">E314*Capacite_evg*IF(F293&lt;=4,$G$17,$G$18)</f>
        <v>582885.028195313</v>
      </c>
      <c r="G324" s="73" t="n">
        <f aca="false">F314*Capacite_evg*IF(G293&lt;=4,$G$17,$G$18)</f>
        <v>568618.917130232</v>
      </c>
      <c r="H324" s="73" t="n">
        <f aca="false">G314*Capacite_evg*IF(H293&lt;=4,$G$17,$G$18)</f>
        <v>554701.96913347</v>
      </c>
      <c r="I324" s="73" t="n">
        <f aca="false">H314*Capacite_evg*IF(I293&lt;=4,$G$17,$G$18)</f>
        <v>539738.883516095</v>
      </c>
      <c r="J324" s="73" t="n">
        <f aca="false">I314*Capacite_evg*IF(J293&lt;=4,$G$17,$G$18)</f>
        <v>525179.427133248</v>
      </c>
      <c r="K324" s="73" t="n">
        <f aca="false">J314*Capacite_evg*IF(K293&lt;=4,$G$17,$G$18)</f>
        <v>511012.712086329</v>
      </c>
      <c r="L324" s="73" t="n">
        <f aca="false">K314*Capacite_evg*IF(L293&lt;=4,$G$17,$G$18)</f>
        <v>497228.1441778</v>
      </c>
      <c r="M324" s="73" t="n">
        <f aca="false">L314*Capacite_evg*IF(M293&lt;=4,$G$17,$G$18)</f>
        <v>483815.414988604</v>
      </c>
      <c r="N324" s="73" t="n">
        <f aca="false">M314*Capacite_evg*IF(N293&lt;=4,$G$17,$G$18)</f>
        <v>470764.494169286</v>
      </c>
      <c r="O324" s="73" t="n">
        <f aca="false">N314*Capacite_evg*IF(O293&lt;=4,$G$17,$G$18)</f>
        <v>458065.62193907</v>
      </c>
    </row>
    <row r="325" customFormat="false" ht="15" hidden="false" customHeight="false" outlineLevel="0" collapsed="false">
      <c r="B325" s="65" t="s">
        <v>1048</v>
      </c>
      <c r="C325" s="25"/>
      <c r="D325" s="73" t="n">
        <f aca="false">C315*Capacite_evg*IF(D293&lt;=4,$G$17,$G$19)*(1-IF(D293&lt;=Deduc_trim,Deduc_ares,0))</f>
        <v>581875</v>
      </c>
      <c r="E325" s="73" t="n">
        <f aca="false">D315*Capacite_evg*IF(E293&lt;=4,$G$17,$G$19)*(1-IF(E293&lt;=Deduc_trim,Deduc_ares,0))</f>
        <v>564331.46875</v>
      </c>
      <c r="F325" s="73" t="n">
        <f aca="false">E315*Capacite_evg*IF(F293&lt;=4,$G$17,$G$19)*(1-IF(F293&lt;=Deduc_trim,Deduc_ares,0))</f>
        <v>547316.874967187</v>
      </c>
      <c r="G325" s="73" t="n">
        <f aca="false">F315*Capacite_evg*IF(G293&lt;=4,$G$17,$G$19)*(1-IF(G293&lt;=Deduc_trim,Deduc_ares,0))</f>
        <v>530815.271186927</v>
      </c>
      <c r="H325" s="73" t="n">
        <f aca="false">G315*Capacite_evg*IF(H293&lt;=4,$G$17,$G$19)*(1-IF(H293&lt;=Deduc_trim,Deduc_ares,0))</f>
        <v>541906.516590148</v>
      </c>
      <c r="I325" s="73" t="n">
        <f aca="false">H315*Capacite_evg*IF(I293&lt;=4,$G$17,$G$19)*(1-IF(I293&lt;=Deduc_trim,Deduc_ares,0))</f>
        <v>522181.119386267</v>
      </c>
      <c r="J325" s="73" t="n">
        <f aca="false">I315*Capacite_evg*IF(J293&lt;=4,$G$17,$G$19)*(1-IF(J293&lt;=Deduc_trim,Deduc_ares,0))</f>
        <v>503173.726640607</v>
      </c>
      <c r="K325" s="73" t="n">
        <f aca="false">J315*Capacite_evg*IF(K293&lt;=4,$G$17,$G$19)*(1-IF(K293&lt;=Deduc_trim,Deduc_ares,0))</f>
        <v>484858.202990888</v>
      </c>
      <c r="L325" s="73" t="n">
        <f aca="false">K315*Capacite_evg*IF(L293&lt;=4,$G$17,$G$19)*(1-IF(L293&lt;=Deduc_trim,Deduc_ares,0))</f>
        <v>467209.36440202</v>
      </c>
      <c r="M325" s="73" t="n">
        <f aca="false">L315*Capacite_evg*IF(M293&lt;=4,$G$17,$G$19)*(1-IF(M293&lt;=Deduc_trim,Deduc_ares,0))</f>
        <v>450202.943537786</v>
      </c>
      <c r="N325" s="73" t="n">
        <f aca="false">M315*Capacite_evg*IF(N293&lt;=4,$G$17,$G$19)*(1-IF(N293&lt;=Deduc_trim,Deduc_ares,0))</f>
        <v>433815.556393011</v>
      </c>
      <c r="O325" s="73" t="n">
        <f aca="false">N315*Capacite_evg*IF(O293&lt;=4,$G$17,$G$19)*(1-IF(O293&lt;=Deduc_trim,Deduc_ares,0))</f>
        <v>418024.670140305</v>
      </c>
    </row>
    <row r="326" customFormat="false" ht="15" hidden="false" customHeight="false" outlineLevel="0" collapsed="false">
      <c r="B326" s="65" t="s">
        <v>1049</v>
      </c>
      <c r="C326" s="25"/>
      <c r="D326" s="73" t="n">
        <f aca="false">C340</f>
        <v>7500000</v>
      </c>
      <c r="E326" s="73" t="n">
        <f aca="false">D340</f>
        <v>6866250</v>
      </c>
      <c r="F326" s="73" t="n">
        <f aca="false">E340</f>
        <v>7197376.375</v>
      </c>
      <c r="G326" s="73" t="n">
        <f aca="false">F340</f>
        <v>6486120.83611172</v>
      </c>
      <c r="H326" s="73" t="n">
        <f aca="false">G340</f>
        <v>6750149.60365907</v>
      </c>
      <c r="I326" s="73" t="n">
        <f aca="false">H340</f>
        <v>6261695.28548603</v>
      </c>
      <c r="J326" s="73" t="n">
        <f aca="false">I340</f>
        <v>6759725.74425718</v>
      </c>
      <c r="K326" s="73" t="n">
        <f aca="false">J340</f>
        <v>6198085.39864777</v>
      </c>
      <c r="L326" s="73" t="n">
        <f aca="false">K340</f>
        <v>6636203.14282758</v>
      </c>
      <c r="M326" s="73" t="n">
        <f aca="false">L340</f>
        <v>6005518.72668023</v>
      </c>
      <c r="N326" s="73" t="n">
        <f aca="false">M340</f>
        <v>6387912.70846795</v>
      </c>
      <c r="O326" s="73" t="n">
        <f aca="false">N340</f>
        <v>5691972.54947291</v>
      </c>
    </row>
    <row r="327" customFormat="false" ht="15" hidden="false" customHeight="false" outlineLevel="0" collapsed="false">
      <c r="B327" s="65" t="s">
        <v>1050</v>
      </c>
      <c r="C327" s="25"/>
      <c r="D327" s="73" t="n">
        <f aca="false">D326*Taux_treso/4</f>
        <v>46875</v>
      </c>
      <c r="E327" s="73" t="n">
        <f aca="false">E326*Taux_treso/4</f>
        <v>42914.0625</v>
      </c>
      <c r="F327" s="73" t="n">
        <f aca="false">F326*Taux_treso/4</f>
        <v>44983.60234375</v>
      </c>
      <c r="G327" s="73" t="n">
        <f aca="false">G326*Taux_treso/4</f>
        <v>40538.2552256982</v>
      </c>
      <c r="H327" s="73" t="n">
        <f aca="false">H326*Taux_treso/4</f>
        <v>42188.4350228692</v>
      </c>
      <c r="I327" s="73" t="n">
        <f aca="false">I326*Taux_treso/4</f>
        <v>39135.5955342877</v>
      </c>
      <c r="J327" s="73" t="n">
        <f aca="false">J326*Taux_treso/4</f>
        <v>42248.2859016074</v>
      </c>
      <c r="K327" s="73" t="n">
        <f aca="false">K326*Taux_treso/4</f>
        <v>38738.0337415486</v>
      </c>
      <c r="L327" s="73" t="n">
        <f aca="false">L326*Taux_treso/4</f>
        <v>41476.2696426724</v>
      </c>
      <c r="M327" s="73" t="n">
        <f aca="false">M326*Taux_treso/4</f>
        <v>37534.4920417515</v>
      </c>
      <c r="N327" s="73" t="n">
        <f aca="false">N326*Taux_treso/4</f>
        <v>39924.4544279247</v>
      </c>
      <c r="O327" s="73" t="n">
        <f aca="false">O326*Taux_treso/4</f>
        <v>35574.8284342057</v>
      </c>
    </row>
    <row r="328" customFormat="false" ht="15" hidden="false" customHeight="false" outlineLevel="0" collapsed="false">
      <c r="B328" s="65" t="s">
        <v>1051</v>
      </c>
      <c r="C328" s="25"/>
      <c r="D328" s="73" t="n">
        <f aca="false">SUM(D316:D319)</f>
        <v>0</v>
      </c>
      <c r="E328" s="73" t="n">
        <f aca="false">SUM(E316:E319)</f>
        <v>0</v>
      </c>
      <c r="F328" s="73" t="n">
        <f aca="false">SUM(F316:F319)</f>
        <v>0</v>
      </c>
      <c r="G328" s="73" t="n">
        <f aca="false">SUM(G316:G319)</f>
        <v>0</v>
      </c>
      <c r="H328" s="73" t="n">
        <f aca="false">SUM(H316:H319)</f>
        <v>271164.153387241</v>
      </c>
      <c r="I328" s="73" t="n">
        <f aca="false">SUM(I316:I319)</f>
        <v>275486.875576395</v>
      </c>
      <c r="J328" s="73" t="n">
        <f aca="false">SUM(J316:J319)</f>
        <v>280027.556933655</v>
      </c>
      <c r="K328" s="73" t="n">
        <f aca="false">SUM(K316:K319)</f>
        <v>284783.943706128</v>
      </c>
      <c r="L328" s="73" t="n">
        <f aca="false">SUM(L316:L319)</f>
        <v>289753.938324978</v>
      </c>
      <c r="M328" s="73" t="n">
        <f aca="false">SUM(M316:M319)</f>
        <v>294935.595009909</v>
      </c>
      <c r="N328" s="73" t="n">
        <f aca="false">SUM(N316:N319)</f>
        <v>300327.115546718</v>
      </c>
      <c r="O328" s="73" t="n">
        <f aca="false">SUM(O316:O319)</f>
        <v>305926.845231965</v>
      </c>
    </row>
    <row r="329" customFormat="false" ht="15" hidden="false" customHeight="false" outlineLevel="0" collapsed="false">
      <c r="B329" s="65" t="s">
        <v>1052</v>
      </c>
      <c r="C329" s="25"/>
      <c r="D329" s="73" t="n">
        <f aca="false">IF(AND(Distrib_tension=1,OR(D301&gt;0.000001,C343&lt;Liq_min,C307=1)),0,MIN(Dist_porteurs/4*Part_d*D298,D328))</f>
        <v>0</v>
      </c>
      <c r="E329" s="73" t="n">
        <f aca="false">IF(AND(Distrib_tension=1,OR(E301&gt;0.000001,D343&lt;Liq_min,D307=1)),0,MIN(Dist_porteurs/4*Part_d*E298,E328))</f>
        <v>0</v>
      </c>
      <c r="F329" s="73" t="n">
        <f aca="false">IF(AND(Distrib_tension=1,OR(F301&gt;0.000001,E343&lt;Liq_min,E307=1)),0,MIN(Dist_porteurs/4*Part_d*F298,F328))</f>
        <v>0</v>
      </c>
      <c r="G329" s="73" t="n">
        <f aca="false">IF(AND(Distrib_tension=1,OR(G301&gt;0.000001,F343&lt;Liq_min,F307=1)),0,MIN(Dist_porteurs/4*Part_d*G298,G328))</f>
        <v>0</v>
      </c>
      <c r="H329" s="73" t="n">
        <f aca="false">IF(AND(Distrib_tension=1,OR(H301&gt;0.000001,G343&lt;Liq_min,G307=1)),0,MIN(Dist_porteurs/4*Part_d*H298,H328))</f>
        <v>0</v>
      </c>
      <c r="I329" s="73" t="n">
        <f aca="false">IF(AND(Distrib_tension=1,OR(I301&gt;0.000001,H343&lt;Liq_min,H307=1)),0,MIN(Dist_porteurs/4*Part_d*I298,I328))</f>
        <v>0</v>
      </c>
      <c r="J329" s="73" t="n">
        <f aca="false">IF(AND(Distrib_tension=1,OR(J301&gt;0.000001,I343&lt;Liq_min,I307=1)),0,MIN(Dist_porteurs/4*Part_d*J298,J328))</f>
        <v>0</v>
      </c>
      <c r="K329" s="73" t="n">
        <f aca="false">IF(AND(Distrib_tension=1,OR(K301&gt;0.000001,J343&lt;Liq_min,J307=1)),0,MIN(Dist_porteurs/4*Part_d*K298,K328))</f>
        <v>0</v>
      </c>
      <c r="L329" s="73" t="n">
        <f aca="false">IF(AND(Distrib_tension=1,OR(L301&gt;0.000001,K343&lt;Liq_min,K307=1)),0,MIN(Dist_porteurs/4*Part_d*L298,L328))</f>
        <v>0</v>
      </c>
      <c r="M329" s="73" t="n">
        <f aca="false">IF(AND(Distrib_tension=1,OR(M301&gt;0.000001,L343&lt;Liq_min,L307=1)),0,MIN(Dist_porteurs/4*Part_d*M298,M328))</f>
        <v>0</v>
      </c>
      <c r="N329" s="73" t="n">
        <f aca="false">IF(AND(Distrib_tension=1,OR(N301&gt;0.000001,M343&lt;Liq_min,M307=1)),0,MIN(Dist_porteurs/4*Part_d*N298,N328))</f>
        <v>0</v>
      </c>
      <c r="O329" s="73" t="n">
        <f aca="false">IF(AND(Distrib_tension=1,OR(O301&gt;0.000001,N343&lt;Liq_min,N307=1)),0,MIN(Dist_porteurs/4*Part_d*O298,O328))</f>
        <v>0</v>
      </c>
    </row>
    <row r="330" customFormat="false" ht="15" hidden="false" customHeight="false" outlineLevel="0" collapsed="false">
      <c r="B330" s="65" t="s">
        <v>1053</v>
      </c>
      <c r="C330" s="25"/>
      <c r="D330" s="73" t="n">
        <f aca="false">D322+D323</f>
        <v>625000</v>
      </c>
      <c r="E330" s="73" t="n">
        <f aca="false">E322+E323</f>
        <v>625000</v>
      </c>
      <c r="F330" s="73" t="n">
        <f aca="false">F322+F323</f>
        <v>625000</v>
      </c>
      <c r="G330" s="73" t="n">
        <f aca="false">G322+G323</f>
        <v>625000</v>
      </c>
      <c r="H330" s="73" t="n">
        <f aca="false">H322+H323</f>
        <v>625000</v>
      </c>
      <c r="I330" s="73" t="n">
        <f aca="false">I322+I323</f>
        <v>625000</v>
      </c>
      <c r="J330" s="73" t="n">
        <f aca="false">J322+J323</f>
        <v>625000</v>
      </c>
      <c r="K330" s="73" t="n">
        <f aca="false">K322+K323</f>
        <v>625000</v>
      </c>
      <c r="L330" s="73" t="n">
        <f aca="false">L322+L323</f>
        <v>625000</v>
      </c>
      <c r="M330" s="73" t="n">
        <f aca="false">M322+M323</f>
        <v>625000</v>
      </c>
      <c r="N330" s="73" t="n">
        <f aca="false">N322+N323</f>
        <v>625000</v>
      </c>
      <c r="O330" s="73" t="n">
        <f aca="false">O322+O323</f>
        <v>625000</v>
      </c>
    </row>
    <row r="331" customFormat="false" ht="15" hidden="false" customHeight="false" outlineLevel="0" collapsed="false">
      <c r="B331" s="65" t="s">
        <v>1054</v>
      </c>
      <c r="C331" s="25"/>
      <c r="D331" s="73" t="n">
        <f aca="false">D298*Frais_an/4</f>
        <v>250000</v>
      </c>
      <c r="E331" s="73" t="n">
        <f aca="false">E298*Frais_an/4</f>
        <v>248628.21875</v>
      </c>
      <c r="F331" s="73" t="n">
        <f aca="false">F298*Frais_an/4</f>
        <v>252288.208878906</v>
      </c>
      <c r="G331" s="73" t="n">
        <f aca="false">G298*Frais_an/4</f>
        <v>250943.675995505</v>
      </c>
      <c r="H331" s="73" t="n">
        <f aca="false">H298*Frais_an/4</f>
        <v>254683.078461354</v>
      </c>
      <c r="I331" s="73" t="n">
        <f aca="false">I298*Frais_an/4</f>
        <v>253512.015241888</v>
      </c>
      <c r="J331" s="73" t="n">
        <f aca="false">J298*Frais_an/4</f>
        <v>257453.868443705</v>
      </c>
      <c r="K331" s="73" t="n">
        <f aca="false">K298*Frais_an/4</f>
        <v>256275.148345084</v>
      </c>
      <c r="L331" s="73" t="n">
        <f aca="false">L298*Frais_an/4</f>
        <v>260270.426538964</v>
      </c>
      <c r="M331" s="73" t="n">
        <f aca="false">M298*Frais_an/4</f>
        <v>259094.463790339</v>
      </c>
      <c r="N331" s="73" t="n">
        <f aca="false">N298*Frais_an/4</f>
        <v>263154.355906395</v>
      </c>
      <c r="O331" s="73" t="n">
        <f aca="false">O298*Frais_an/4</f>
        <v>261990.860461943</v>
      </c>
    </row>
    <row r="332" customFormat="false" ht="15" hidden="false" customHeight="false" outlineLevel="0" collapsed="false">
      <c r="B332" s="65" t="s">
        <v>1055</v>
      </c>
      <c r="C332" s="25"/>
      <c r="D332" s="73" t="n">
        <f aca="false">C341*Taux_emprunt/4</f>
        <v>0</v>
      </c>
      <c r="E332" s="73" t="n">
        <f aca="false">D341*Taux_emprunt/4</f>
        <v>0</v>
      </c>
      <c r="F332" s="73" t="n">
        <f aca="false">E341*Taux_emprunt/4</f>
        <v>0</v>
      </c>
      <c r="G332" s="73" t="n">
        <f aca="false">F341*Taux_emprunt/4</f>
        <v>0</v>
      </c>
      <c r="H332" s="73" t="n">
        <f aca="false">G341*Taux_emprunt/4</f>
        <v>0</v>
      </c>
      <c r="I332" s="73" t="n">
        <f aca="false">H341*Taux_emprunt/4</f>
        <v>0</v>
      </c>
      <c r="J332" s="73" t="n">
        <f aca="false">I341*Taux_emprunt/4</f>
        <v>0</v>
      </c>
      <c r="K332" s="73" t="n">
        <f aca="false">J341*Taux_emprunt/4</f>
        <v>0</v>
      </c>
      <c r="L332" s="73" t="n">
        <f aca="false">K341*Taux_emprunt/4</f>
        <v>0</v>
      </c>
      <c r="M332" s="73" t="n">
        <f aca="false">L341*Taux_emprunt/4</f>
        <v>0</v>
      </c>
      <c r="N332" s="73" t="n">
        <f aca="false">M341*Taux_emprunt/4</f>
        <v>0</v>
      </c>
      <c r="O332" s="73" t="n">
        <f aca="false">N341*Taux_emprunt/4</f>
        <v>0</v>
      </c>
    </row>
    <row r="333" customFormat="false" ht="15" hidden="false" customHeight="false" outlineLevel="0" collapsed="false">
      <c r="B333" s="65" t="s">
        <v>1056</v>
      </c>
      <c r="C333" s="25"/>
      <c r="D333" s="73" t="n">
        <f aca="false">D326+D327+D328-D329+D299-D330-D331-D332</f>
        <v>6671875</v>
      </c>
      <c r="E333" s="73" t="n">
        <f aca="false">E326+E327+E328-E329+E299-E330-E331-E332</f>
        <v>6035535.84375</v>
      </c>
      <c r="F333" s="73" t="n">
        <f aca="false">F326+F327+F328-F329+F299-F330-F331-F332</f>
        <v>6365071.76846484</v>
      </c>
      <c r="G333" s="73" t="n">
        <f aca="false">G326+G327+G328-G329+G299-G330-G331-G332</f>
        <v>5650715.41534191</v>
      </c>
      <c r="H333" s="73" t="n">
        <f aca="false">H326+H327+H328-H329+H299-H330-H331-H332</f>
        <v>6183819.11360783</v>
      </c>
      <c r="I333" s="73" t="n">
        <f aca="false">I326+I327+I328-I329+I299-I330-I331-I332</f>
        <v>5697805.74135482</v>
      </c>
      <c r="J333" s="73" t="n">
        <f aca="false">J326+J327+J328-J329+J299-J330-J331-J332</f>
        <v>6199547.71864874</v>
      </c>
      <c r="K333" s="73" t="n">
        <f aca="false">K326+K327+K328-K329+K299-K330-K331-K332</f>
        <v>5640332.22775037</v>
      </c>
      <c r="L333" s="73" t="n">
        <f aca="false">L326+L327+L328-L329+L299-L330-L331-L332</f>
        <v>6082162.92425627</v>
      </c>
      <c r="M333" s="73" t="n">
        <f aca="false">M326+M327+M328-M329+M299-M330-M331-M332</f>
        <v>5453894.34994156</v>
      </c>
      <c r="N333" s="73" t="n">
        <f aca="false">N326+N327+N328-N329+N299-N330-N331-N332</f>
        <v>5840009.92253619</v>
      </c>
      <c r="O333" s="73" t="n">
        <f aca="false">O326+O327+O328-O329+O299-O330-O331-O332</f>
        <v>5146483.36267714</v>
      </c>
    </row>
    <row r="334" customFormat="false" ht="15" hidden="false" customHeight="false" outlineLevel="0" collapsed="false">
      <c r="B334" s="65" t="s">
        <v>1057</v>
      </c>
      <c r="C334" s="25"/>
      <c r="D334" s="73" t="n">
        <f aca="false">MIN(D324+D325,MAX(0,Liq_cible*D298-(D333-D308)))</f>
        <v>1194375</v>
      </c>
      <c r="E334" s="73" t="n">
        <f aca="false">MIN(E324+E325,MAX(0,Liq_cible*E298-(E333-E308)))</f>
        <v>1161840.53125</v>
      </c>
      <c r="F334" s="73" t="n">
        <f aca="false">MIN(F324+F325,MAX(0,Liq_cible*F298-(F333-F308)))</f>
        <v>1130201.9031625</v>
      </c>
      <c r="G334" s="73" t="n">
        <f aca="false">MIN(G324+G325,MAX(0,Liq_cible*G298-(G333-G308)))</f>
        <v>1099434.18831716</v>
      </c>
      <c r="H334" s="73" t="n">
        <f aca="false">MIN(H324+H325,MAX(0,Liq_cible*H298-(H333-H308)))</f>
        <v>1096608.48572362</v>
      </c>
      <c r="I334" s="73" t="n">
        <f aca="false">MIN(I324+I325,MAX(0,Liq_cible*I298-(I333-I308)))</f>
        <v>1061920.00290236</v>
      </c>
      <c r="J334" s="73" t="n">
        <f aca="false">MIN(J324+J325,MAX(0,Liq_cible*J298-(J333-J308)))</f>
        <v>1028353.15377385</v>
      </c>
      <c r="K334" s="73" t="n">
        <f aca="false">MIN(K324+K325,MAX(0,Liq_cible*K298-(K333-K308)))</f>
        <v>995870.915077217</v>
      </c>
      <c r="L334" s="73" t="n">
        <f aca="false">MIN(L324+L325,MAX(0,Liq_cible*L298-(L333-L308)))</f>
        <v>964437.50857982</v>
      </c>
      <c r="M334" s="73" t="n">
        <f aca="false">MIN(M324+M325,MAX(0,Liq_cible*M298-(M333-M308)))</f>
        <v>934018.35852639</v>
      </c>
      <c r="N334" s="73" t="n">
        <f aca="false">MIN(N324+N325,MAX(0,Liq_cible*N298-(N333-N308)))</f>
        <v>904580.050562297</v>
      </c>
      <c r="O334" s="73" t="n">
        <f aca="false">MIN(O324+O325,MAX(0,Liq_cible*O298-(O333-O308)))</f>
        <v>876090.292079375</v>
      </c>
    </row>
    <row r="335" customFormat="false" ht="15" hidden="false" customHeight="false" outlineLevel="0" collapsed="false">
      <c r="B335" s="65" t="s">
        <v>1058</v>
      </c>
      <c r="C335" s="25"/>
      <c r="D335" s="73" t="n">
        <f aca="false">D333-D308+D334</f>
        <v>6866250</v>
      </c>
      <c r="E335" s="73" t="n">
        <f aca="false">E333-E308+E334</f>
        <v>7197376.375</v>
      </c>
      <c r="F335" s="73" t="n">
        <f aca="false">F333-F308+F334</f>
        <v>6486120.83611172</v>
      </c>
      <c r="G335" s="73" t="n">
        <f aca="false">G333-G308+G334</f>
        <v>6750149.60365907</v>
      </c>
      <c r="H335" s="73" t="n">
        <f aca="false">H333-H308+H334</f>
        <v>6261695.28548603</v>
      </c>
      <c r="I335" s="73" t="n">
        <f aca="false">I333-I308+I334</f>
        <v>6759725.74425718</v>
      </c>
      <c r="J335" s="73" t="n">
        <f aca="false">J333-J308+J334</f>
        <v>6198085.39864777</v>
      </c>
      <c r="K335" s="73" t="n">
        <f aca="false">K333-K308+K334</f>
        <v>6636203.14282758</v>
      </c>
      <c r="L335" s="73" t="n">
        <f aca="false">L333-L308+L334</f>
        <v>6005518.72668023</v>
      </c>
      <c r="M335" s="73" t="n">
        <f aca="false">M333-M308+M334</f>
        <v>6387912.70846795</v>
      </c>
      <c r="N335" s="73" t="n">
        <f aca="false">N333-N308+N334</f>
        <v>5691972.54947291</v>
      </c>
      <c r="O335" s="73" t="n">
        <f aca="false">O333-O308+O334</f>
        <v>6022573.65475651</v>
      </c>
    </row>
    <row r="336" customFormat="false" ht="15" hidden="false" customHeight="false" outlineLevel="0" collapsed="false">
      <c r="B336" s="65" t="s">
        <v>1059</v>
      </c>
      <c r="C336" s="25"/>
      <c r="D336" s="73" t="n">
        <f aca="false">MIN(MAX(0,MIN($G$20*AN_cible,Emprunt_max*D298)-C341),MAX(0,IF($G$20&gt;0,Poche_min_exec*D298,0)-D335))-IF(D335&gt;Liq_cible*D298,MIN(C341,D335-Liq_cible*D298),0)</f>
        <v>0</v>
      </c>
      <c r="E336" s="73" t="n">
        <f aca="false">MIN(MAX(0,MIN($G$20*AN_cible,Emprunt_max*E298)-D341),MAX(0,IF($G$20&gt;0,Poche_min_exec*E298,0)-E335))-IF(E335&gt;Liq_cible*E298,MIN(D341,E335-Liq_cible*E298),0)</f>
        <v>0</v>
      </c>
      <c r="F336" s="73" t="n">
        <f aca="false">MIN(MAX(0,MIN($G$20*AN_cible,Emprunt_max*F298)-E341),MAX(0,IF($G$20&gt;0,Poche_min_exec*F298,0)-F335))-IF(F335&gt;Liq_cible*F298,MIN(E341,F335-Liq_cible*F298),0)</f>
        <v>0</v>
      </c>
      <c r="G336" s="73" t="n">
        <f aca="false">MIN(MAX(0,MIN($G$20*AN_cible,Emprunt_max*G298)-F341),MAX(0,IF($G$20&gt;0,Poche_min_exec*G298,0)-G335))-IF(G335&gt;Liq_cible*G298,MIN(F341,G335-Liq_cible*G298),0)</f>
        <v>0</v>
      </c>
      <c r="H336" s="73" t="n">
        <f aca="false">MIN(MAX(0,MIN($G$20*AN_cible,Emprunt_max*H298)-G341),MAX(0,IF($G$20&gt;0,Poche_min_exec*H298,0)-H335))-IF(H335&gt;Liq_cible*H298,MIN(G341,H335-Liq_cible*H298),0)</f>
        <v>0</v>
      </c>
      <c r="I336" s="73" t="n">
        <f aca="false">MIN(MAX(0,MIN($G$20*AN_cible,Emprunt_max*I298)-H341),MAX(0,IF($G$20&gt;0,Poche_min_exec*I298,0)-I335))-IF(I335&gt;Liq_cible*I298,MIN(H341,I335-Liq_cible*I298),0)</f>
        <v>0</v>
      </c>
      <c r="J336" s="73" t="n">
        <f aca="false">MIN(MAX(0,MIN($G$20*AN_cible,Emprunt_max*J298)-I341),MAX(0,IF($G$20&gt;0,Poche_min_exec*J298,0)-J335))-IF(J335&gt;Liq_cible*J298,MIN(I341,J335-Liq_cible*J298),0)</f>
        <v>0</v>
      </c>
      <c r="K336" s="73" t="n">
        <f aca="false">MIN(MAX(0,MIN($G$20*AN_cible,Emprunt_max*K298)-J341),MAX(0,IF($G$20&gt;0,Poche_min_exec*K298,0)-K335))-IF(K335&gt;Liq_cible*K298,MIN(J341,K335-Liq_cible*K298),0)</f>
        <v>0</v>
      </c>
      <c r="L336" s="73" t="n">
        <f aca="false">MIN(MAX(0,MIN($G$20*AN_cible,Emprunt_max*L298)-K341),MAX(0,IF($G$20&gt;0,Poche_min_exec*L298,0)-L335))-IF(L335&gt;Liq_cible*L298,MIN(K341,L335-Liq_cible*L298),0)</f>
        <v>0</v>
      </c>
      <c r="M336" s="73" t="n">
        <f aca="false">MIN(MAX(0,MIN($G$20*AN_cible,Emprunt_max*M298)-L341),MAX(0,IF($G$20&gt;0,Poche_min_exec*M298,0)-M335))-IF(M335&gt;Liq_cible*M298,MIN(L341,M335-Liq_cible*M298),0)</f>
        <v>0</v>
      </c>
      <c r="N336" s="73" t="n">
        <f aca="false">MIN(MAX(0,MIN($G$20*AN_cible,Emprunt_max*N298)-M341),MAX(0,IF($G$20&gt;0,Poche_min_exec*N298,0)-N335))-IF(N335&gt;Liq_cible*N298,MIN(M341,N335-Liq_cible*N298),0)</f>
        <v>0</v>
      </c>
      <c r="O336" s="73" t="n">
        <f aca="false">MIN(MAX(0,MIN($G$20*AN_cible,Emprunt_max*O298)-N341),MAX(0,IF($G$20&gt;0,Poche_min_exec*O298,0)-O335))-IF(O335&gt;Liq_cible*O298,MIN(N341,O335-Liq_cible*O298),0)</f>
        <v>0</v>
      </c>
    </row>
    <row r="337" customFormat="false" ht="15" hidden="false" customHeight="false" outlineLevel="0" collapsed="false">
      <c r="B337" s="65" t="s">
        <v>1060</v>
      </c>
      <c r="C337" s="25"/>
      <c r="D337" s="73" t="n">
        <f aca="false">MIN((C312+C313+C314+C315),MAX(0,-(D335+D336))/(1-Decote))</f>
        <v>0</v>
      </c>
      <c r="E337" s="73" t="n">
        <f aca="false">MIN((D312+D313+D314+D315),MAX(0,-(E335+E336))/(1-Decote))</f>
        <v>0</v>
      </c>
      <c r="F337" s="73" t="n">
        <f aca="false">MIN((E312+E313+E314+E315),MAX(0,-(F335+F336))/(1-Decote))</f>
        <v>0</v>
      </c>
      <c r="G337" s="73" t="n">
        <f aca="false">MIN((F312+F313+F314+F315),MAX(0,-(G335+G336))/(1-Decote))</f>
        <v>0</v>
      </c>
      <c r="H337" s="73" t="n">
        <f aca="false">MIN((G312+G313+G314+G315),MAX(0,-(H335+H336))/(1-Decote))</f>
        <v>0</v>
      </c>
      <c r="I337" s="73" t="n">
        <f aca="false">MIN((H312+H313+H314+H315),MAX(0,-(I335+I336))/(1-Decote))</f>
        <v>0</v>
      </c>
      <c r="J337" s="73" t="n">
        <f aca="false">MIN((I312+I313+I314+I315),MAX(0,-(J335+J336))/(1-Decote))</f>
        <v>0</v>
      </c>
      <c r="K337" s="73" t="n">
        <f aca="false">MIN((J312+J313+J314+J315),MAX(0,-(K335+K336))/(1-Decote))</f>
        <v>0</v>
      </c>
      <c r="L337" s="73" t="n">
        <f aca="false">MIN((K312+K313+K314+K315),MAX(0,-(L335+L336))/(1-Decote))</f>
        <v>0</v>
      </c>
      <c r="M337" s="73" t="n">
        <f aca="false">MIN((L312+L313+L314+L315),MAX(0,-(M335+M336))/(1-Decote))</f>
        <v>0</v>
      </c>
      <c r="N337" s="73" t="n">
        <f aca="false">MIN((M312+M313+M314+M315),MAX(0,-(N335+N336))/(1-Decote))</f>
        <v>0</v>
      </c>
      <c r="O337" s="73" t="n">
        <f aca="false">MIN((N312+N313+N314+N315),MAX(0,-(O335+O336))/(1-Decote))</f>
        <v>0</v>
      </c>
    </row>
    <row r="338" customFormat="false" ht="15" hidden="false" customHeight="false" outlineLevel="0" collapsed="false">
      <c r="B338" s="65" t="s">
        <v>1061</v>
      </c>
      <c r="C338" s="25"/>
      <c r="D338" s="73" t="n">
        <f aca="false">D337*Decote</f>
        <v>0</v>
      </c>
      <c r="E338" s="73" t="n">
        <f aca="false">E337*Decote</f>
        <v>0</v>
      </c>
      <c r="F338" s="73" t="n">
        <f aca="false">F337*Decote</f>
        <v>0</v>
      </c>
      <c r="G338" s="73" t="n">
        <f aca="false">G337*Decote</f>
        <v>0</v>
      </c>
      <c r="H338" s="73" t="n">
        <f aca="false">H337*Decote</f>
        <v>0</v>
      </c>
      <c r="I338" s="73" t="n">
        <f aca="false">I337*Decote</f>
        <v>0</v>
      </c>
      <c r="J338" s="73" t="n">
        <f aca="false">J337*Decote</f>
        <v>0</v>
      </c>
      <c r="K338" s="73" t="n">
        <f aca="false">K337*Decote</f>
        <v>0</v>
      </c>
      <c r="L338" s="73" t="n">
        <f aca="false">L337*Decote</f>
        <v>0</v>
      </c>
      <c r="M338" s="73" t="n">
        <f aca="false">M337*Decote</f>
        <v>0</v>
      </c>
      <c r="N338" s="73" t="n">
        <f aca="false">N337*Decote</f>
        <v>0</v>
      </c>
      <c r="O338" s="73" t="n">
        <f aca="false">O337*Decote</f>
        <v>0</v>
      </c>
    </row>
    <row r="339" customFormat="false" ht="15" hidden="false" customHeight="false" outlineLevel="0" collapsed="false">
      <c r="B339" s="65" t="s">
        <v>1062</v>
      </c>
      <c r="C339" s="25"/>
      <c r="D339" s="73" t="n">
        <f aca="false">IF(AND(D309&lt;0.000001,C341+D336&lt;0.000001),MAX(0,D335+D336-Seuil_reinv*D298),0)</f>
        <v>0</v>
      </c>
      <c r="E339" s="73" t="n">
        <f aca="false">IF(AND(E309&lt;0.000001,D341+E336&lt;0.000001),MAX(0,E335+E336-Seuil_reinv*E298),0)</f>
        <v>0</v>
      </c>
      <c r="F339" s="73" t="n">
        <f aca="false">IF(AND(F309&lt;0.000001,E341+F336&lt;0.000001),MAX(0,F335+F336-Seuil_reinv*F298),0)</f>
        <v>0</v>
      </c>
      <c r="G339" s="73" t="n">
        <f aca="false">IF(AND(G309&lt;0.000001,F341+G336&lt;0.000001),MAX(0,G335+G336-Seuil_reinv*G298),0)</f>
        <v>0</v>
      </c>
      <c r="H339" s="73" t="n">
        <f aca="false">IF(AND(H309&lt;0.000001,G341+H336&lt;0.000001),MAX(0,H335+H336-Seuil_reinv*H298),0)</f>
        <v>0</v>
      </c>
      <c r="I339" s="73" t="n">
        <f aca="false">IF(AND(I309&lt;0.000001,H341+I336&lt;0.000001),MAX(0,I335+I336-Seuil_reinv*I298),0)</f>
        <v>0</v>
      </c>
      <c r="J339" s="73" t="n">
        <f aca="false">IF(AND(J309&lt;0.000001,I341+J336&lt;0.000001),MAX(0,J335+J336-Seuil_reinv*J298),0)</f>
        <v>0</v>
      </c>
      <c r="K339" s="73" t="n">
        <f aca="false">IF(AND(K309&lt;0.000001,J341+K336&lt;0.000001),MAX(0,K335+K336-Seuil_reinv*K298),0)</f>
        <v>0</v>
      </c>
      <c r="L339" s="73" t="n">
        <f aca="false">IF(AND(L309&lt;0.000001,K341+L336&lt;0.000001),MAX(0,L335+L336-Seuil_reinv*L298),0)</f>
        <v>0</v>
      </c>
      <c r="M339" s="73" t="n">
        <f aca="false">IF(AND(M309&lt;0.000001,L341+M336&lt;0.000001),MAX(0,M335+M336-Seuil_reinv*M298),0)</f>
        <v>0</v>
      </c>
      <c r="N339" s="73" t="n">
        <f aca="false">IF(AND(N309&lt;0.000001,M341+N336&lt;0.000001),MAX(0,N335+N336-Seuil_reinv*N298),0)</f>
        <v>0</v>
      </c>
      <c r="O339" s="73" t="n">
        <f aca="false">IF(AND(O309&lt;0.000001,N341+O336&lt;0.000001),MAX(0,O335+O336-Seuil_reinv*O298),0)</f>
        <v>0</v>
      </c>
    </row>
    <row r="340" customFormat="false" ht="15" hidden="false" customHeight="false" outlineLevel="0" collapsed="false">
      <c r="B340" s="65" t="s">
        <v>1063</v>
      </c>
      <c r="C340" s="73" t="n">
        <f aca="false">AN_cible*Ws_LIQ</f>
        <v>7500000</v>
      </c>
      <c r="D340" s="73" t="n">
        <f aca="false">D335+D336+D337-D338-D339</f>
        <v>6866250</v>
      </c>
      <c r="E340" s="73" t="n">
        <f aca="false">E335+E336+E337-E338-E339</f>
        <v>7197376.375</v>
      </c>
      <c r="F340" s="73" t="n">
        <f aca="false">F335+F336+F337-F338-F339</f>
        <v>6486120.83611172</v>
      </c>
      <c r="G340" s="73" t="n">
        <f aca="false">G335+G336+G337-G338-G339</f>
        <v>6750149.60365907</v>
      </c>
      <c r="H340" s="73" t="n">
        <f aca="false">H335+H336+H337-H338-H339</f>
        <v>6261695.28548603</v>
      </c>
      <c r="I340" s="73" t="n">
        <f aca="false">I335+I336+I337-I338-I339</f>
        <v>6759725.74425718</v>
      </c>
      <c r="J340" s="73" t="n">
        <f aca="false">J335+J336+J337-J338-J339</f>
        <v>6198085.39864777</v>
      </c>
      <c r="K340" s="73" t="n">
        <f aca="false">K335+K336+K337-K338-K339</f>
        <v>6636203.14282758</v>
      </c>
      <c r="L340" s="73" t="n">
        <f aca="false">L335+L336+L337-L338-L339</f>
        <v>6005518.72668023</v>
      </c>
      <c r="M340" s="73" t="n">
        <f aca="false">M335+M336+M337-M338-M339</f>
        <v>6387912.70846795</v>
      </c>
      <c r="N340" s="73" t="n">
        <f aca="false">N335+N336+N337-N338-N339</f>
        <v>5691972.54947291</v>
      </c>
      <c r="O340" s="73" t="n">
        <f aca="false">O335+O336+O337-O338-O339</f>
        <v>6022573.65475651</v>
      </c>
    </row>
    <row r="341" customFormat="false" ht="15" hidden="false" customHeight="false" outlineLevel="0" collapsed="false">
      <c r="B341" s="65" t="s">
        <v>1064</v>
      </c>
      <c r="C341" s="73" t="n">
        <v>0</v>
      </c>
      <c r="D341" s="73" t="n">
        <f aca="false">C341+D336</f>
        <v>0</v>
      </c>
      <c r="E341" s="73" t="n">
        <f aca="false">D341+E336</f>
        <v>0</v>
      </c>
      <c r="F341" s="73" t="n">
        <f aca="false">E341+F336</f>
        <v>0</v>
      </c>
      <c r="G341" s="73" t="n">
        <f aca="false">F341+G336</f>
        <v>0</v>
      </c>
      <c r="H341" s="73" t="n">
        <f aca="false">G341+H336</f>
        <v>0</v>
      </c>
      <c r="I341" s="73" t="n">
        <f aca="false">H341+I336</f>
        <v>0</v>
      </c>
      <c r="J341" s="73" t="n">
        <f aca="false">I341+J336</f>
        <v>0</v>
      </c>
      <c r="K341" s="73" t="n">
        <f aca="false">J341+K336</f>
        <v>0</v>
      </c>
      <c r="L341" s="73" t="n">
        <f aca="false">K341+L336</f>
        <v>0</v>
      </c>
      <c r="M341" s="73" t="n">
        <f aca="false">L341+M336</f>
        <v>0</v>
      </c>
      <c r="N341" s="73" t="n">
        <f aca="false">M341+N336</f>
        <v>0</v>
      </c>
      <c r="O341" s="73" t="n">
        <f aca="false">N341+O336</f>
        <v>0</v>
      </c>
    </row>
    <row r="342" customFormat="false" ht="15" hidden="false" customHeight="false" outlineLevel="0" collapsed="false">
      <c r="B342" s="74" t="s">
        <v>1065</v>
      </c>
      <c r="C342" s="73" t="n">
        <f aca="false">C312+C313+C314+C315+C340-C341</f>
        <v>50000000</v>
      </c>
      <c r="D342" s="73" t="n">
        <f aca="false">D312+D313+D314+D315+D340-D341</f>
        <v>49725643.75</v>
      </c>
      <c r="E342" s="73" t="n">
        <f aca="false">E312+E313+E314+E315+E340-E341</f>
        <v>50457641.7757813</v>
      </c>
      <c r="F342" s="73" t="n">
        <f aca="false">F312+F313+F314+F315+F340-F341</f>
        <v>50188735.199101</v>
      </c>
      <c r="G342" s="73" t="n">
        <f aca="false">G312+G313+G314+G315+G340-G341</f>
        <v>50936615.6922708</v>
      </c>
      <c r="H342" s="73" t="n">
        <f aca="false">H312+H313+H314+H315+H340-H341</f>
        <v>50702403.0483776</v>
      </c>
      <c r="I342" s="73" t="n">
        <f aca="false">I312+I313+I314+I315+I340-I341</f>
        <v>51490773.6887411</v>
      </c>
      <c r="J342" s="73" t="n">
        <f aca="false">J312+J313+J314+J315+J340-J341</f>
        <v>51255029.6690167</v>
      </c>
      <c r="K342" s="73" t="n">
        <f aca="false">K312+K313+K314+K315+K340-K341</f>
        <v>52054085.3077927</v>
      </c>
      <c r="L342" s="73" t="n">
        <f aca="false">L312+L313+L314+L315+L340-L341</f>
        <v>51818892.7580678</v>
      </c>
      <c r="M342" s="73" t="n">
        <f aca="false">M312+M313+M314+M315+M340-M341</f>
        <v>52630871.181279</v>
      </c>
      <c r="N342" s="73" t="n">
        <f aca="false">N312+N313+N314+N315+N340-N341</f>
        <v>52398172.0923886</v>
      </c>
      <c r="O342" s="73" t="n">
        <f aca="false">O312+O313+O314+O315+O340-O341</f>
        <v>53225259.6791831</v>
      </c>
    </row>
    <row r="343" customFormat="false" ht="15" hidden="false" customHeight="false" outlineLevel="0" collapsed="false">
      <c r="B343" s="65" t="s">
        <v>1066</v>
      </c>
      <c r="C343" s="72" t="n">
        <f aca="false">IF((C342+C341)&gt;0,C340/(C342+C341),0)</f>
        <v>0.15</v>
      </c>
      <c r="D343" s="72" t="n">
        <f aca="false">IF((D342+D341)&gt;0,D340/(D342+D341),0)</f>
        <v>0.138082676908532</v>
      </c>
      <c r="E343" s="72" t="n">
        <f aca="false">IF((E342+E341)&gt;0,E340/(E342+E341),0)</f>
        <v>0.142641949201332</v>
      </c>
      <c r="F343" s="72" t="n">
        <f aca="false">IF((F342+F341)&gt;0,F340/(F342+F341),0)</f>
        <v>0.129234594384198</v>
      </c>
      <c r="G343" s="72" t="n">
        <f aca="false">IF((G342+G341)&gt;0,G340/(G342+G341),0)</f>
        <v>0.132520575069995</v>
      </c>
      <c r="H343" s="72" t="n">
        <f aca="false">IF((H342+H341)&gt;0,H340/(H342+H341),0)</f>
        <v>0.123498984446782</v>
      </c>
      <c r="I343" s="72" t="n">
        <f aca="false">IF((I342+I341)&gt;0,I340/(I342+I341),0)</f>
        <v>0.131280329659045</v>
      </c>
      <c r="J343" s="72" t="n">
        <f aca="false">IF((J342+J341)&gt;0,J340/(J342+J341),0)</f>
        <v>0.120926383979726</v>
      </c>
      <c r="K343" s="72" t="n">
        <f aca="false">IF((K342+K341)&gt;0,K340/(K342+K341),0)</f>
        <v>0.127486692035565</v>
      </c>
      <c r="L343" s="72" t="n">
        <f aca="false">IF((L342+L341)&gt;0,L340/(L342+L341),0)</f>
        <v>0.11589438536865</v>
      </c>
      <c r="M343" s="72" t="n">
        <f aca="false">IF((M342+M341)&gt;0,M340/(M342+M341),0)</f>
        <v>0.121371973617266</v>
      </c>
      <c r="N343" s="72" t="n">
        <f aca="false">IF((N342+N341)&gt;0,N340/(N342+N341),0)</f>
        <v>0.108629219726154</v>
      </c>
      <c r="O343" s="72" t="n">
        <f aca="false">IF((O342+O341)&gt;0,O340/(O342+O341),0)</f>
        <v>0.113152546198135</v>
      </c>
    </row>
    <row r="344" customFormat="false" ht="15" hidden="false" customHeight="false" outlineLevel="0" collapsed="false">
      <c r="B344" s="65" t="s">
        <v>1067</v>
      </c>
      <c r="C344" s="72" t="n">
        <f aca="false">0</f>
        <v>0</v>
      </c>
      <c r="D344" s="72" t="n">
        <f aca="false">IF(D342&gt;0,D309/D342,0)</f>
        <v>0</v>
      </c>
      <c r="E344" s="72" t="n">
        <f aca="false">IF(E342&gt;0,E309/E342,0)</f>
        <v>0</v>
      </c>
      <c r="F344" s="72" t="n">
        <f aca="false">IF(F342&gt;0,F309/F342,0)</f>
        <v>0</v>
      </c>
      <c r="G344" s="72" t="n">
        <f aca="false">IF(G342&gt;0,G309/G342,0)</f>
        <v>0</v>
      </c>
      <c r="H344" s="72" t="n">
        <f aca="false">IF(H342&gt;0,H309/H342,0)</f>
        <v>0</v>
      </c>
      <c r="I344" s="72" t="n">
        <f aca="false">IF(I342&gt;0,I309/I342,0)</f>
        <v>0</v>
      </c>
      <c r="J344" s="72" t="n">
        <f aca="false">IF(J342&gt;0,J309/J342,0)</f>
        <v>0</v>
      </c>
      <c r="K344" s="72" t="n">
        <f aca="false">IF(K342&gt;0,K309/K342,0)</f>
        <v>0</v>
      </c>
      <c r="L344" s="72" t="n">
        <f aca="false">IF(L342&gt;0,L309/L342,0)</f>
        <v>0</v>
      </c>
      <c r="M344" s="72" t="n">
        <f aca="false">IF(M342&gt;0,M309/M342,0)</f>
        <v>0</v>
      </c>
      <c r="N344" s="72" t="n">
        <f aca="false">IF(N342&gt;0,N309/N342,0)</f>
        <v>0</v>
      </c>
      <c r="O344" s="72" t="n">
        <f aca="false">IF(O342&gt;0,O309/O342,0)</f>
        <v>0</v>
      </c>
    </row>
    <row r="345" customFormat="false" ht="15" hidden="false" customHeight="false" outlineLevel="0" collapsed="false">
      <c r="B345" s="65" t="s">
        <v>1068</v>
      </c>
      <c r="C345" s="75" t="n">
        <f aca="false">IF((C309+SUM(D300:G300)+SUM(D330:G330)+SUM(D331:G331)+SUM(D329:G329))&lt;=0,9.99,MIN(9.99,(C340+SUM(D328:G328)+SUM(D324:G325)+MAX(0,MIN($G$20*AN_cible,Emprunt_max*C342)-C341))/(C309+SUM(D300:G300)+SUM(D330:G330)+SUM(D331:G331)+SUM(D329:G329))))</f>
        <v>2.19303633582388</v>
      </c>
      <c r="D345" s="73" t="n">
        <f aca="false">IF((D309+SUM(E300:H300)+SUM(E330:H330)+SUM(E331:H331)+SUM(E329:H329))&lt;=0,9.99,MIN(9.99,(D340+SUM(E328:H328)+SUM(E324:H325)+MAX(0,MIN($G$20*AN_cible,Emprunt_max*D342)-D341))/(D309+SUM(E300:H300)+SUM(E330:H330)+SUM(E331:H331)+SUM(E329:H329))))</f>
        <v>2.10057815651601</v>
      </c>
      <c r="E345" s="73" t="n">
        <f aca="false">IF((E309+SUM(F300:I300)+SUM(F330:I330)+SUM(F331:I331)+SUM(F329:I329))&lt;=0,9.99,MIN(9.99,(E340+SUM(F328:I328)+SUM(F324:I325)+MAX(0,MIN($G$20*AN_cible,Emprunt_max*E342)-E341))/(E309+SUM(F300:I300)+SUM(F330:I330)+SUM(F331:I331)+SUM(F329:I329))))</f>
        <v>2.19019829608048</v>
      </c>
      <c r="F345" s="73" t="n">
        <f aca="false">IF((F309+SUM(G300:J300)+SUM(G330:J330)+SUM(G331:J331)+SUM(G329:J329))&lt;=0,9.99,MIN(9.99,(F340+SUM(G328:J328)+SUM(G324:J325)+MAX(0,MIN($G$20*AN_cible,Emprunt_max*F342)-F341))/(F309+SUM(G300:J300)+SUM(G330:J330)+SUM(G331:J331)+SUM(G329:J329))))</f>
        <v>2.08424484655055</v>
      </c>
      <c r="G345" s="73" t="n">
        <f aca="false">IF((G309+SUM(H300:K300)+SUM(H330:K330)+SUM(H331:K331)+SUM(H329:K329))&lt;=0,9.99,MIN(9.99,(G340+SUM(H328:K328)+SUM(H324:K325)+MAX(0,MIN($G$20*AN_cible,Emprunt_max*G342)-G341))/(G309+SUM(H300:K300)+SUM(H330:K330)+SUM(H331:K331)+SUM(H329:K329))))</f>
        <v>2.16218031632493</v>
      </c>
      <c r="H345" s="73" t="n">
        <f aca="false">IF((H309+SUM(I300:L300)+SUM(I330:L330)+SUM(I331:L331)+SUM(I329:L329))&lt;=0,9.99,MIN(9.99,(H340+SUM(I328:L328)+SUM(I324:L325)+MAX(0,MIN($G$20*AN_cible,Emprunt_max*H342)-H341))/(H309+SUM(I300:L300)+SUM(I330:L330)+SUM(I331:L331)+SUM(I329:L329))))</f>
        <v>2.04385387334383</v>
      </c>
      <c r="I345" s="73" t="n">
        <f aca="false">IF((I309+SUM(J300:M300)+SUM(J330:M330)+SUM(J331:M331)+SUM(J329:M329))&lt;=0,9.99,MIN(9.99,(I340+SUM(J328:M328)+SUM(J324:M325)+MAX(0,MIN($G$20*AN_cible,Emprunt_max*I342)-I341))/(I309+SUM(J300:M300)+SUM(J330:M330)+SUM(J331:M331)+SUM(J329:M329))))</f>
        <v>2.11133574811237</v>
      </c>
      <c r="J345" s="73" t="n">
        <f aca="false">IF((J309+SUM(K300:N300)+SUM(K330:N330)+SUM(K331:N331)+SUM(K329:N329))&lt;=0,9.99,MIN(9.99,(J340+SUM(K328:N328)+SUM(K324:N325)+MAX(0,MIN($G$20*AN_cible,Emprunt_max*J342)-J341))/(J309+SUM(K300:N300)+SUM(K330:N330)+SUM(K331:N331)+SUM(K329:N329))))</f>
        <v>1.98256647356655</v>
      </c>
      <c r="K345" s="73" t="n">
        <f aca="false">IF((K309+SUM(L300:O300)+SUM(L330:O330)+SUM(L331:O331)+SUM(L329:O329))&lt;=0,9.99,MIN(9.99,(K340+SUM(L328:O328)+SUM(L324:O325)+MAX(0,MIN($G$20*AN_cible,Emprunt_max*K342)-K341))/(K309+SUM(L300:O300)+SUM(L330:O330)+SUM(L331:O331)+SUM(L329:O329))))</f>
        <v>2.04076726564948</v>
      </c>
      <c r="L345" s="73" t="n">
        <f aca="false">IF((L309+SUM(M300:O300)+SUM(M330:O330)+SUM(M331:O331)+SUM(M329:O329))&lt;=0,9.99,MIN(9.99,(L340+SUM(M328:O328)+SUM(M324:O325)+MAX(0,MIN($G$20*AN_cible,Emprunt_max*L342)-L341))/(L309+SUM(M300:O300)+SUM(M330:O330)+SUM(M331:O331)+SUM(M329:O329))))</f>
        <v>2.59207095387046</v>
      </c>
      <c r="M345" s="73" t="n">
        <f aca="false">IF((M309+SUM(N300:O300)+SUM(N330:O330)+SUM(N331:O331)+SUM(N329:O329))&lt;=0,9.99,MIN(9.99,(M340+SUM(N328:O328)+SUM(N324:O325)+MAX(0,MIN($G$20*AN_cible,Emprunt_max*M342)-M341))/(M309+SUM(N300:O300)+SUM(N330:O330)+SUM(N331:O331)+SUM(N329:O329))))</f>
        <v>3.10310239189919</v>
      </c>
      <c r="N345" s="73" t="n">
        <f aca="false">IF((N309+SUM(O300:O300)+SUM(O330:O330)+SUM(O331:O331)+SUM(O329:O329))&lt;=0,9.99,MIN(9.99,(N340+SUM(O328:O328)+SUM(O324:O325)+MAX(0,MIN($G$20*AN_cible,Emprunt_max*N342)-N341))/(N309+SUM(O300:O300)+SUM(O330:O330)+SUM(O331:O331)+SUM(O329:O329))))</f>
        <v>7.74978637683402</v>
      </c>
      <c r="O345" s="73" t="n">
        <f aca="false">9.99</f>
        <v>9.99</v>
      </c>
    </row>
    <row r="346" customFormat="false" ht="15" hidden="false" customHeight="false" outlineLevel="0" collapsed="false">
      <c r="B346" s="65" t="s">
        <v>1069</v>
      </c>
      <c r="C346" s="72" t="n">
        <f aca="false">(C312+C313+C314+C315+C320+C321)/C342</f>
        <v>1</v>
      </c>
      <c r="D346" s="72" t="n">
        <f aca="false">(D312+D313+D314+D315+D320+D321)/D342</f>
        <v>1.00017596554494</v>
      </c>
      <c r="E346" s="72" t="n">
        <f aca="false">(E312+E313+E314+E315+E320+E321)/E342</f>
        <v>0.981224323181613</v>
      </c>
      <c r="F346" s="72" t="n">
        <f aca="false">(F312+F313+F314+F315+F320+F321)/F342</f>
        <v>0.982842348333832</v>
      </c>
      <c r="G346" s="72" t="n">
        <f aca="false">(G312+G313+G314+G315+G320+G321)/G342</f>
        <v>0.965640638274195</v>
      </c>
      <c r="H346" s="72" t="n">
        <f aca="false">(H312+H313+H314+H315+H320+H321)/H342</f>
        <v>0.962788838949392</v>
      </c>
      <c r="I346" s="72" t="n">
        <f aca="false">(I312+I313+I314+I315+I320+I321)/I342</f>
        <v>0.941548251683869</v>
      </c>
      <c r="J346" s="72" t="n">
        <f aca="false">(J312+J313+J314+J315+J320+J321)/J342</f>
        <v>0.940043242224374</v>
      </c>
      <c r="K346" s="72" t="n">
        <f aca="false">(K312+K313+K314+K315+K320+K321)/K342</f>
        <v>0.920540278090174</v>
      </c>
      <c r="L346" s="72" t="n">
        <f aca="false">(L312+L313+L314+L315+L320+L321)/L342</f>
        <v>0.920289328720997</v>
      </c>
      <c r="M346" s="72" t="n">
        <f aca="false">(M312+M313+M314+M315+M320+M321)/M342</f>
        <v>0.902378345766476</v>
      </c>
      <c r="N346" s="72" t="n">
        <f aca="false">(N312+N313+N314+N315+N320+N321)/N342</f>
        <v>0.903298677279451</v>
      </c>
      <c r="O346" s="72" t="n">
        <f aca="false">(O312+O313+O314+O315+O320+O321)/O342</f>
        <v>0.886847453801865</v>
      </c>
    </row>
    <row r="347" customFormat="false" ht="15" hidden="false" customHeight="false" outlineLevel="0" collapsed="false">
      <c r="B347" s="65" t="s">
        <v>849</v>
      </c>
      <c r="C347" s="72" t="n">
        <f aca="false">(C342+C341)/C342</f>
        <v>1</v>
      </c>
      <c r="D347" s="72" t="n">
        <f aca="false">(D342+D341)/D342</f>
        <v>1</v>
      </c>
      <c r="E347" s="72" t="n">
        <f aca="false">(E342+E341)/E342</f>
        <v>1</v>
      </c>
      <c r="F347" s="72" t="n">
        <f aca="false">(F342+F341)/F342</f>
        <v>1</v>
      </c>
      <c r="G347" s="72" t="n">
        <f aca="false">(G342+G341)/G342</f>
        <v>1</v>
      </c>
      <c r="H347" s="72" t="n">
        <f aca="false">(H342+H341)/H342</f>
        <v>1</v>
      </c>
      <c r="I347" s="72" t="n">
        <f aca="false">(I342+I341)/I342</f>
        <v>1</v>
      </c>
      <c r="J347" s="72" t="n">
        <f aca="false">(J342+J341)/J342</f>
        <v>1</v>
      </c>
      <c r="K347" s="72" t="n">
        <f aca="false">(K342+K341)/K342</f>
        <v>1</v>
      </c>
      <c r="L347" s="72" t="n">
        <f aca="false">(L342+L341)/L342</f>
        <v>1</v>
      </c>
      <c r="M347" s="72" t="n">
        <f aca="false">(M342+M341)/M342</f>
        <v>1</v>
      </c>
      <c r="N347" s="72" t="n">
        <f aca="false">(N342+N341)/N342</f>
        <v>1</v>
      </c>
      <c r="O347" s="72" t="n">
        <f aca="false">(O342+O341)/O342</f>
        <v>1</v>
      </c>
    </row>
    <row r="348" customFormat="false" ht="15" hidden="false" customHeight="false" outlineLevel="0" collapsed="false">
      <c r="B348" s="65" t="s">
        <v>1070</v>
      </c>
      <c r="C348" s="72" t="n">
        <f aca="false">(C312+C313*MSIG_USD)/C342</f>
        <v>0.25</v>
      </c>
      <c r="D348" s="72" t="n">
        <f aca="false">(D312+D313*MSIG_USD)/D342</f>
        <v>0.264633326139694</v>
      </c>
      <c r="E348" s="72" t="n">
        <f aca="false">(E312+E313*MSIG_USD)/E342</f>
        <v>0.274152768708112</v>
      </c>
      <c r="F348" s="72" t="n">
        <f aca="false">(F312+F313*MSIG_USD)/F342</f>
        <v>0.289356952015023</v>
      </c>
      <c r="G348" s="72" t="n">
        <f aca="false">(G312+G313*MSIG_USD)/G342</f>
        <v>0.298949628407429</v>
      </c>
      <c r="H348" s="72" t="n">
        <f aca="false">(H312+H313*MSIG_USD)/H342</f>
        <v>0.312299216606286</v>
      </c>
      <c r="I348" s="72" t="n">
        <f aca="false">(I312+I313*MSIG_USD)/I342</f>
        <v>0.319482445242645</v>
      </c>
      <c r="J348" s="72" t="n">
        <f aca="false">(J312+J313*MSIG_USD)/J342</f>
        <v>0.33315473056362</v>
      </c>
      <c r="K348" s="72" t="n">
        <f aca="false">(K312+K313*MSIG_USD)/K342</f>
        <v>0.340239107001679</v>
      </c>
      <c r="L348" s="72" t="n">
        <f aca="false">(L312+L313*MSIG_USD)/L342</f>
        <v>0.354223758834682</v>
      </c>
      <c r="M348" s="72" t="n">
        <f aca="false">(M312+M313*MSIG_USD)/M342</f>
        <v>0.361193815967381</v>
      </c>
      <c r="N348" s="72" t="n">
        <f aca="false">(N312+N313*MSIG_USD)/N342</f>
        <v>0.375478205244043</v>
      </c>
      <c r="O348" s="72" t="n">
        <f aca="false">(O312+O313*MSIG_USD)/O342</f>
        <v>0.382316855677464</v>
      </c>
    </row>
    <row r="349" customFormat="false" ht="15" hidden="false" customHeight="false" outlineLevel="0" collapsed="false">
      <c r="B349" s="65" t="s">
        <v>1071</v>
      </c>
      <c r="C349" s="25"/>
      <c r="D349" s="65" t="n">
        <f aca="false">IF(AND($G$9&lt;0.5*Collecte_norm,IF(D293&lt;=$G$11,0,$G$10)&lt;0.5,IF(D293&lt;=4,$G$17,($G$18+$G$19)/2)&lt;0.7),1,0)</f>
        <v>0</v>
      </c>
      <c r="E349" s="65" t="n">
        <f aca="false">IF(AND($G$9&lt;0.5*Collecte_norm,IF(E293&lt;=$G$11,0,$G$10)&lt;0.5,IF(E293&lt;=4,$G$17,($G$18+$G$19)/2)&lt;0.7),1,0)</f>
        <v>0</v>
      </c>
      <c r="F349" s="65" t="n">
        <f aca="false">IF(AND($G$9&lt;0.5*Collecte_norm,IF(F293&lt;=$G$11,0,$G$10)&lt;0.5,IF(F293&lt;=4,$G$17,($G$18+$G$19)/2)&lt;0.7),1,0)</f>
        <v>0</v>
      </c>
      <c r="G349" s="65" t="n">
        <f aca="false">IF(AND($G$9&lt;0.5*Collecte_norm,IF(G293&lt;=$G$11,0,$G$10)&lt;0.5,IF(G293&lt;=4,$G$17,($G$18+$G$19)/2)&lt;0.7),1,0)</f>
        <v>0</v>
      </c>
      <c r="H349" s="65" t="n">
        <f aca="false">IF(AND($G$9&lt;0.5*Collecte_norm,IF(H293&lt;=$G$11,0,$G$10)&lt;0.5,IF(H293&lt;=4,$G$17,($G$18+$G$19)/2)&lt;0.7),1,0)</f>
        <v>0</v>
      </c>
      <c r="I349" s="65" t="n">
        <f aca="false">IF(AND($G$9&lt;0.5*Collecte_norm,IF(I293&lt;=$G$11,0,$G$10)&lt;0.5,IF(I293&lt;=4,$G$17,($G$18+$G$19)/2)&lt;0.7),1,0)</f>
        <v>0</v>
      </c>
      <c r="J349" s="65" t="n">
        <f aca="false">IF(AND($G$9&lt;0.5*Collecte_norm,IF(J293&lt;=$G$11,0,$G$10)&lt;0.5,IF(J293&lt;=4,$G$17,($G$18+$G$19)/2)&lt;0.7),1,0)</f>
        <v>0</v>
      </c>
      <c r="K349" s="65" t="n">
        <f aca="false">IF(AND($G$9&lt;0.5*Collecte_norm,IF(K293&lt;=$G$11,0,$G$10)&lt;0.5,IF(K293&lt;=4,$G$17,($G$18+$G$19)/2)&lt;0.7),1,0)</f>
        <v>0</v>
      </c>
      <c r="L349" s="65" t="n">
        <f aca="false">IF(AND($G$9&lt;0.5*Collecte_norm,IF(L293&lt;=$G$11,0,$G$10)&lt;0.5,IF(L293&lt;=4,$G$17,($G$18+$G$19)/2)&lt;0.7),1,0)</f>
        <v>0</v>
      </c>
      <c r="M349" s="65" t="n">
        <f aca="false">IF(AND($G$9&lt;0.5*Collecte_norm,IF(M293&lt;=$G$11,0,$G$10)&lt;0.5,IF(M293&lt;=4,$G$17,($G$18+$G$19)/2)&lt;0.7),1,0)</f>
        <v>0</v>
      </c>
      <c r="N349" s="65" t="n">
        <f aca="false">IF(AND($G$9&lt;0.5*Collecte_norm,IF(N293&lt;=$G$11,0,$G$10)&lt;0.5,IF(N293&lt;=4,$G$17,($G$18+$G$19)/2)&lt;0.7),1,0)</f>
        <v>0</v>
      </c>
      <c r="O349" s="65" t="n">
        <f aca="false">IF(AND($G$9&lt;0.5*Collecte_norm,IF(O293&lt;=$G$11,0,$G$10)&lt;0.5,IF(O293&lt;=4,$G$17,($G$18+$G$19)/2)&lt;0.7),1,0)</f>
        <v>0</v>
      </c>
    </row>
    <row r="350" customFormat="false" ht="15" hidden="false" customHeight="false" outlineLevel="0" collapsed="false">
      <c r="B350" s="76" t="s">
        <v>1072</v>
      </c>
      <c r="C350" s="76" t="n">
        <v>99</v>
      </c>
      <c r="D350" s="76" t="n">
        <f aca="false">IF(D310=1,D296,99)</f>
        <v>99</v>
      </c>
      <c r="E350" s="76" t="n">
        <f aca="false">IF(E310=1,E296,99)</f>
        <v>99</v>
      </c>
      <c r="F350" s="76" t="n">
        <f aca="false">IF(F310=1,F296,99)</f>
        <v>99</v>
      </c>
      <c r="G350" s="76" t="n">
        <f aca="false">IF(G310=1,G296,99)</f>
        <v>99</v>
      </c>
      <c r="H350" s="76" t="n">
        <f aca="false">IF(H310=1,H296,99)</f>
        <v>99</v>
      </c>
      <c r="I350" s="76" t="n">
        <f aca="false">IF(I310=1,I296,99)</f>
        <v>99</v>
      </c>
      <c r="J350" s="76" t="n">
        <f aca="false">IF(J310=1,J296,99)</f>
        <v>99</v>
      </c>
      <c r="K350" s="76" t="n">
        <f aca="false">IF(K310=1,K296,99)</f>
        <v>99</v>
      </c>
      <c r="L350" s="76" t="n">
        <f aca="false">IF(L310=1,L296,99)</f>
        <v>99</v>
      </c>
      <c r="M350" s="76" t="n">
        <f aca="false">IF(M310=1,M296,99)</f>
        <v>99</v>
      </c>
      <c r="N350" s="76" t="n">
        <f aca="false">IF(N310=1,N296,99)</f>
        <v>99</v>
      </c>
      <c r="O350" s="76" t="n">
        <f aca="false">IF(O310=1,O296,99)</f>
        <v>99</v>
      </c>
    </row>
    <row r="351" customFormat="false" ht="15" hidden="false" customHeight="false" outlineLevel="0" collapsed="false">
      <c r="B351" s="76" t="s">
        <v>1073</v>
      </c>
      <c r="C351" s="76" t="n">
        <v>99</v>
      </c>
      <c r="D351" s="76" t="n">
        <f aca="false">IF(AND(D295=1,D296&gt;MIN($D350:$O350),D309&lt;=0.000001),D296,99)</f>
        <v>99</v>
      </c>
      <c r="E351" s="76" t="n">
        <f aca="false">IF(AND(E295=1,E296&gt;MIN($D350:$O350),E309&lt;=0.000001),E296,99)</f>
        <v>99</v>
      </c>
      <c r="F351" s="76" t="n">
        <f aca="false">IF(AND(F295=1,F296&gt;MIN($D350:$O350),F309&lt;=0.000001),F296,99)</f>
        <v>99</v>
      </c>
      <c r="G351" s="76" t="n">
        <f aca="false">IF(AND(G295=1,G296&gt;MIN($D350:$O350),G309&lt;=0.000001),G296,99)</f>
        <v>99</v>
      </c>
      <c r="H351" s="76" t="n">
        <f aca="false">IF(AND(H295=1,H296&gt;MIN($D350:$O350),H309&lt;=0.000001),H296,99)</f>
        <v>99</v>
      </c>
      <c r="I351" s="76" t="n">
        <f aca="false">IF(AND(I295=1,I296&gt;MIN($D350:$O350),I309&lt;=0.000001),I296,99)</f>
        <v>99</v>
      </c>
      <c r="J351" s="76" t="n">
        <f aca="false">IF(AND(J295=1,J296&gt;MIN($D350:$O350),J309&lt;=0.000001),J296,99)</f>
        <v>99</v>
      </c>
      <c r="K351" s="76" t="n">
        <f aca="false">IF(AND(K295=1,K296&gt;MIN($D350:$O350),K309&lt;=0.000001),K296,99)</f>
        <v>99</v>
      </c>
      <c r="L351" s="76" t="n">
        <f aca="false">IF(AND(L295=1,L296&gt;MIN($D350:$O350),L309&lt;=0.000001),L296,99)</f>
        <v>99</v>
      </c>
      <c r="M351" s="76" t="n">
        <f aca="false">IF(AND(M295=1,M296&gt;MIN($D350:$O350),M309&lt;=0.000001),M296,99)</f>
        <v>99</v>
      </c>
      <c r="N351" s="76" t="n">
        <f aca="false">IF(AND(N295=1,N296&gt;MIN($D350:$O350),N309&lt;=0.000001),N296,99)</f>
        <v>99</v>
      </c>
      <c r="O351" s="76" t="n">
        <f aca="false">IF(AND(O295=1,O296&gt;MIN($D350:$O350),O309&lt;=0.000001),O296,99)</f>
        <v>99</v>
      </c>
    </row>
    <row r="352" customFormat="false" ht="15" hidden="false" customHeight="false" outlineLevel="0" collapsed="false">
      <c r="B352" s="76" t="s">
        <v>1074</v>
      </c>
      <c r="C352" s="76" t="n">
        <v>9999999</v>
      </c>
      <c r="D352" s="76" t="n">
        <f aca="false">IF(D307=1,D294,9999999)</f>
        <v>9999999</v>
      </c>
      <c r="E352" s="76" t="n">
        <f aca="false">IF(E307=1,E294,9999999)</f>
        <v>9999999</v>
      </c>
      <c r="F352" s="76" t="n">
        <f aca="false">IF(F307=1,F294,9999999)</f>
        <v>9999999</v>
      </c>
      <c r="G352" s="76" t="n">
        <f aca="false">IF(G307=1,G294,9999999)</f>
        <v>9999999</v>
      </c>
      <c r="H352" s="76" t="n">
        <f aca="false">IF(H307=1,H294,9999999)</f>
        <v>9999999</v>
      </c>
      <c r="I352" s="76" t="n">
        <f aca="false">IF(I307=1,I294,9999999)</f>
        <v>9999999</v>
      </c>
      <c r="J352" s="76" t="n">
        <f aca="false">IF(J307=1,J294,9999999)</f>
        <v>9999999</v>
      </c>
      <c r="K352" s="76" t="n">
        <f aca="false">IF(K307=1,K294,9999999)</f>
        <v>9999999</v>
      </c>
      <c r="L352" s="76" t="n">
        <f aca="false">IF(L307=1,L294,9999999)</f>
        <v>9999999</v>
      </c>
      <c r="M352" s="76" t="n">
        <f aca="false">IF(M307=1,M294,9999999)</f>
        <v>9999999</v>
      </c>
      <c r="N352" s="76" t="n">
        <f aca="false">IF(N307=1,N294,9999999)</f>
        <v>9999999</v>
      </c>
      <c r="O352" s="76" t="n">
        <f aca="false">IF(O307=1,O294,9999999)</f>
        <v>9999999</v>
      </c>
    </row>
    <row r="353" customFormat="false" ht="15" hidden="false" customHeight="false" outlineLevel="0" collapsed="false">
      <c r="B353" s="76" t="s">
        <v>1075</v>
      </c>
      <c r="C353" s="76" t="n">
        <v>9999999</v>
      </c>
      <c r="D353" s="76" t="n">
        <f aca="false">IF(D349=1,D294,9999999)</f>
        <v>9999999</v>
      </c>
      <c r="E353" s="76" t="n">
        <f aca="false">IF(E349=1,E294,9999999)</f>
        <v>9999999</v>
      </c>
      <c r="F353" s="76" t="n">
        <f aca="false">IF(F349=1,F294,9999999)</f>
        <v>9999999</v>
      </c>
      <c r="G353" s="76" t="n">
        <f aca="false">IF(G349=1,G294,9999999)</f>
        <v>9999999</v>
      </c>
      <c r="H353" s="76" t="n">
        <f aca="false">IF(H349=1,H294,9999999)</f>
        <v>9999999</v>
      </c>
      <c r="I353" s="76" t="n">
        <f aca="false">IF(I349=1,I294,9999999)</f>
        <v>9999999</v>
      </c>
      <c r="J353" s="76" t="n">
        <f aca="false">IF(J349=1,J294,9999999)</f>
        <v>9999999</v>
      </c>
      <c r="K353" s="76" t="n">
        <f aca="false">IF(K349=1,K294,9999999)</f>
        <v>9999999</v>
      </c>
      <c r="L353" s="76" t="n">
        <f aca="false">IF(L349=1,L294,9999999)</f>
        <v>9999999</v>
      </c>
      <c r="M353" s="76" t="n">
        <f aca="false">IF(M349=1,M294,9999999)</f>
        <v>9999999</v>
      </c>
      <c r="N353" s="76" t="n">
        <f aca="false">IF(N349=1,N294,9999999)</f>
        <v>9999999</v>
      </c>
      <c r="O353" s="76" t="n">
        <f aca="false">IF(O349=1,O294,9999999)</f>
        <v>9999999</v>
      </c>
    </row>
    <row r="358" customFormat="false" ht="15" hidden="false" customHeight="false" outlineLevel="0" collapsed="false">
      <c r="B358" s="45" t="str">
        <f aca="false">H$5</f>
        <v>Appels de fonds accélérés, dollar + 15 %</v>
      </c>
      <c r="C358" s="45" t="s">
        <v>55</v>
      </c>
      <c r="D358" s="45" t="n">
        <v>6</v>
      </c>
      <c r="E358" s="2"/>
      <c r="F358" s="2"/>
      <c r="G358" s="2"/>
      <c r="H358" s="2"/>
      <c r="I358" s="2"/>
      <c r="J358" s="2"/>
      <c r="K358" s="2"/>
      <c r="L358" s="2"/>
      <c r="M358" s="2"/>
      <c r="N358" s="2"/>
      <c r="O358" s="2"/>
    </row>
    <row r="359" customFormat="false" ht="15" hidden="false" customHeight="false" outlineLevel="0" collapsed="false">
      <c r="B359" s="65" t="s">
        <v>1019</v>
      </c>
      <c r="C359" s="65" t="n">
        <v>0</v>
      </c>
      <c r="D359" s="65" t="n">
        <v>1</v>
      </c>
      <c r="E359" s="65" t="n">
        <v>2</v>
      </c>
      <c r="F359" s="65" t="n">
        <v>3</v>
      </c>
      <c r="G359" s="65" t="n">
        <v>4</v>
      </c>
      <c r="H359" s="65" t="n">
        <v>5</v>
      </c>
      <c r="I359" s="65" t="n">
        <v>6</v>
      </c>
      <c r="J359" s="65" t="n">
        <v>7</v>
      </c>
      <c r="K359" s="65" t="n">
        <v>8</v>
      </c>
      <c r="L359" s="65" t="n">
        <v>9</v>
      </c>
      <c r="M359" s="65" t="n">
        <v>10</v>
      </c>
      <c r="N359" s="65" t="n">
        <v>11</v>
      </c>
      <c r="O359" s="65" t="n">
        <v>12</v>
      </c>
    </row>
    <row r="360" customFormat="false" ht="15" hidden="false" customHeight="false" outlineLevel="0" collapsed="false">
      <c r="B360" s="65" t="s">
        <v>209</v>
      </c>
      <c r="C360" s="71" t="n">
        <f aca="false">Date_depart</f>
        <v>47026</v>
      </c>
      <c r="D360" s="71" t="n">
        <f aca="false">EOMONTH(Date_depart,3*D359)</f>
        <v>47118</v>
      </c>
      <c r="E360" s="71" t="n">
        <f aca="false">EOMONTH(Date_depart,3*E359)</f>
        <v>47208</v>
      </c>
      <c r="F360" s="71" t="n">
        <f aca="false">EOMONTH(Date_depart,3*F359)</f>
        <v>47299</v>
      </c>
      <c r="G360" s="71" t="n">
        <f aca="false">EOMONTH(Date_depart,3*G359)</f>
        <v>47391</v>
      </c>
      <c r="H360" s="71" t="n">
        <f aca="false">EOMONTH(Date_depart,3*H359)</f>
        <v>47483</v>
      </c>
      <c r="I360" s="71" t="n">
        <f aca="false">EOMONTH(Date_depart,3*I359)</f>
        <v>47573</v>
      </c>
      <c r="J360" s="71" t="n">
        <f aca="false">EOMONTH(Date_depart,3*J359)</f>
        <v>47664</v>
      </c>
      <c r="K360" s="71" t="n">
        <f aca="false">EOMONTH(Date_depart,3*K359)</f>
        <v>47756</v>
      </c>
      <c r="L360" s="71" t="n">
        <f aca="false">EOMONTH(Date_depart,3*L359)</f>
        <v>47848</v>
      </c>
      <c r="M360" s="71" t="n">
        <f aca="false">EOMONTH(Date_depart,3*M359)</f>
        <v>47938</v>
      </c>
      <c r="N360" s="71" t="n">
        <f aca="false">EOMONTH(Date_depart,3*N359)</f>
        <v>48029</v>
      </c>
      <c r="O360" s="71" t="n">
        <f aca="false">EOMONTH(Date_depart,3*O359)</f>
        <v>48121</v>
      </c>
    </row>
    <row r="361" customFormat="false" ht="15" hidden="false" customHeight="false" outlineLevel="0" collapsed="false">
      <c r="B361" s="65" t="s">
        <v>1020</v>
      </c>
      <c r="C361" s="65" t="n">
        <v>0</v>
      </c>
      <c r="D361" s="65" t="n">
        <f aca="false">IF(OR(MONTH(D360)=6,MONTH(D360)=12),1,0)</f>
        <v>1</v>
      </c>
      <c r="E361" s="65" t="n">
        <f aca="false">IF(OR(MONTH(E360)=6,MONTH(E360)=12),1,0)</f>
        <v>0</v>
      </c>
      <c r="F361" s="65" t="n">
        <f aca="false">IF(OR(MONTH(F360)=6,MONTH(F360)=12),1,0)</f>
        <v>1</v>
      </c>
      <c r="G361" s="65" t="n">
        <f aca="false">IF(OR(MONTH(G360)=6,MONTH(G360)=12),1,0)</f>
        <v>0</v>
      </c>
      <c r="H361" s="65" t="n">
        <f aca="false">IF(OR(MONTH(H360)=6,MONTH(H360)=12),1,0)</f>
        <v>1</v>
      </c>
      <c r="I361" s="65" t="n">
        <f aca="false">IF(OR(MONTH(I360)=6,MONTH(I360)=12),1,0)</f>
        <v>0</v>
      </c>
      <c r="J361" s="65" t="n">
        <f aca="false">IF(OR(MONTH(J360)=6,MONTH(J360)=12),1,0)</f>
        <v>1</v>
      </c>
      <c r="K361" s="65" t="n">
        <f aca="false">IF(OR(MONTH(K360)=6,MONTH(K360)=12),1,0)</f>
        <v>0</v>
      </c>
      <c r="L361" s="65" t="n">
        <f aca="false">IF(OR(MONTH(L360)=6,MONTH(L360)=12),1,0)</f>
        <v>1</v>
      </c>
      <c r="M361" s="65" t="n">
        <f aca="false">IF(OR(MONTH(M360)=6,MONTH(M360)=12),1,0)</f>
        <v>0</v>
      </c>
      <c r="N361" s="65" t="n">
        <f aca="false">IF(OR(MONTH(N360)=6,MONTH(N360)=12),1,0)</f>
        <v>1</v>
      </c>
      <c r="O361" s="65" t="n">
        <f aca="false">IF(OR(MONTH(O360)=6,MONTH(O360)=12),1,0)</f>
        <v>0</v>
      </c>
    </row>
    <row r="362" customFormat="false" ht="15" hidden="false" customHeight="false" outlineLevel="0" collapsed="false">
      <c r="B362" s="65" t="s">
        <v>1021</v>
      </c>
      <c r="C362" s="65" t="n">
        <v>0</v>
      </c>
      <c r="D362" s="65" t="n">
        <f aca="false">C362+D361</f>
        <v>1</v>
      </c>
      <c r="E362" s="65" t="n">
        <f aca="false">D362+E361</f>
        <v>1</v>
      </c>
      <c r="F362" s="65" t="n">
        <f aca="false">E362+F361</f>
        <v>2</v>
      </c>
      <c r="G362" s="65" t="n">
        <f aca="false">F362+G361</f>
        <v>2</v>
      </c>
      <c r="H362" s="65" t="n">
        <f aca="false">G362+H361</f>
        <v>3</v>
      </c>
      <c r="I362" s="65" t="n">
        <f aca="false">H362+I361</f>
        <v>3</v>
      </c>
      <c r="J362" s="65" t="n">
        <f aca="false">I362+J361</f>
        <v>4</v>
      </c>
      <c r="K362" s="65" t="n">
        <f aca="false">J362+K361</f>
        <v>4</v>
      </c>
      <c r="L362" s="65" t="n">
        <f aca="false">K362+L361</f>
        <v>5</v>
      </c>
      <c r="M362" s="65" t="n">
        <f aca="false">L362+M361</f>
        <v>5</v>
      </c>
      <c r="N362" s="65" t="n">
        <f aca="false">M362+N361</f>
        <v>6</v>
      </c>
      <c r="O362" s="65" t="n">
        <f aca="false">N362+O361</f>
        <v>6</v>
      </c>
    </row>
    <row r="363" customFormat="false" ht="15" hidden="false" customHeight="false" outlineLevel="0" collapsed="false">
      <c r="B363" s="65" t="s">
        <v>1022</v>
      </c>
      <c r="C363" s="25"/>
      <c r="D363" s="72" t="n">
        <f aca="false">IF(D361=1,IF(C373=1,0,IF(D362=1,$H$6,IF(D362=2,$H$7,$H$8))),0)</f>
        <v>0.02</v>
      </c>
      <c r="E363" s="72" t="n">
        <f aca="false">IF(E361=1,IF(D373=1,0,IF(E362=1,$H$6,IF(E362=2,$H$7,$H$8))),0)</f>
        <v>0</v>
      </c>
      <c r="F363" s="72" t="n">
        <f aca="false">IF(F361=1,IF(E373=1,0,IF(F362=1,$H$6,IF(F362=2,$H$7,$H$8))),0)</f>
        <v>0.02</v>
      </c>
      <c r="G363" s="72" t="n">
        <f aca="false">IF(G361=1,IF(F373=1,0,IF(G362=1,$H$6,IF(G362=2,$H$7,$H$8))),0)</f>
        <v>0</v>
      </c>
      <c r="H363" s="72" t="n">
        <f aca="false">IF(H361=1,IF(G373=1,0,IF(H362=1,$H$6,IF(H362=2,$H$7,$H$8))),0)</f>
        <v>0.02</v>
      </c>
      <c r="I363" s="72" t="n">
        <f aca="false">IF(I361=1,IF(H373=1,0,IF(I362=1,$H$6,IF(I362=2,$H$7,$H$8))),0)</f>
        <v>0</v>
      </c>
      <c r="J363" s="72" t="n">
        <f aca="false">IF(J361=1,IF(I373=1,0,IF(J362=1,$H$6,IF(J362=2,$H$7,$H$8))),0)</f>
        <v>0.02</v>
      </c>
      <c r="K363" s="72" t="n">
        <f aca="false">IF(K361=1,IF(J373=1,0,IF(K362=1,$H$6,IF(K362=2,$H$7,$H$8))),0)</f>
        <v>0</v>
      </c>
      <c r="L363" s="72" t="n">
        <f aca="false">IF(L361=1,IF(K373=1,0,IF(L362=1,$H$6,IF(L362=2,$H$7,$H$8))),0)</f>
        <v>0.02</v>
      </c>
      <c r="M363" s="72" t="n">
        <f aca="false">IF(M361=1,IF(L373=1,0,IF(M362=1,$H$6,IF(M362=2,$H$7,$H$8))),0)</f>
        <v>0</v>
      </c>
      <c r="N363" s="72" t="n">
        <f aca="false">IF(N361=1,IF(M373=1,0,IF(N362=1,$H$6,IF(N362=2,$H$7,$H$8))),0)</f>
        <v>0.02</v>
      </c>
      <c r="O363" s="72" t="n">
        <f aca="false">IF(O361=1,IF(N373=1,0,IF(O362=1,$H$6,IF(O362=2,$H$7,$H$8))),0)</f>
        <v>0</v>
      </c>
    </row>
    <row r="364" customFormat="false" ht="15" hidden="false" customHeight="false" outlineLevel="0" collapsed="false">
      <c r="B364" s="65" t="s">
        <v>1023</v>
      </c>
      <c r="C364" s="25"/>
      <c r="D364" s="73" t="n">
        <f aca="false">C408</f>
        <v>50000000</v>
      </c>
      <c r="E364" s="73" t="n">
        <f aca="false">D408</f>
        <v>51518253.125</v>
      </c>
      <c r="F364" s="73" t="n">
        <f aca="false">E408</f>
        <v>52283039.2300781</v>
      </c>
      <c r="G364" s="73" t="n">
        <f aca="false">F408</f>
        <v>52009589.6404909</v>
      </c>
      <c r="H364" s="73" t="n">
        <f aca="false">G408</f>
        <v>52788487.3917455</v>
      </c>
      <c r="I364" s="73" t="n">
        <f aca="false">H408</f>
        <v>52545886.7587958</v>
      </c>
      <c r="J364" s="73" t="n">
        <f aca="false">I408</f>
        <v>53360270.8283553</v>
      </c>
      <c r="K364" s="73" t="n">
        <f aca="false">J408</f>
        <v>53110512.5966993</v>
      </c>
      <c r="L364" s="73" t="n">
        <f aca="false">K408</f>
        <v>53930204.061407</v>
      </c>
      <c r="M364" s="73" t="n">
        <f aca="false">L408</f>
        <v>53675368.9174456</v>
      </c>
      <c r="N364" s="73" t="n">
        <f aca="false">M408</f>
        <v>54502354.1893967</v>
      </c>
      <c r="O364" s="73" t="n">
        <f aca="false">N408</f>
        <v>54244329.2259222</v>
      </c>
    </row>
    <row r="365" customFormat="false" ht="15" hidden="false" customHeight="false" outlineLevel="0" collapsed="false">
      <c r="B365" s="65" t="s">
        <v>177</v>
      </c>
      <c r="C365" s="25"/>
      <c r="D365" s="73" t="n">
        <f aca="false">IF(C373=1,0,$H$9*D364)</f>
        <v>0</v>
      </c>
      <c r="E365" s="73" t="n">
        <f aca="false">IF(D373=1,0,$H$9*E364)</f>
        <v>0</v>
      </c>
      <c r="F365" s="73" t="n">
        <f aca="false">IF(E373=1,0,$H$9*F364)</f>
        <v>0</v>
      </c>
      <c r="G365" s="73" t="n">
        <f aca="false">IF(F373=1,0,$H$9*G364)</f>
        <v>0</v>
      </c>
      <c r="H365" s="73" t="n">
        <f aca="false">IF(G373=1,0,$H$9*H364)</f>
        <v>0</v>
      </c>
      <c r="I365" s="73" t="n">
        <f aca="false">IF(H373=1,0,$H$9*I364)</f>
        <v>0</v>
      </c>
      <c r="J365" s="73" t="n">
        <f aca="false">IF(I373=1,0,$H$9*J364)</f>
        <v>0</v>
      </c>
      <c r="K365" s="73" t="n">
        <f aca="false">IF(J373=1,0,$H$9*K364)</f>
        <v>0</v>
      </c>
      <c r="L365" s="73" t="n">
        <f aca="false">IF(K373=1,0,$H$9*L364)</f>
        <v>0</v>
      </c>
      <c r="M365" s="73" t="n">
        <f aca="false">IF(L373=1,0,$H$9*M364)</f>
        <v>0</v>
      </c>
      <c r="N365" s="73" t="n">
        <f aca="false">IF(M373=1,0,$H$9*N364)</f>
        <v>0</v>
      </c>
      <c r="O365" s="73" t="n">
        <f aca="false">IF(N373=1,0,$H$9*O364)</f>
        <v>0</v>
      </c>
    </row>
    <row r="366" customFormat="false" ht="15" hidden="false" customHeight="false" outlineLevel="0" collapsed="false">
      <c r="B366" s="65" t="s">
        <v>1024</v>
      </c>
      <c r="C366" s="25"/>
      <c r="D366" s="73" t="n">
        <f aca="false">D363*D364</f>
        <v>1000000</v>
      </c>
      <c r="E366" s="73" t="n">
        <f aca="false">E363*E364</f>
        <v>0</v>
      </c>
      <c r="F366" s="73" t="n">
        <f aca="false">F363*F364</f>
        <v>1045660.78460156</v>
      </c>
      <c r="G366" s="73" t="n">
        <f aca="false">G363*G364</f>
        <v>0</v>
      </c>
      <c r="H366" s="73" t="n">
        <f aca="false">H363*H364</f>
        <v>1055769.74783491</v>
      </c>
      <c r="I366" s="73" t="n">
        <f aca="false">I363*I364</f>
        <v>0</v>
      </c>
      <c r="J366" s="73" t="n">
        <f aca="false">J363*J364</f>
        <v>1067205.41656711</v>
      </c>
      <c r="K366" s="73" t="n">
        <f aca="false">K363*K364</f>
        <v>0</v>
      </c>
      <c r="L366" s="73" t="n">
        <f aca="false">L363*L364</f>
        <v>1078604.08122814</v>
      </c>
      <c r="M366" s="73" t="n">
        <f aca="false">M363*M364</f>
        <v>0</v>
      </c>
      <c r="N366" s="73" t="n">
        <f aca="false">N363*N364</f>
        <v>1090047.08378793</v>
      </c>
      <c r="O366" s="73" t="n">
        <f aca="false">O363*O364</f>
        <v>0</v>
      </c>
    </row>
    <row r="367" customFormat="false" ht="15" hidden="false" customHeight="false" outlineLevel="0" collapsed="false">
      <c r="B367" s="65" t="s">
        <v>1025</v>
      </c>
      <c r="C367" s="25"/>
      <c r="D367" s="73" t="n">
        <f aca="false">C375</f>
        <v>0</v>
      </c>
      <c r="E367" s="73" t="n">
        <f aca="false">D375</f>
        <v>0</v>
      </c>
      <c r="F367" s="73" t="n">
        <f aca="false">E375</f>
        <v>0</v>
      </c>
      <c r="G367" s="73" t="n">
        <f aca="false">F375</f>
        <v>0</v>
      </c>
      <c r="H367" s="73" t="n">
        <f aca="false">G375</f>
        <v>0</v>
      </c>
      <c r="I367" s="73" t="n">
        <f aca="false">H375</f>
        <v>0</v>
      </c>
      <c r="J367" s="73" t="n">
        <f aca="false">I375</f>
        <v>0</v>
      </c>
      <c r="K367" s="73" t="n">
        <f aca="false">J375</f>
        <v>0</v>
      </c>
      <c r="L367" s="73" t="n">
        <f aca="false">K375</f>
        <v>0</v>
      </c>
      <c r="M367" s="73" t="n">
        <f aca="false">L375</f>
        <v>0</v>
      </c>
      <c r="N367" s="73" t="n">
        <f aca="false">M375</f>
        <v>0</v>
      </c>
      <c r="O367" s="73" t="n">
        <f aca="false">N375</f>
        <v>0</v>
      </c>
    </row>
    <row r="368" customFormat="false" ht="15" hidden="false" customHeight="false" outlineLevel="0" collapsed="false">
      <c r="B368" s="65" t="s">
        <v>1026</v>
      </c>
      <c r="C368" s="25"/>
      <c r="D368" s="73" t="n">
        <f aca="false">D366+D367</f>
        <v>1000000</v>
      </c>
      <c r="E368" s="73" t="n">
        <f aca="false">E366+E367</f>
        <v>0</v>
      </c>
      <c r="F368" s="73" t="n">
        <f aca="false">F366+F367</f>
        <v>1045660.78460156</v>
      </c>
      <c r="G368" s="73" t="n">
        <f aca="false">G366+G367</f>
        <v>0</v>
      </c>
      <c r="H368" s="73" t="n">
        <f aca="false">H366+H367</f>
        <v>1055769.74783491</v>
      </c>
      <c r="I368" s="73" t="n">
        <f aca="false">I366+I367</f>
        <v>0</v>
      </c>
      <c r="J368" s="73" t="n">
        <f aca="false">J366+J367</f>
        <v>1067205.41656711</v>
      </c>
      <c r="K368" s="73" t="n">
        <f aca="false">K366+K367</f>
        <v>0</v>
      </c>
      <c r="L368" s="73" t="n">
        <f aca="false">L366+L367</f>
        <v>1078604.08122814</v>
      </c>
      <c r="M368" s="73" t="n">
        <f aca="false">M366+M367</f>
        <v>0</v>
      </c>
      <c r="N368" s="73" t="n">
        <f aca="false">N366+N367</f>
        <v>1090047.08378793</v>
      </c>
      <c r="O368" s="73" t="n">
        <f aca="false">O366+O367</f>
        <v>0</v>
      </c>
    </row>
    <row r="369" customFormat="false" ht="15" hidden="false" customHeight="false" outlineLevel="0" collapsed="false">
      <c r="B369" s="65" t="s">
        <v>1027</v>
      </c>
      <c r="C369" s="25"/>
      <c r="D369" s="73" t="n">
        <f aca="false">IF($H$21=1,Gate*D364+D365,D368)</f>
        <v>2500000</v>
      </c>
      <c r="E369" s="73" t="n">
        <f aca="false">IF($H$21=1,Gate*E364+E365,E368)</f>
        <v>2575912.65625</v>
      </c>
      <c r="F369" s="73" t="n">
        <f aca="false">IF($H$21=1,Gate*F364+F365,F368)</f>
        <v>2614151.96150391</v>
      </c>
      <c r="G369" s="73" t="n">
        <f aca="false">IF($H$21=1,Gate*G364+G365,G368)</f>
        <v>2600479.48202455</v>
      </c>
      <c r="H369" s="73" t="n">
        <f aca="false">IF($H$21=1,Gate*H364+H365,H368)</f>
        <v>2639424.36958728</v>
      </c>
      <c r="I369" s="73" t="n">
        <f aca="false">IF($H$21=1,Gate*I364+I365,I368)</f>
        <v>2627294.33793979</v>
      </c>
      <c r="J369" s="73" t="n">
        <f aca="false">IF($H$21=1,Gate*J364+J365,J368)</f>
        <v>2668013.54141776</v>
      </c>
      <c r="K369" s="73" t="n">
        <f aca="false">IF($H$21=1,Gate*K364+K365,K368)</f>
        <v>2655525.62983497</v>
      </c>
      <c r="L369" s="73" t="n">
        <f aca="false">IF($H$21=1,Gate*L364+L365,L368)</f>
        <v>2696510.20307035</v>
      </c>
      <c r="M369" s="73" t="n">
        <f aca="false">IF($H$21=1,Gate*M364+M365,M368)</f>
        <v>2683768.44587228</v>
      </c>
      <c r="N369" s="73" t="n">
        <f aca="false">IF($H$21=1,Gate*N364+N365,N368)</f>
        <v>2725117.70946983</v>
      </c>
      <c r="O369" s="73" t="n">
        <f aca="false">IF($H$21=1,Gate*O364+O365,O368)</f>
        <v>2712216.46129611</v>
      </c>
    </row>
    <row r="370" customFormat="false" ht="15" hidden="false" customHeight="false" outlineLevel="0" collapsed="false">
      <c r="B370" s="65" t="s">
        <v>1028</v>
      </c>
      <c r="C370" s="25"/>
      <c r="D370" s="73" t="n">
        <f aca="false">IF(D361=1,MIN(D368,D369),0)</f>
        <v>1000000</v>
      </c>
      <c r="E370" s="73" t="n">
        <f aca="false">IF(E361=1,MIN(E368,E369),0)</f>
        <v>0</v>
      </c>
      <c r="F370" s="73" t="n">
        <f aca="false">IF(F361=1,MIN(F368,F369),0)</f>
        <v>1045660.78460156</v>
      </c>
      <c r="G370" s="73" t="n">
        <f aca="false">IF(G361=1,MIN(G368,G369),0)</f>
        <v>0</v>
      </c>
      <c r="H370" s="73" t="n">
        <f aca="false">IF(H361=1,MIN(H368,H369),0)</f>
        <v>1055769.74783491</v>
      </c>
      <c r="I370" s="73" t="n">
        <f aca="false">IF(I361=1,MIN(I368,I369),0)</f>
        <v>0</v>
      </c>
      <c r="J370" s="73" t="n">
        <f aca="false">IF(J361=1,MIN(J368,J369),0)</f>
        <v>1067205.41656711</v>
      </c>
      <c r="K370" s="73" t="n">
        <f aca="false">IF(K361=1,MIN(K368,K369),0)</f>
        <v>0</v>
      </c>
      <c r="L370" s="73" t="n">
        <f aca="false">IF(L361=1,MIN(L368,L369),0)</f>
        <v>1078604.08122814</v>
      </c>
      <c r="M370" s="73" t="n">
        <f aca="false">IF(M361=1,MIN(M368,M369),0)</f>
        <v>0</v>
      </c>
      <c r="N370" s="73" t="n">
        <f aca="false">IF(N361=1,MIN(N368,N369),0)</f>
        <v>1090047.08378793</v>
      </c>
      <c r="O370" s="73" t="n">
        <f aca="false">IF(O361=1,MIN(O368,O369),0)</f>
        <v>0</v>
      </c>
    </row>
    <row r="371" customFormat="false" ht="15" hidden="false" customHeight="false" outlineLevel="0" collapsed="false">
      <c r="B371" s="65" t="s">
        <v>1029</v>
      </c>
      <c r="C371" s="25"/>
      <c r="D371" s="73" t="n">
        <f aca="false">MAX(0,D399+D390+D391-Poche_min_exec*D364-D370-SUM(E396:F396)+MAX(0,MIN($H$20*AN_cible,Emprunt_max*D364)-C407))</f>
        <v>0</v>
      </c>
      <c r="E371" s="73" t="n">
        <f aca="false">MAX(0,E399+E390+E391-Poche_min_exec*E364-E370-SUM(F396:G396)+MAX(0,MIN($H$20*AN_cible,Emprunt_max*E364)-D407))</f>
        <v>98402.375</v>
      </c>
      <c r="F371" s="73" t="n">
        <f aca="false">MAX(0,F399+F390+F391-Poche_min_exec*F364-F370-SUM(G396:H396)+MAX(0,MIN($H$20*AN_cible,Emprunt_max*F364)-E407))</f>
        <v>0</v>
      </c>
      <c r="G371" s="73" t="n">
        <f aca="false">MAX(0,G399+G390+G391-Poche_min_exec*G364-G370-SUM(H396:I396)+MAX(0,MIN($H$20*AN_cible,Emprunt_max*G364)-F407))</f>
        <v>492752.644391312</v>
      </c>
      <c r="H371" s="73" t="n">
        <f aca="false">MAX(0,H399+H390+H391-Poche_min_exec*H364-H370-SUM(I396:J396)+MAX(0,MIN($H$20*AN_cible,Emprunt_max*H364)-G407))</f>
        <v>85256.3505156813</v>
      </c>
      <c r="I371" s="73" t="n">
        <f aca="false">MAX(0,I399+I390+I391-Poche_min_exec*I364-I370-SUM(J396:K396)+MAX(0,MIN($H$20*AN_cible,Emprunt_max*I364)-H407))</f>
        <v>803177.523030058</v>
      </c>
      <c r="J371" s="73" t="n">
        <f aca="false">MAX(0,J399+J390+J391-Poche_min_exec*J364-J370-SUM(K396:L396)+MAX(0,MIN($H$20*AN_cible,Emprunt_max*J364)-I407))</f>
        <v>318578.687773309</v>
      </c>
      <c r="K371" s="73" t="n">
        <f aca="false">MAX(0,K399+K390+K391-Poche_min_exec*K364-K370-SUM(L396:M396)+MAX(0,MIN($H$20*AN_cible,Emprunt_max*K364)-J407))</f>
        <v>978159.84740719</v>
      </c>
      <c r="L371" s="73" t="n">
        <f aca="false">MAX(0,L399+L390+L391-Poche_min_exec*L364-L370-SUM(M396:N396)+MAX(0,MIN($H$20*AN_cible,Emprunt_max*L364)-K407))</f>
        <v>1106789.96016678</v>
      </c>
      <c r="M371" s="73" t="n">
        <f aca="false">MAX(0,M399+M390+M391-Poche_min_exec*M364-M370-SUM(N396:O396)+MAX(0,MIN($H$20*AN_cible,Emprunt_max*M364)-L407))</f>
        <v>2394878.92524106</v>
      </c>
      <c r="N371" s="73" t="n">
        <f aca="false">MAX(0,N399+N390+N391-Poche_min_exec*N364-N370-SUM(O396:O396)+MAX(0,MIN($H$20*AN_cible,Emprunt_max*N364)-M407))</f>
        <v>2460838.97055371</v>
      </c>
      <c r="O371" s="73" t="n">
        <f aca="false">MAX(0,O399+O390+O391-Poche_min_exec*O364-O370-0+MAX(0,MIN($H$20*AN_cible,Emprunt_max*O364)-N407))</f>
        <v>3694801.55240269</v>
      </c>
    </row>
    <row r="372" customFormat="false" ht="15" hidden="false" customHeight="false" outlineLevel="0" collapsed="false">
      <c r="B372" s="65" t="s">
        <v>1030</v>
      </c>
      <c r="C372" s="25"/>
      <c r="D372" s="73" t="n">
        <f aca="false">IF(AND(D361=1,$H$21=1,$H$22=1),MIN(D368-D370,D371),0)</f>
        <v>0</v>
      </c>
      <c r="E372" s="73" t="n">
        <f aca="false">IF(AND(E361=1,$H$21=1,$H$22=1),MIN(E368-E370,E371),0)</f>
        <v>0</v>
      </c>
      <c r="F372" s="73" t="n">
        <f aca="false">IF(AND(F361=1,$H$21=1,$H$22=1),MIN(F368-F370,F371),0)</f>
        <v>0</v>
      </c>
      <c r="G372" s="73" t="n">
        <f aca="false">IF(AND(G361=1,$H$21=1,$H$22=1),MIN(G368-G370,G371),0)</f>
        <v>0</v>
      </c>
      <c r="H372" s="73" t="n">
        <f aca="false">IF(AND(H361=1,$H$21=1,$H$22=1),MIN(H368-H370,H371),0)</f>
        <v>0</v>
      </c>
      <c r="I372" s="73" t="n">
        <f aca="false">IF(AND(I361=1,$H$21=1,$H$22=1),MIN(I368-I370,I371),0)</f>
        <v>0</v>
      </c>
      <c r="J372" s="73" t="n">
        <f aca="false">IF(AND(J361=1,$H$21=1,$H$22=1),MIN(J368-J370,J371),0)</f>
        <v>0</v>
      </c>
      <c r="K372" s="73" t="n">
        <f aca="false">IF(AND(K361=1,$H$21=1,$H$22=1),MIN(K368-K370,K371),0)</f>
        <v>0</v>
      </c>
      <c r="L372" s="73" t="n">
        <f aca="false">IF(AND(L361=1,$H$21=1,$H$22=1),MIN(L368-L370,L371),0)</f>
        <v>0</v>
      </c>
      <c r="M372" s="73" t="n">
        <f aca="false">IF(AND(M361=1,$H$21=1,$H$22=1),MIN(M368-M370,M371),0)</f>
        <v>0</v>
      </c>
      <c r="N372" s="73" t="n">
        <f aca="false">IF(AND(N361=1,$H$21=1,$H$22=1),MIN(N368-N370,N371),0)</f>
        <v>0</v>
      </c>
      <c r="O372" s="73" t="n">
        <f aca="false">IF(AND(O361=1,$H$21=1,$H$22=1),MIN(O368-O370,O371),0)</f>
        <v>0</v>
      </c>
    </row>
    <row r="373" customFormat="false" ht="15" hidden="false" customHeight="false" outlineLevel="0" collapsed="false">
      <c r="B373" s="65" t="s">
        <v>1031</v>
      </c>
      <c r="C373" s="65" t="n">
        <v>0</v>
      </c>
      <c r="D373" s="65" t="n">
        <f aca="false">IF(C373=1,1,IF(AND(D361=1,$H$21=1,C377&gt;=Gate_dates,D368-D370-D372&gt;0.000001),1,0))</f>
        <v>0</v>
      </c>
      <c r="E373" s="65" t="n">
        <f aca="false">IF(D373=1,1,IF(AND(E361=1,$H$21=1,D377&gt;=Gate_dates,E368-E370-E372&gt;0.000001),1,0))</f>
        <v>0</v>
      </c>
      <c r="F373" s="65" t="n">
        <f aca="false">IF(E373=1,1,IF(AND(F361=1,$H$21=1,E377&gt;=Gate_dates,F368-F370-F372&gt;0.000001),1,0))</f>
        <v>0</v>
      </c>
      <c r="G373" s="65" t="n">
        <f aca="false">IF(F373=1,1,IF(AND(G361=1,$H$21=1,F377&gt;=Gate_dates,G368-G370-G372&gt;0.000001),1,0))</f>
        <v>0</v>
      </c>
      <c r="H373" s="65" t="n">
        <f aca="false">IF(G373=1,1,IF(AND(H361=1,$H$21=1,G377&gt;=Gate_dates,H368-H370-H372&gt;0.000001),1,0))</f>
        <v>0</v>
      </c>
      <c r="I373" s="65" t="n">
        <f aca="false">IF(H373=1,1,IF(AND(I361=1,$H$21=1,H377&gt;=Gate_dates,I368-I370-I372&gt;0.000001),1,0))</f>
        <v>0</v>
      </c>
      <c r="J373" s="65" t="n">
        <f aca="false">IF(I373=1,1,IF(AND(J361=1,$H$21=1,I377&gt;=Gate_dates,J368-J370-J372&gt;0.000001),1,0))</f>
        <v>0</v>
      </c>
      <c r="K373" s="65" t="n">
        <f aca="false">IF(J373=1,1,IF(AND(K361=1,$H$21=1,J377&gt;=Gate_dates,K368-K370-K372&gt;0.000001),1,0))</f>
        <v>0</v>
      </c>
      <c r="L373" s="65" t="n">
        <f aca="false">IF(K373=1,1,IF(AND(L361=1,$H$21=1,K377&gt;=Gate_dates,L368-L370-L372&gt;0.000001),1,0))</f>
        <v>0</v>
      </c>
      <c r="M373" s="65" t="n">
        <f aca="false">IF(L373=1,1,IF(AND(M361=1,$H$21=1,L377&gt;=Gate_dates,M368-M370-M372&gt;0.000001),1,0))</f>
        <v>0</v>
      </c>
      <c r="N373" s="65" t="n">
        <f aca="false">IF(M373=1,1,IF(AND(N361=1,$H$21=1,M377&gt;=Gate_dates,N368-N370-N372&gt;0.000001),1,0))</f>
        <v>0</v>
      </c>
      <c r="O373" s="65" t="n">
        <f aca="false">IF(N373=1,1,IF(AND(O361=1,$H$21=1,N377&gt;=Gate_dates,O368-O370-O372&gt;0.000001),1,0))</f>
        <v>0</v>
      </c>
    </row>
    <row r="374" customFormat="false" ht="15" hidden="false" customHeight="false" outlineLevel="0" collapsed="false">
      <c r="B374" s="65" t="s">
        <v>1032</v>
      </c>
      <c r="C374" s="25"/>
      <c r="D374" s="73" t="n">
        <f aca="false">IF(D373=1,0,D370+D372)</f>
        <v>1000000</v>
      </c>
      <c r="E374" s="73" t="n">
        <f aca="false">IF(E373=1,0,E370+E372)</f>
        <v>0</v>
      </c>
      <c r="F374" s="73" t="n">
        <f aca="false">IF(F373=1,0,F370+F372)</f>
        <v>1045660.78460156</v>
      </c>
      <c r="G374" s="73" t="n">
        <f aca="false">IF(G373=1,0,G370+G372)</f>
        <v>0</v>
      </c>
      <c r="H374" s="73" t="n">
        <f aca="false">IF(H373=1,0,H370+H372)</f>
        <v>1055769.74783491</v>
      </c>
      <c r="I374" s="73" t="n">
        <f aca="false">IF(I373=1,0,I370+I372)</f>
        <v>0</v>
      </c>
      <c r="J374" s="73" t="n">
        <f aca="false">IF(J373=1,0,J370+J372)</f>
        <v>1067205.41656711</v>
      </c>
      <c r="K374" s="73" t="n">
        <f aca="false">IF(K373=1,0,K370+K372)</f>
        <v>0</v>
      </c>
      <c r="L374" s="73" t="n">
        <f aca="false">IF(L373=1,0,L370+L372)</f>
        <v>1078604.08122814</v>
      </c>
      <c r="M374" s="73" t="n">
        <f aca="false">IF(M373=1,0,M370+M372)</f>
        <v>0</v>
      </c>
      <c r="N374" s="73" t="n">
        <f aca="false">IF(N373=1,0,N370+N372)</f>
        <v>1090047.08378793</v>
      </c>
      <c r="O374" s="73" t="n">
        <f aca="false">IF(O373=1,0,O370+O372)</f>
        <v>0</v>
      </c>
    </row>
    <row r="375" customFormat="false" ht="15" hidden="false" customHeight="false" outlineLevel="0" collapsed="false">
      <c r="B375" s="65" t="s">
        <v>1033</v>
      </c>
      <c r="C375" s="73" t="n">
        <v>0</v>
      </c>
      <c r="D375" s="73" t="n">
        <f aca="false">D368-D374</f>
        <v>0</v>
      </c>
      <c r="E375" s="73" t="n">
        <f aca="false">E368-E374</f>
        <v>0</v>
      </c>
      <c r="F375" s="73" t="n">
        <f aca="false">F368-F374</f>
        <v>0</v>
      </c>
      <c r="G375" s="73" t="n">
        <f aca="false">G368-G374</f>
        <v>0</v>
      </c>
      <c r="H375" s="73" t="n">
        <f aca="false">H368-H374</f>
        <v>0</v>
      </c>
      <c r="I375" s="73" t="n">
        <f aca="false">I368-I374</f>
        <v>0</v>
      </c>
      <c r="J375" s="73" t="n">
        <f aca="false">J368-J374</f>
        <v>0</v>
      </c>
      <c r="K375" s="73" t="n">
        <f aca="false">K368-K374</f>
        <v>0</v>
      </c>
      <c r="L375" s="73" t="n">
        <f aca="false">L368-L374</f>
        <v>0</v>
      </c>
      <c r="M375" s="73" t="n">
        <f aca="false">M368-M374</f>
        <v>0</v>
      </c>
      <c r="N375" s="73" t="n">
        <f aca="false">N368-N374</f>
        <v>0</v>
      </c>
      <c r="O375" s="73" t="n">
        <f aca="false">O368-O374</f>
        <v>0</v>
      </c>
    </row>
    <row r="376" customFormat="false" ht="15" hidden="false" customHeight="false" outlineLevel="0" collapsed="false">
      <c r="B376" s="65" t="s">
        <v>1034</v>
      </c>
      <c r="C376" s="25"/>
      <c r="D376" s="65" t="n">
        <f aca="false">IF(AND(D361=1,D373=0,D375&gt;0.000001),1,0)</f>
        <v>0</v>
      </c>
      <c r="E376" s="65" t="n">
        <f aca="false">IF(AND(E361=1,E373=0,E375&gt;0.000001),1,0)</f>
        <v>0</v>
      </c>
      <c r="F376" s="65" t="n">
        <f aca="false">IF(AND(F361=1,F373=0,F375&gt;0.000001),1,0)</f>
        <v>0</v>
      </c>
      <c r="G376" s="65" t="n">
        <f aca="false">IF(AND(G361=1,G373=0,G375&gt;0.000001),1,0)</f>
        <v>0</v>
      </c>
      <c r="H376" s="65" t="n">
        <f aca="false">IF(AND(H361=1,H373=0,H375&gt;0.000001),1,0)</f>
        <v>0</v>
      </c>
      <c r="I376" s="65" t="n">
        <f aca="false">IF(AND(I361=1,I373=0,I375&gt;0.000001),1,0)</f>
        <v>0</v>
      </c>
      <c r="J376" s="65" t="n">
        <f aca="false">IF(AND(J361=1,J373=0,J375&gt;0.000001),1,0)</f>
        <v>0</v>
      </c>
      <c r="K376" s="65" t="n">
        <f aca="false">IF(AND(K361=1,K373=0,K375&gt;0.000001),1,0)</f>
        <v>0</v>
      </c>
      <c r="L376" s="65" t="n">
        <f aca="false">IF(AND(L361=1,L373=0,L375&gt;0.000001),1,0)</f>
        <v>0</v>
      </c>
      <c r="M376" s="65" t="n">
        <f aca="false">IF(AND(M361=1,M373=0,M375&gt;0.000001),1,0)</f>
        <v>0</v>
      </c>
      <c r="N376" s="65" t="n">
        <f aca="false">IF(AND(N361=1,N373=0,N375&gt;0.000001),1,0)</f>
        <v>0</v>
      </c>
      <c r="O376" s="65" t="n">
        <f aca="false">IF(AND(O361=1,O373=0,O375&gt;0.000001),1,0)</f>
        <v>0</v>
      </c>
    </row>
    <row r="377" customFormat="false" ht="15" hidden="false" customHeight="false" outlineLevel="0" collapsed="false">
      <c r="B377" s="65" t="s">
        <v>843</v>
      </c>
      <c r="C377" s="65" t="n">
        <v>0</v>
      </c>
      <c r="D377" s="65" t="n">
        <f aca="false">IF(D361=1,IF(D376=1,C377+1,0),C377)</f>
        <v>0</v>
      </c>
      <c r="E377" s="65" t="n">
        <f aca="false">IF(E361=1,IF(E376=1,D377+1,0),D377)</f>
        <v>0</v>
      </c>
      <c r="F377" s="65" t="n">
        <f aca="false">IF(F361=1,IF(F376=1,E377+1,0),E377)</f>
        <v>0</v>
      </c>
      <c r="G377" s="65" t="n">
        <f aca="false">IF(G361=1,IF(G376=1,F377+1,0),F377)</f>
        <v>0</v>
      </c>
      <c r="H377" s="65" t="n">
        <f aca="false">IF(H361=1,IF(H376=1,G377+1,0),G377)</f>
        <v>0</v>
      </c>
      <c r="I377" s="65" t="n">
        <f aca="false">IF(I361=1,IF(I376=1,H377+1,0),H377)</f>
        <v>0</v>
      </c>
      <c r="J377" s="65" t="n">
        <f aca="false">IF(J361=1,IF(J376=1,I377+1,0),I377)</f>
        <v>0</v>
      </c>
      <c r="K377" s="65" t="n">
        <f aca="false">IF(K361=1,IF(K376=1,J377+1,0),J377)</f>
        <v>0</v>
      </c>
      <c r="L377" s="65" t="n">
        <f aca="false">IF(L361=1,IF(L376=1,K377+1,0),K377)</f>
        <v>0</v>
      </c>
      <c r="M377" s="65" t="n">
        <f aca="false">IF(M361=1,IF(M376=1,L377+1,0),L377)</f>
        <v>0</v>
      </c>
      <c r="N377" s="65" t="n">
        <f aca="false">IF(N361=1,IF(N376=1,M377+1,0),M377)</f>
        <v>0</v>
      </c>
      <c r="O377" s="65" t="n">
        <f aca="false">IF(O361=1,IF(O376=1,N377+1,0),N377)</f>
        <v>0</v>
      </c>
    </row>
    <row r="378" customFormat="false" ht="15" hidden="false" customHeight="false" outlineLevel="0" collapsed="false">
      <c r="B378" s="65" t="s">
        <v>1035</v>
      </c>
      <c r="C378" s="73" t="n">
        <f aca="false">AN_cible*Ws_MAPIF</f>
        <v>12500000</v>
      </c>
      <c r="D378" s="73" t="n">
        <f aca="false">C378*(1+Rend_MAPIF/4)*IF(D359=1,(1-(Cap_MAPIF*$H$15+(1-Cap_MAPIF)*$H$16))*(1+1*$H$14),1)+D388-D382-D403*IF((C378+C379+C380+C381)&gt;0,C378/(C378+C379+C380+C381),0)</f>
        <v>15161046.875</v>
      </c>
      <c r="E378" s="73" t="n">
        <f aca="false">D378*(1+Rend_MAPIF/4)*IF(E359=1,(1-(Cap_MAPIF*$H$15+(1-Cap_MAPIF)*$H$16))*(1+1*$H$14),1)+E388-E382-E403*IF((D378+D379+D380+D381)&gt;0,D378/(D378+D379+D380+D381),0)</f>
        <v>15925040.9621094</v>
      </c>
      <c r="F378" s="73" t="n">
        <f aca="false">E378*(1+Rend_MAPIF/4)*IF(F359=1,(1-(Cap_MAPIF*$H$15+(1-Cap_MAPIF)*$H$16))*(1+1*$H$14),1)+F388-F382-F403*IF((E378+E379+E380+E381)&gt;0,E378/(E378+E379+E380+E381),0)</f>
        <v>16694936.9035417</v>
      </c>
      <c r="G378" s="73" t="n">
        <f aca="false">F378*(1+Rend_MAPIF/4)*IF(G359=1,(1-(Cap_MAPIF*$H$15+(1-Cap_MAPIF)*$H$16))*(1+1*$H$14),1)+G388-G382-G403*IF((F378+F379+F380+F381)&gt;0,F378/(F378+F379+F380+F381),0)</f>
        <v>17470780.2911215</v>
      </c>
      <c r="H378" s="73" t="n">
        <f aca="false">G378*(1+Rend_MAPIF/4)*IF(H359=1,(1-(Cap_MAPIF*$H$15+(1-Cap_MAPIF)*$H$16))*(1+1*$H$14),1)+H388-H382-H403*IF((G378+G379+G380+G381)&gt;0,G378/(G378+G379+G380+G381),0)</f>
        <v>18036992.0688705</v>
      </c>
      <c r="I378" s="73" t="n">
        <f aca="false">H378*(1+Rend_MAPIF/4)*IF(I359=1,(1-(Cap_MAPIF*$H$15+(1-Cap_MAPIF)*$H$16))*(1+1*$H$14),1)+I388-I382-I403*IF((H378+H379+H380+H381)&gt;0,H378/(H378+H379+H380+H381),0)</f>
        <v>18607577.8326025</v>
      </c>
      <c r="J378" s="73" t="n">
        <f aca="false">I378*(1+Rend_MAPIF/4)*IF(J359=1,(1-(Cap_MAPIF*$H$15+(1-Cap_MAPIF)*$H$16))*(1+1*$H$14),1)+J388-J382-J403*IF((I378+I379+I380+I381)&gt;0,I378/(I378+I379+I380+I381),0)</f>
        <v>19182571.3713593</v>
      </c>
      <c r="K378" s="73" t="n">
        <f aca="false">J378*(1+Rend_MAPIF/4)*IF(K359=1,(1-(Cap_MAPIF*$H$15+(1-Cap_MAPIF)*$H$16))*(1+1*$H$14),1)+K388-K382-K403*IF((J378+J379+J380+J381)&gt;0,J378/(J378+J379+J380+J381),0)</f>
        <v>19762006.7352031</v>
      </c>
      <c r="L378" s="73" t="n">
        <f aca="false">K378*(1+Rend_MAPIF/4)*IF(L359=1,(1-(Cap_MAPIF*$H$15+(1-Cap_MAPIF)*$H$16))*(1+1*$H$14),1)+L388-L382-L403*IF((K378+K379+K380+K381)&gt;0,K378/(K378+K379+K380+K381),0)</f>
        <v>20345918.2372325</v>
      </c>
      <c r="M378" s="73" t="n">
        <f aca="false">L378*(1+Rend_MAPIF/4)*IF(M359=1,(1-(Cap_MAPIF*$H$15+(1-Cap_MAPIF)*$H$16))*(1+1*$H$14),1)+M388-M382-M403*IF((L378+L379+L380+L381)&gt;0,L378/(L378+L379+L380+L381),0)</f>
        <v>20934340.4556152</v>
      </c>
      <c r="N378" s="73" t="n">
        <f aca="false">M378*(1+Rend_MAPIF/4)*IF(N359=1,(1-(Cap_MAPIF*$H$15+(1-Cap_MAPIF)*$H$16))*(1+1*$H$14),1)+N388-N382-N403*IF((M378+M379+M380+M381)&gt;0,M378/(M378+M379+M380+M381),0)</f>
        <v>21096058.2356348</v>
      </c>
      <c r="O378" s="73" t="n">
        <f aca="false">N378*(1+Rend_MAPIF/4)*IF(O359=1,(1-(Cap_MAPIF*$H$15+(1-Cap_MAPIF)*$H$16))*(1+1*$H$14),1)+O388-O382-O403*IF((N378+N379+N380+N381)&gt;0,N378/(N378+N379+N380+N381),0)</f>
        <v>21259025.2855051</v>
      </c>
    </row>
    <row r="379" customFormat="false" ht="15" hidden="false" customHeight="false" outlineLevel="0" collapsed="false">
      <c r="B379" s="65" t="s">
        <v>1036</v>
      </c>
      <c r="C379" s="73" t="n">
        <f aca="false">AN_cible*Ws_MSIG</f>
        <v>5500000</v>
      </c>
      <c r="D379" s="73" t="n">
        <f aca="false">C379*(1+Rend_MSIG/4)*IF(D359=1,(1-(Cap_MSIG*$H$15+(1-Cap_MSIG)*$H$16))*(1+MSIG_USD*$H$14),1)+D389-D383-D403*IF((C378+C379+C380+C381)&gt;0,C379/(C378+C379+C380+C381),0)</f>
        <v>5898237.5</v>
      </c>
      <c r="E379" s="73" t="n">
        <f aca="false">D379*(1+Rend_MSIG/4)*IF(E359=1,(1-(Cap_MSIG*$H$15+(1-Cap_MSIG)*$H$16))*(1+MSIG_USD*$H$14),1)+E389-E383-E403*IF((D378+D379+D380+D381)&gt;0,D379/(D378+D379+D380+D381),0)</f>
        <v>6298157.5534375</v>
      </c>
      <c r="F379" s="73" t="n">
        <f aca="false">E379*(1+Rend_MSIG/4)*IF(F359=1,(1-(Cap_MSIG*$H$15+(1-Cap_MSIG)*$H$16))*(1+MSIG_USD*$H$14),1)+F389-F383-F403*IF((E378+E379+E380+E381)&gt;0,E379/(E378+E379+E380+E381),0)</f>
        <v>6699767.26910077</v>
      </c>
      <c r="G379" s="73" t="n">
        <f aca="false">F379*(1+Rend_MSIG/4)*IF(G359=1,(1-(Cap_MSIG*$H$15+(1-Cap_MSIG)*$H$16))*(1+MSIG_USD*$H$14),1)+G389-G383-G403*IF((F378+F379+F380+F381)&gt;0,F379/(F378+F379+F380+F381),0)</f>
        <v>7103073.78581272</v>
      </c>
      <c r="H379" s="73" t="n">
        <f aca="false">G379*(1+Rend_MSIG/4)*IF(H359=1,(1-(Cap_MSIG*$H$15+(1-Cap_MSIG)*$H$16))*(1+MSIG_USD*$H$14),1)+H389-H383-H403*IF((G378+G379+G380+G381)&gt;0,G379/(G378+G379+G380+G381),0)</f>
        <v>7383084.27255778</v>
      </c>
      <c r="I379" s="73" t="n">
        <f aca="false">H379*(1+Rend_MSIG/4)*IF(I359=1,(1-(Cap_MSIG*$H$15+(1-Cap_MSIG)*$H$16))*(1+MSIG_USD*$H$14),1)+I389-I383-I403*IF((H378+H379+H380+H381)&gt;0,H379/(H378+H379+H380+H381),0)</f>
        <v>7664277.80360934</v>
      </c>
      <c r="J379" s="73" t="n">
        <f aca="false">I379*(1+Rend_MSIG/4)*IF(J359=1,(1-(Cap_MSIG*$H$15+(1-Cap_MSIG)*$H$16))*(1+MSIG_USD*$H$14),1)+J389-J383-J403*IF((I378+I379+I380+I381)&gt;0,I379/(I378+I379+I380+I381),0)</f>
        <v>7946659.37732959</v>
      </c>
      <c r="K379" s="73" t="n">
        <f aca="false">J379*(1+Rend_MSIG/4)*IF(K359=1,(1-(Cap_MSIG*$H$15+(1-Cap_MSIG)*$H$16))*(1+MSIG_USD*$H$14),1)+K389-K383-K403*IF((J378+J379+J380+J381)&gt;0,J379/(J378+J379+J380+J381),0)</f>
        <v>8230234.01319881</v>
      </c>
      <c r="L379" s="73" t="n">
        <f aca="false">K379*(1+Rend_MSIG/4)*IF(L359=1,(1-(Cap_MSIG*$H$15+(1-Cap_MSIG)*$H$16))*(1+MSIG_USD*$H$14),1)+L389-L383-L403*IF((K378+K379+K380+K381)&gt;0,K379/(K378+K379+K380+K381),0)</f>
        <v>8515006.75190457</v>
      </c>
      <c r="M379" s="73" t="n">
        <f aca="false">L379*(1+Rend_MSIG/4)*IF(M359=1,(1-(Cap_MSIG*$H$15+(1-Cap_MSIG)*$H$16))*(1+MSIG_USD*$H$14),1)+M389-M383-M403*IF((L378+L379+L380+L381)&gt;0,L379/(L378+L379+L380+L381),0)</f>
        <v>8800982.65543137</v>
      </c>
      <c r="N379" s="73" t="n">
        <f aca="false">M379*(1+Rend_MSIG/4)*IF(N359=1,(1-(Cap_MSIG*$H$15+(1-Cap_MSIG)*$H$16))*(1+MSIG_USD*$H$14),1)+N389-N383-N403*IF((M378+M379+M380+M381)&gt;0,M379/(M378+M379+M380+M381),0)</f>
        <v>8838166.80715057</v>
      </c>
      <c r="O379" s="73" t="n">
        <f aca="false">N379*(1+Rend_MSIG/4)*IF(O359=1,(1-(Cap_MSIG*$H$15+(1-Cap_MSIG)*$H$16))*(1+MSIG_USD*$H$14),1)+O389-O383-O403*IF((N378+N379+N380+N381)&gt;0,N379/(N378+N379+N380+N381),0)</f>
        <v>8875508.06191078</v>
      </c>
    </row>
    <row r="380" customFormat="false" ht="15" hidden="false" customHeight="false" outlineLevel="0" collapsed="false">
      <c r="B380" s="65" t="s">
        <v>1037</v>
      </c>
      <c r="C380" s="73" t="n">
        <f aca="false">AN_cible*Ws_PG</f>
        <v>12250000</v>
      </c>
      <c r="D380" s="73" t="n">
        <f aca="false">C380*(1+Rend_PG/4)*IF(D359=1,(1-(Cap_PG*$H$15+(1-Cap_PG)*$H$16))*(1+0*$H$14),1)-D384-D400*IF((D390+D391)&gt;0,D390/(D390+D391),0)+D405/2-D403*IF((C378+C379+C380+C381)&gt;0,C380/(C378+C379+C380+C381),0)</f>
        <v>11888931.25</v>
      </c>
      <c r="E380" s="73" t="n">
        <f aca="false">D380*(1+Rend_PG/4)*IF(E359=1,(1-(Cap_PG*$H$15+(1-Cap_PG)*$H$16))*(1+0*$H$14),1)-E384-E400*IF((E390+E391)&gt;0,E390/(E390+E391),0)+E405/2-E403*IF((D378+D379+D380+D381)&gt;0,D380/(D378+D379+D380+D381),0)</f>
        <v>11538505.0014063</v>
      </c>
      <c r="F380" s="73" t="n">
        <f aca="false">E380*(1+Rend_PG/4)*IF(F359=1,(1-(Cap_PG*$H$15+(1-Cap_PG)*$H$16))*(1+0*$H$14),1)-F384-F400*IF((F390+F391)&gt;0,F390/(F390+F391),0)+F405/2-F403*IF((E378+E379+E380+E381)&gt;0,E380/(E378+E379+E380+E381),0)</f>
        <v>11198407.5664898</v>
      </c>
      <c r="G380" s="73" t="n">
        <f aca="false">F380*(1+Rend_PG/4)*IF(G359=1,(1-(Cap_PG*$H$15+(1-Cap_PG)*$H$16))*(1+0*$H$14),1)-G384-G400*IF((G390+G391)&gt;0,G390/(G390+G391),0)+G405/2-G403*IF((F378+F379+F380+F381)&gt;0,F380/(F378+F379+F380+F381),0)</f>
        <v>10868334.5034675</v>
      </c>
      <c r="H380" s="73" t="n">
        <f aca="false">G380*(1+Rend_PG/4)*IF(H359=1,(1-(Cap_PG*$H$15+(1-Cap_PG)*$H$16))*(1+0*$H$14),1)-H384-H400*IF((H390+H391)&gt;0,H390/(H390+H391),0)+H405/2-H403*IF((G378+G379+G380+G381)&gt;0,G380/(G378+G379+G380+G381),0)</f>
        <v>10547990.3439778</v>
      </c>
      <c r="I380" s="73" t="n">
        <f aca="false">H380*(1+Rend_PG/4)*IF(I359=1,(1-(Cap_PG*$H$15+(1-Cap_PG)*$H$16))*(1+0*$H$14),1)-I384-I400*IF((I390+I391)&gt;0,I390/(I390+I391),0)+I405/2-I403*IF((H378+H379+H380+H381)&gt;0,H380/(H378+H379+H380+H381),0)</f>
        <v>10237088.3285891</v>
      </c>
      <c r="J380" s="73" t="n">
        <f aca="false">I380*(1+Rend_PG/4)*IF(J359=1,(1-(Cap_PG*$H$15+(1-Cap_PG)*$H$16))*(1+0*$H$14),1)-J384-J400*IF((J390+J391)&gt;0,J390/(J390+J391),0)+J405/2-J403*IF((I378+I379+I380+I381)&gt;0,I380/(I378+I379+I380+I381),0)</f>
        <v>9935350.1501039</v>
      </c>
      <c r="K380" s="73" t="n">
        <f aca="false">J380*(1+Rend_PG/4)*IF(K359=1,(1-(Cap_PG*$H$15+(1-Cap_PG)*$H$16))*(1+0*$H$14),1)-K384-K400*IF((K390+K391)&gt;0,K390/(K390+K391),0)+K405/2-K403*IF((J378+J379+J380+J381)&gt;0,J380/(J378+J379+J380+J381),0)</f>
        <v>9642505.70442959</v>
      </c>
      <c r="L380" s="73" t="n">
        <f aca="false">K380*(1+Rend_PG/4)*IF(L359=1,(1-(Cap_PG*$H$15+(1-Cap_PG)*$H$16))*(1+0*$H$14),1)-L384-L400*IF((L390+L391)&gt;0,L390/(L390+L391),0)+L405/2-L403*IF((K378+K379+K380+K381)&gt;0,K380/(K378+K379+K380+K381),0)</f>
        <v>9358292.84879153</v>
      </c>
      <c r="M380" s="73" t="n">
        <f aca="false">L380*(1+Rend_PG/4)*IF(M359=1,(1-(Cap_PG*$H$15+(1-Cap_PG)*$H$16))*(1+0*$H$14),1)-M384-M400*IF((M390+M391)&gt;0,M390/(M390+M391),0)+M405/2-M403*IF((L378+L379+L380+L381)&gt;0,L380/(L378+L379+L380+L381),0)</f>
        <v>9082457.1670734</v>
      </c>
      <c r="N380" s="73" t="n">
        <f aca="false">M380*(1+Rend_PG/4)*IF(N359=1,(1-(Cap_PG*$H$15+(1-Cap_PG)*$H$16))*(1+0*$H$14),1)-N384-N400*IF((N390+N391)&gt;0,N390/(N390+N391),0)+N405/2-N403*IF((M378+M379+M380+M381)&gt;0,M380/(M378+M379+M380+M381),0)</f>
        <v>8814751.74207391</v>
      </c>
      <c r="O380" s="73" t="n">
        <f aca="false">N380*(1+Rend_PG/4)*IF(O359=1,(1-(Cap_PG*$H$15+(1-Cap_PG)*$H$16))*(1+0*$H$14),1)-O384-O400*IF((O390+O391)&gt;0,O390/(O390+O391),0)+O405/2-O403*IF((N378+N379+N380+N381)&gt;0,N380/(N378+N379+N380+N381),0)</f>
        <v>8791520.48466003</v>
      </c>
    </row>
    <row r="381" customFormat="false" ht="15" hidden="false" customHeight="false" outlineLevel="0" collapsed="false">
      <c r="B381" s="65" t="s">
        <v>1038</v>
      </c>
      <c r="C381" s="73" t="n">
        <f aca="false">AN_cible*Ws_ARES</f>
        <v>12250000</v>
      </c>
      <c r="D381" s="73" t="n">
        <f aca="false">C381*(1+Rend_ARES/4)*IF(D359=1,(1-(Cap_ARES*$H$15+(1-Cap_ARES)*$H$16))*(1+0*$H$14),1)-D385-D400*IF((D390+D391)&gt;0,D391/(D390+D391),0)/(1-IF(D359&lt;=Deduc_trim,Deduc_ares,0))+D405/2-D403*IF((C378+C379+C380+C381)&gt;0,C381/(C378+C379+C380+C381),0)</f>
        <v>11727537.5</v>
      </c>
      <c r="E381" s="73" t="n">
        <f aca="false">D381*(1+Rend_ARES/4)*IF(E359=1,(1-(Cap_ARES*$H$15+(1-Cap_ARES)*$H$16))*(1+0*$H$14),1)-E385-E400*IF((E390+E391)&gt;0,E391/(E390+E391),0)/(1-IF(E359&lt;=Deduc_trim,Deduc_ares,0))+E405/2-E403*IF((D378+D379+D380+D381)&gt;0,D381/(D378+D379+D380+D381),0)</f>
        <v>11227358.025625</v>
      </c>
      <c r="F381" s="73" t="n">
        <f aca="false">E381*(1+Rend_ARES/4)*IF(F359=1,(1-(Cap_ARES*$H$15+(1-Cap_ARES)*$H$16))*(1+0*$H$14),1)-F385-F400*IF((F390+F391)&gt;0,F391/(F390+F391),0)/(1-IF(F359&lt;=Deduc_trim,Deduc_ares,0))+F405/2-F403*IF((E378+E379+E380+E381)&gt;0,E381/(E378+E379+E380+E381),0)</f>
        <v>10748511.2058321</v>
      </c>
      <c r="G381" s="73" t="n">
        <f aca="false">F381*(1+Rend_ARES/4)*IF(G359=1,(1-(Cap_ARES*$H$15+(1-Cap_ARES)*$H$16))*(1+0*$H$14),1)-G385-G400*IF((G390+G391)&gt;0,G391/(G390+G391),0)/(1-IF(G359&lt;=Deduc_trim,Deduc_ares,0))+G405/2-G403*IF((F378+F379+F380+F381)&gt;0,F381/(F378+F379+F380+F381),0)</f>
        <v>10290087.2029034</v>
      </c>
      <c r="H381" s="73" t="n">
        <f aca="false">G381*(1+Rend_ARES/4)*IF(H359=1,(1-(Cap_ARES*$H$15+(1-Cap_ARES)*$H$16))*(1+0*$H$14),1)-H385-H400*IF((H390+H391)&gt;0,H391/(H390+H391),0)/(1-IF(H359&lt;=Deduc_trim,Deduc_ares,0))+H405/2-H403*IF((G378+G379+G380+G381)&gt;0,G381/(G378+G379+G380+G381),0)</f>
        <v>9851214.98369952</v>
      </c>
      <c r="I381" s="73" t="n">
        <f aca="false">H381*(1+Rend_ARES/4)*IF(I359=1,(1-(Cap_ARES*$H$15+(1-Cap_ARES)*$H$16))*(1+0*$H$14),1)-I385-I400*IF((I390+I391)&gt;0,I391/(I390+I391),0)/(1-IF(I359&lt;=Deduc_trim,Deduc_ares,0))+I405/2-I403*IF((H378+H379+H380+H381)&gt;0,H381/(H378+H379+H380+H381),0)</f>
        <v>9431060.66464474</v>
      </c>
      <c r="J381" s="73" t="n">
        <f aca="false">I381*(1+Rend_ARES/4)*IF(J359=1,(1-(Cap_ARES*$H$15+(1-Cap_ARES)*$H$16))*(1+0*$H$14),1)-J385-J400*IF((J390+J391)&gt;0,J391/(J390+J391),0)/(1-IF(J359&lt;=Deduc_trim,Deduc_ares,0))+J405/2-J403*IF((I378+I379+I380+I381)&gt;0,I381/(I378+I379+I380+I381),0)</f>
        <v>9028825.92729764</v>
      </c>
      <c r="K381" s="73" t="n">
        <f aca="false">J381*(1+Rend_ARES/4)*IF(K359=1,(1-(Cap_ARES*$H$15+(1-Cap_ARES)*$H$16))*(1+0*$H$14),1)-K385-K400*IF((K390+K391)&gt;0,K391/(K390+K391),0)/(1-IF(K359&lt;=Deduc_trim,Deduc_ares,0))+K405/2-K403*IF((J378+J379+J380+J381)&gt;0,J381/(J378+J379+J380+J381),0)</f>
        <v>8643746.5014984</v>
      </c>
      <c r="L381" s="73" t="n">
        <f aca="false">K381*(1+Rend_ARES/4)*IF(L359=1,(1-(Cap_ARES*$H$15+(1-Cap_ARES)*$H$16))*(1+0*$H$14),1)-L385-L400*IF((L390+L391)&gt;0,L391/(L390+L391),0)/(1-IF(L359&lt;=Deduc_trim,Deduc_ares,0))+L405/2-L403*IF((K378+K379+K380+K381)&gt;0,K381/(K378+K379+K380+K381),0)</f>
        <v>8275090.71320949</v>
      </c>
      <c r="M381" s="73" t="n">
        <f aca="false">L381*(1+Rend_ARES/4)*IF(M359=1,(1-(Cap_ARES*$H$15+(1-Cap_ARES)*$H$16))*(1+0*$H$14),1)-M385-M400*IF((M390+M391)&gt;0,M391/(M390+M391),0)/(1-IF(M359&lt;=Deduc_trim,Deduc_ares,0))+M405/2-M403*IF((L378+L379+L380+L381)&gt;0,L381/(L378+L379+L380+L381),0)</f>
        <v>7922158.0942911</v>
      </c>
      <c r="N381" s="73" t="n">
        <f aca="false">M381*(1+Rend_ARES/4)*IF(N359=1,(1-(Cap_ARES*$H$15+(1-Cap_ARES)*$H$16))*(1+0*$H$14),1)-N385-N400*IF((N390+N391)&gt;0,N391/(N390+N391),0)/(1-IF(N359&lt;=Deduc_trim,Deduc_ares,0))+N405/2-N403*IF((M378+M379+M380+M381)&gt;0,M381/(M378+M379+M380+M381),0)</f>
        <v>7584278.05156959</v>
      </c>
      <c r="O381" s="73" t="n">
        <f aca="false">N381*(1+Rend_ARES/4)*IF(O359=1,(1-(Cap_ARES*$H$15+(1-Cap_ARES)*$H$16))*(1+0*$H$14),1)-O385-O400*IF((O390+O391)&gt;0,O391/(O390+O391),0)/(1-IF(O359&lt;=Deduc_trim,Deduc_ares,0))+O405/2-O403*IF((N378+N379+N380+N381)&gt;0,N381/(N378+N379+N380+N381),0)</f>
        <v>7464366.84133375</v>
      </c>
    </row>
    <row r="382" customFormat="false" ht="15" hidden="false" customHeight="false" outlineLevel="0" collapsed="false">
      <c r="B382" s="65" t="s">
        <v>1039</v>
      </c>
      <c r="C382" s="25"/>
      <c r="D382" s="73" t="n">
        <f aca="false">C378*Dist_MAPIF/4*IF(D359&lt;=$H$11,0,$H$10)</f>
        <v>187500</v>
      </c>
      <c r="E382" s="73" t="n">
        <f aca="false">D378*Dist_MAPIF/4*IF(E359&lt;=$H$11,0,$H$10)</f>
        <v>227415.703125</v>
      </c>
      <c r="F382" s="73" t="n">
        <f aca="false">E378*Dist_MAPIF/4*IF(F359&lt;=$H$11,0,$H$10)</f>
        <v>238875.614431641</v>
      </c>
      <c r="G382" s="73" t="n">
        <f aca="false">F378*Dist_MAPIF/4*IF(G359&lt;=$H$11,0,$H$10)</f>
        <v>250424.053553125</v>
      </c>
      <c r="H382" s="73" t="n">
        <f aca="false">G378*Dist_MAPIF/4*IF(H359&lt;=$H$11,0,$H$10)</f>
        <v>262061.704366823</v>
      </c>
      <c r="I382" s="73" t="n">
        <f aca="false">H378*Dist_MAPIF/4*IF(I359&lt;=$H$11,0,$H$10)</f>
        <v>270554.881033057</v>
      </c>
      <c r="J382" s="73" t="n">
        <f aca="false">I378*Dist_MAPIF/4*IF(J359&lt;=$H$11,0,$H$10)</f>
        <v>279113.667489037</v>
      </c>
      <c r="K382" s="73" t="n">
        <f aca="false">J378*Dist_MAPIF/4*IF(K359&lt;=$H$11,0,$H$10)</f>
        <v>287738.57057039</v>
      </c>
      <c r="L382" s="73" t="n">
        <f aca="false">K378*Dist_MAPIF/4*IF(L359&lt;=$H$11,0,$H$10)</f>
        <v>296430.101028046</v>
      </c>
      <c r="M382" s="73" t="n">
        <f aca="false">L378*Dist_MAPIF/4*IF(M359&lt;=$H$11,0,$H$10)</f>
        <v>305188.773558488</v>
      </c>
      <c r="N382" s="73" t="n">
        <f aca="false">M378*Dist_MAPIF/4*IF(N359&lt;=$H$11,0,$H$10)</f>
        <v>314015.106834227</v>
      </c>
      <c r="O382" s="73" t="n">
        <f aca="false">N378*Dist_MAPIF/4*IF(O359&lt;=$H$11,0,$H$10)</f>
        <v>316440.873534522</v>
      </c>
    </row>
    <row r="383" customFormat="false" ht="15" hidden="false" customHeight="false" outlineLevel="0" collapsed="false">
      <c r="B383" s="65" t="s">
        <v>1040</v>
      </c>
      <c r="C383" s="25"/>
      <c r="D383" s="73" t="n">
        <f aca="false">C379*Dist_MSIG/4*IF(D359&lt;=$H$11,0,$H$10)</f>
        <v>96250</v>
      </c>
      <c r="E383" s="73" t="n">
        <f aca="false">D379*Dist_MSIG/4*IF(E359&lt;=$H$11,0,$H$10)</f>
        <v>103219.15625</v>
      </c>
      <c r="F383" s="73" t="n">
        <f aca="false">E379*Dist_MSIG/4*IF(F359&lt;=$H$11,0,$H$10)</f>
        <v>110217.757185156</v>
      </c>
      <c r="G383" s="73" t="n">
        <f aca="false">F379*Dist_MSIG/4*IF(G359&lt;=$H$11,0,$H$10)</f>
        <v>117245.927209264</v>
      </c>
      <c r="H383" s="73" t="n">
        <f aca="false">G379*Dist_MSIG/4*IF(H359&lt;=$H$11,0,$H$10)</f>
        <v>124303.791251723</v>
      </c>
      <c r="I383" s="73" t="n">
        <f aca="false">H379*Dist_MSIG/4*IF(I359&lt;=$H$11,0,$H$10)</f>
        <v>129203.974769761</v>
      </c>
      <c r="J383" s="73" t="n">
        <f aca="false">I379*Dist_MSIG/4*IF(J359&lt;=$H$11,0,$H$10)</f>
        <v>134124.861563163</v>
      </c>
      <c r="K383" s="73" t="n">
        <f aca="false">J379*Dist_MSIG/4*IF(K359&lt;=$H$11,0,$H$10)</f>
        <v>139066.539103268</v>
      </c>
      <c r="L383" s="73" t="n">
        <f aca="false">K379*Dist_MSIG/4*IF(L359&lt;=$H$11,0,$H$10)</f>
        <v>144029.095230979</v>
      </c>
      <c r="M383" s="73" t="n">
        <f aca="false">L379*Dist_MSIG/4*IF(M359&lt;=$H$11,0,$H$10)</f>
        <v>149012.61815833</v>
      </c>
      <c r="N383" s="73" t="n">
        <f aca="false">M379*Dist_MSIG/4*IF(N359&lt;=$H$11,0,$H$10)</f>
        <v>154017.196470049</v>
      </c>
      <c r="O383" s="73" t="n">
        <f aca="false">N379*Dist_MSIG/4*IF(O359&lt;=$H$11,0,$H$10)</f>
        <v>154667.919125135</v>
      </c>
    </row>
    <row r="384" customFormat="false" ht="15" hidden="false" customHeight="false" outlineLevel="0" collapsed="false">
      <c r="B384" s="65" t="s">
        <v>1041</v>
      </c>
      <c r="C384" s="25"/>
      <c r="D384" s="73" t="n">
        <f aca="false">C380*Dist_PG/4*IF(D359&lt;=$H$11,0,$H$10)</f>
        <v>61250</v>
      </c>
      <c r="E384" s="73" t="n">
        <f aca="false">D380*Dist_PG/4*IF(E359&lt;=$H$11,0,$H$10)</f>
        <v>59444.65625</v>
      </c>
      <c r="F384" s="73" t="n">
        <f aca="false">E380*Dist_PG/4*IF(F359&lt;=$H$11,0,$H$10)</f>
        <v>57692.5250070313</v>
      </c>
      <c r="G384" s="73" t="n">
        <f aca="false">F380*Dist_PG/4*IF(G359&lt;=$H$11,0,$H$10)</f>
        <v>55992.037832449</v>
      </c>
      <c r="H384" s="73" t="n">
        <f aca="false">G380*Dist_PG/4*IF(H359&lt;=$H$11,0,$H$10)</f>
        <v>54341.6725173376</v>
      </c>
      <c r="I384" s="73" t="n">
        <f aca="false">H380*Dist_PG/4*IF(I359&lt;=$H$11,0,$H$10)</f>
        <v>52739.9517198891</v>
      </c>
      <c r="J384" s="73" t="n">
        <f aca="false">I380*Dist_PG/4*IF(J359&lt;=$H$11,0,$H$10)</f>
        <v>51185.4416429453</v>
      </c>
      <c r="K384" s="73" t="n">
        <f aca="false">J380*Dist_PG/4*IF(K359&lt;=$H$11,0,$H$10)</f>
        <v>49676.7507505195</v>
      </c>
      <c r="L384" s="73" t="n">
        <f aca="false">K380*Dist_PG/4*IF(L359&lt;=$H$11,0,$H$10)</f>
        <v>48212.528522148</v>
      </c>
      <c r="M384" s="73" t="n">
        <f aca="false">L380*Dist_PG/4*IF(M359&lt;=$H$11,0,$H$10)</f>
        <v>46791.4642439576</v>
      </c>
      <c r="N384" s="73" t="n">
        <f aca="false">M380*Dist_PG/4*IF(N359&lt;=$H$11,0,$H$10)</f>
        <v>45412.285835367</v>
      </c>
      <c r="O384" s="73" t="n">
        <f aca="false">N380*Dist_PG/4*IF(O359&lt;=$H$11,0,$H$10)</f>
        <v>44073.7587103696</v>
      </c>
    </row>
    <row r="385" customFormat="false" ht="15" hidden="false" customHeight="false" outlineLevel="0" collapsed="false">
      <c r="B385" s="65" t="s">
        <v>1042</v>
      </c>
      <c r="C385" s="25"/>
      <c r="D385" s="73" t="n">
        <f aca="false">C381*Dist_ARES/4*IF(D359&lt;=$H$11,0,$H$10)</f>
        <v>153125</v>
      </c>
      <c r="E385" s="73" t="n">
        <f aca="false">D381*Dist_ARES/4*IF(E359&lt;=$H$11,0,$H$10)</f>
        <v>146594.21875</v>
      </c>
      <c r="F385" s="73" t="n">
        <f aca="false">E381*Dist_ARES/4*IF(F359&lt;=$H$11,0,$H$10)</f>
        <v>140341.975320313</v>
      </c>
      <c r="G385" s="73" t="n">
        <f aca="false">F381*Dist_ARES/4*IF(G359&lt;=$H$11,0,$H$10)</f>
        <v>134356.390072901</v>
      </c>
      <c r="H385" s="73" t="n">
        <f aca="false">G381*Dist_ARES/4*IF(H359&lt;=$H$11,0,$H$10)</f>
        <v>128626.090036292</v>
      </c>
      <c r="I385" s="73" t="n">
        <f aca="false">H381*Dist_ARES/4*IF(I359&lt;=$H$11,0,$H$10)</f>
        <v>123140.187296244</v>
      </c>
      <c r="J385" s="73" t="n">
        <f aca="false">I381*Dist_ARES/4*IF(J359&lt;=$H$11,0,$H$10)</f>
        <v>117888.258308059</v>
      </c>
      <c r="K385" s="73" t="n">
        <f aca="false">J381*Dist_ARES/4*IF(K359&lt;=$H$11,0,$H$10)</f>
        <v>112860.324091221</v>
      </c>
      <c r="L385" s="73" t="n">
        <f aca="false">K381*Dist_ARES/4*IF(L359&lt;=$H$11,0,$H$10)</f>
        <v>108046.83126873</v>
      </c>
      <c r="M385" s="73" t="n">
        <f aca="false">L381*Dist_ARES/4*IF(M359&lt;=$H$11,0,$H$10)</f>
        <v>103438.633915119</v>
      </c>
      <c r="N385" s="73" t="n">
        <f aca="false">M381*Dist_ARES/4*IF(N359&lt;=$H$11,0,$H$10)</f>
        <v>99026.9761786388</v>
      </c>
      <c r="O385" s="73" t="n">
        <f aca="false">N381*Dist_ARES/4*IF(O359&lt;=$H$11,0,$H$10)</f>
        <v>94803.4756446198</v>
      </c>
    </row>
    <row r="386" customFormat="false" ht="15" hidden="false" customHeight="false" outlineLevel="0" collapsed="false">
      <c r="B386" s="65" t="s">
        <v>1043</v>
      </c>
      <c r="C386" s="73" t="n">
        <f aca="false">AN_cible*$H$12*Part_MAPIF_NA</f>
        <v>4500000</v>
      </c>
      <c r="D386" s="73" t="n">
        <f aca="false">C386*IF(D359=1,1+$H$14,1)-D388</f>
        <v>4528125</v>
      </c>
      <c r="E386" s="73" t="n">
        <f aca="false">D386*IF(E359=1,1+$H$14,1)-E388</f>
        <v>3881250</v>
      </c>
      <c r="F386" s="73" t="n">
        <f aca="false">E386*IF(F359=1,1+$H$14,1)-F388</f>
        <v>3234375</v>
      </c>
      <c r="G386" s="73" t="n">
        <f aca="false">F386*IF(G359=1,1+$H$14,1)-G388</f>
        <v>2587500</v>
      </c>
      <c r="H386" s="73" t="n">
        <f aca="false">G386*IF(H359=1,1+$H$14,1)-H388</f>
        <v>2156250</v>
      </c>
      <c r="I386" s="73" t="n">
        <f aca="false">H386*IF(I359=1,1+$H$14,1)-I388</f>
        <v>1725000</v>
      </c>
      <c r="J386" s="73" t="n">
        <f aca="false">I386*IF(J359=1,1+$H$14,1)-J388</f>
        <v>1293750</v>
      </c>
      <c r="K386" s="73" t="n">
        <f aca="false">J386*IF(K359=1,1+$H$14,1)-K388</f>
        <v>862500</v>
      </c>
      <c r="L386" s="73" t="n">
        <f aca="false">K386*IF(L359=1,1+$H$14,1)-L388</f>
        <v>431250</v>
      </c>
      <c r="M386" s="73" t="n">
        <f aca="false">L386*IF(M359=1,1+$H$14,1)-M388</f>
        <v>0</v>
      </c>
      <c r="N386" s="73" t="n">
        <f aca="false">M386*IF(N359=1,1+$H$14,1)-N388</f>
        <v>0</v>
      </c>
      <c r="O386" s="73" t="n">
        <f aca="false">N386*IF(O359=1,1+$H$14,1)-O388</f>
        <v>0</v>
      </c>
    </row>
    <row r="387" customFormat="false" ht="15" hidden="false" customHeight="false" outlineLevel="0" collapsed="false">
      <c r="B387" s="65" t="s">
        <v>1044</v>
      </c>
      <c r="C387" s="73" t="n">
        <f aca="false">AN_cible*$H$12*(1-Part_MAPIF_NA)</f>
        <v>3000000</v>
      </c>
      <c r="D387" s="73" t="n">
        <f aca="false">C387*IF(D359=1,1+MSIG_USD*$H$14,1)-D389</f>
        <v>2625000</v>
      </c>
      <c r="E387" s="73" t="n">
        <f aca="false">D387*IF(E359=1,1+MSIG_USD*$H$14,1)-E389</f>
        <v>2250000</v>
      </c>
      <c r="F387" s="73" t="n">
        <f aca="false">E387*IF(F359=1,1+MSIG_USD*$H$14,1)-F389</f>
        <v>1875000</v>
      </c>
      <c r="G387" s="73" t="n">
        <f aca="false">F387*IF(G359=1,1+MSIG_USD*$H$14,1)-G389</f>
        <v>1500000</v>
      </c>
      <c r="H387" s="73" t="n">
        <f aca="false">G387*IF(H359=1,1+MSIG_USD*$H$14,1)-H389</f>
        <v>1250000</v>
      </c>
      <c r="I387" s="73" t="n">
        <f aca="false">H387*IF(I359=1,1+MSIG_USD*$H$14,1)-I389</f>
        <v>1000000</v>
      </c>
      <c r="J387" s="73" t="n">
        <f aca="false">I387*IF(J359=1,1+MSIG_USD*$H$14,1)-J389</f>
        <v>750000</v>
      </c>
      <c r="K387" s="73" t="n">
        <f aca="false">J387*IF(K359=1,1+MSIG_USD*$H$14,1)-K389</f>
        <v>500000</v>
      </c>
      <c r="L387" s="73" t="n">
        <f aca="false">K387*IF(L359=1,1+MSIG_USD*$H$14,1)-L389</f>
        <v>250000</v>
      </c>
      <c r="M387" s="73" t="n">
        <f aca="false">L387*IF(M359=1,1+MSIG_USD*$H$14,1)-M389</f>
        <v>0</v>
      </c>
      <c r="N387" s="73" t="n">
        <f aca="false">M387*IF(N359=1,1+MSIG_USD*$H$14,1)-N389</f>
        <v>0</v>
      </c>
      <c r="O387" s="73" t="n">
        <f aca="false">N387*IF(O359=1,1+MSIG_USD*$H$14,1)-O389</f>
        <v>0</v>
      </c>
    </row>
    <row r="388" customFormat="false" ht="15" hidden="false" customHeight="false" outlineLevel="0" collapsed="false">
      <c r="B388" s="65" t="s">
        <v>1045</v>
      </c>
      <c r="C388" s="25"/>
      <c r="D388" s="73" t="n">
        <f aca="false">MIN(C386*IF(D359=1,1+$H$14,1),$C386*(1+$H$14)*IF(D359&lt;=4,$H$13/4,Appels_base))</f>
        <v>646875</v>
      </c>
      <c r="E388" s="73" t="n">
        <f aca="false">MIN(D386*IF(E359=1,1+$H$14,1),$C386*(1+$H$14)*IF(E359&lt;=4,$H$13/4,Appels_base))</f>
        <v>646875</v>
      </c>
      <c r="F388" s="73" t="n">
        <f aca="false">MIN(E386*IF(F359=1,1+$H$14,1),$C386*(1+$H$14)*IF(F359&lt;=4,$H$13/4,Appels_base))</f>
        <v>646875</v>
      </c>
      <c r="G388" s="73" t="n">
        <f aca="false">MIN(F386*IF(G359=1,1+$H$14,1),$C386*(1+$H$14)*IF(G359&lt;=4,$H$13/4,Appels_base))</f>
        <v>646875</v>
      </c>
      <c r="H388" s="73" t="n">
        <f aca="false">MIN(G386*IF(H359=1,1+$H$14,1),$C386*(1+$H$14)*IF(H359&lt;=4,$H$13/4,Appels_base))</f>
        <v>431250</v>
      </c>
      <c r="I388" s="73" t="n">
        <f aca="false">MIN(H386*IF(I359=1,1+$H$14,1),$C386*(1+$H$14)*IF(I359&lt;=4,$H$13/4,Appels_base))</f>
        <v>431250</v>
      </c>
      <c r="J388" s="73" t="n">
        <f aca="false">MIN(I386*IF(J359=1,1+$H$14,1),$C386*(1+$H$14)*IF(J359&lt;=4,$H$13/4,Appels_base))</f>
        <v>431250</v>
      </c>
      <c r="K388" s="73" t="n">
        <f aca="false">MIN(J386*IF(K359=1,1+$H$14,1),$C386*(1+$H$14)*IF(K359&lt;=4,$H$13/4,Appels_base))</f>
        <v>431250</v>
      </c>
      <c r="L388" s="73" t="n">
        <f aca="false">MIN(K386*IF(L359=1,1+$H$14,1),$C386*(1+$H$14)*IF(L359&lt;=4,$H$13/4,Appels_base))</f>
        <v>431250</v>
      </c>
      <c r="M388" s="73" t="n">
        <f aca="false">MIN(L386*IF(M359=1,1+$H$14,1),$C386*(1+$H$14)*IF(M359&lt;=4,$H$13/4,Appels_base))</f>
        <v>431250</v>
      </c>
      <c r="N388" s="73" t="n">
        <f aca="false">MIN(M386*IF(N359=1,1+$H$14,1),$C386*(1+$H$14)*IF(N359&lt;=4,$H$13/4,Appels_base))</f>
        <v>0</v>
      </c>
      <c r="O388" s="73" t="n">
        <f aca="false">MIN(N386*IF(O359=1,1+$H$14,1),$C386*(1+$H$14)*IF(O359&lt;=4,$H$13/4,Appels_base))</f>
        <v>0</v>
      </c>
    </row>
    <row r="389" customFormat="false" ht="15" hidden="false" customHeight="false" outlineLevel="0" collapsed="false">
      <c r="B389" s="65" t="s">
        <v>1046</v>
      </c>
      <c r="C389" s="25"/>
      <c r="D389" s="73" t="n">
        <f aca="false">MIN(C387*IF(D359=1,1+MSIG_USD*$H$14,1),$C387*(1+MSIG_USD*$H$14)*IF(D359&lt;=4,$H$13/4,Appels_base))</f>
        <v>375000</v>
      </c>
      <c r="E389" s="73" t="n">
        <f aca="false">MIN(D387*IF(E359=1,1+MSIG_USD*$H$14,1),$C387*(1+MSIG_USD*$H$14)*IF(E359&lt;=4,$H$13/4,Appels_base))</f>
        <v>375000</v>
      </c>
      <c r="F389" s="73" t="n">
        <f aca="false">MIN(E387*IF(F359=1,1+MSIG_USD*$H$14,1),$C387*(1+MSIG_USD*$H$14)*IF(F359&lt;=4,$H$13/4,Appels_base))</f>
        <v>375000</v>
      </c>
      <c r="G389" s="73" t="n">
        <f aca="false">MIN(F387*IF(G359=1,1+MSIG_USD*$H$14,1),$C387*(1+MSIG_USD*$H$14)*IF(G359&lt;=4,$H$13/4,Appels_base))</f>
        <v>375000</v>
      </c>
      <c r="H389" s="73" t="n">
        <f aca="false">MIN(G387*IF(H359=1,1+MSIG_USD*$H$14,1),$C387*(1+MSIG_USD*$H$14)*IF(H359&lt;=4,$H$13/4,Appels_base))</f>
        <v>250000</v>
      </c>
      <c r="I389" s="73" t="n">
        <f aca="false">MIN(H387*IF(I359=1,1+MSIG_USD*$H$14,1),$C387*(1+MSIG_USD*$H$14)*IF(I359&lt;=4,$H$13/4,Appels_base))</f>
        <v>250000</v>
      </c>
      <c r="J389" s="73" t="n">
        <f aca="false">MIN(I387*IF(J359=1,1+MSIG_USD*$H$14,1),$C387*(1+MSIG_USD*$H$14)*IF(J359&lt;=4,$H$13/4,Appels_base))</f>
        <v>250000</v>
      </c>
      <c r="K389" s="73" t="n">
        <f aca="false">MIN(J387*IF(K359=1,1+MSIG_USD*$H$14,1),$C387*(1+MSIG_USD*$H$14)*IF(K359&lt;=4,$H$13/4,Appels_base))</f>
        <v>250000</v>
      </c>
      <c r="L389" s="73" t="n">
        <f aca="false">MIN(K387*IF(L359=1,1+MSIG_USD*$H$14,1),$C387*(1+MSIG_USD*$H$14)*IF(L359&lt;=4,$H$13/4,Appels_base))</f>
        <v>250000</v>
      </c>
      <c r="M389" s="73" t="n">
        <f aca="false">MIN(L387*IF(M359=1,1+MSIG_USD*$H$14,1),$C387*(1+MSIG_USD*$H$14)*IF(M359&lt;=4,$H$13/4,Appels_base))</f>
        <v>250000</v>
      </c>
      <c r="N389" s="73" t="n">
        <f aca="false">MIN(M387*IF(N359=1,1+MSIG_USD*$H$14,1),$C387*(1+MSIG_USD*$H$14)*IF(N359&lt;=4,$H$13/4,Appels_base))</f>
        <v>0</v>
      </c>
      <c r="O389" s="73" t="n">
        <f aca="false">MIN(N387*IF(O359=1,1+MSIG_USD*$H$14,1),$C387*(1+MSIG_USD*$H$14)*IF(O359&lt;=4,$H$13/4,Appels_base))</f>
        <v>0</v>
      </c>
    </row>
    <row r="390" customFormat="false" ht="15" hidden="false" customHeight="false" outlineLevel="0" collapsed="false">
      <c r="B390" s="65" t="s">
        <v>1047</v>
      </c>
      <c r="C390" s="25"/>
      <c r="D390" s="73" t="n">
        <f aca="false">C380*Capacite_evg*IF(D359&lt;=4,$H$17,$H$18)</f>
        <v>612500</v>
      </c>
      <c r="E390" s="73" t="n">
        <f aca="false">D380*Capacite_evg*IF(E359&lt;=4,$H$17,$H$18)</f>
        <v>594446.5625</v>
      </c>
      <c r="F390" s="73" t="n">
        <f aca="false">E380*Capacite_evg*IF(F359&lt;=4,$H$17,$H$18)</f>
        <v>576925.250070313</v>
      </c>
      <c r="G390" s="73" t="n">
        <f aca="false">F380*Capacite_evg*IF(G359&lt;=4,$H$17,$H$18)</f>
        <v>559920.37832449</v>
      </c>
      <c r="H390" s="73" t="n">
        <f aca="false">G380*Capacite_evg*IF(H359&lt;=4,$H$17,$H$18)</f>
        <v>543416.725173376</v>
      </c>
      <c r="I390" s="73" t="n">
        <f aca="false">H380*Capacite_evg*IF(I359&lt;=4,$H$17,$H$18)</f>
        <v>527399.517198891</v>
      </c>
      <c r="J390" s="73" t="n">
        <f aca="false">I380*Capacite_evg*IF(J359&lt;=4,$H$17,$H$18)</f>
        <v>511854.416429453</v>
      </c>
      <c r="K390" s="73" t="n">
        <f aca="false">J380*Capacite_evg*IF(K359&lt;=4,$H$17,$H$18)</f>
        <v>496767.507505195</v>
      </c>
      <c r="L390" s="73" t="n">
        <f aca="false">K380*Capacite_evg*IF(L359&lt;=4,$H$17,$H$18)</f>
        <v>482125.28522148</v>
      </c>
      <c r="M390" s="73" t="n">
        <f aca="false">L380*Capacite_evg*IF(M359&lt;=4,$H$17,$H$18)</f>
        <v>467914.642439576</v>
      </c>
      <c r="N390" s="73" t="n">
        <f aca="false">M380*Capacite_evg*IF(N359&lt;=4,$H$17,$H$18)</f>
        <v>454122.85835367</v>
      </c>
      <c r="O390" s="73" t="n">
        <f aca="false">N380*Capacite_evg*IF(O359&lt;=4,$H$17,$H$18)</f>
        <v>440737.587103696</v>
      </c>
    </row>
    <row r="391" customFormat="false" ht="15" hidden="false" customHeight="false" outlineLevel="0" collapsed="false">
      <c r="B391" s="65" t="s">
        <v>1048</v>
      </c>
      <c r="C391" s="25"/>
      <c r="D391" s="73" t="n">
        <f aca="false">C381*Capacite_evg*IF(D359&lt;=4,$H$17,$H$19)*(1-IF(D359&lt;=Deduc_trim,Deduc_ares,0))</f>
        <v>581875</v>
      </c>
      <c r="E391" s="73" t="n">
        <f aca="false">D381*Capacite_evg*IF(E359&lt;=4,$H$17,$H$19)*(1-IF(E359&lt;=Deduc_trim,Deduc_ares,0))</f>
        <v>557058.03125</v>
      </c>
      <c r="F391" s="73" t="n">
        <f aca="false">E381*Capacite_evg*IF(F359&lt;=4,$H$17,$H$19)*(1-IF(F359&lt;=Deduc_trim,Deduc_ares,0))</f>
        <v>533299.506217187</v>
      </c>
      <c r="G391" s="73" t="n">
        <f aca="false">F381*Capacite_evg*IF(G359&lt;=4,$H$17,$H$19)*(1-IF(G359&lt;=Deduc_trim,Deduc_ares,0))</f>
        <v>510554.282277024</v>
      </c>
      <c r="H391" s="73" t="n">
        <f aca="false">G381*Capacite_evg*IF(H359&lt;=4,$H$17,$H$19)*(1-IF(H359&lt;=Deduc_trim,Deduc_ares,0))</f>
        <v>514504.360145168</v>
      </c>
      <c r="I391" s="73" t="n">
        <f aca="false">H381*Capacite_evg*IF(I359&lt;=4,$H$17,$H$19)*(1-IF(I359&lt;=Deduc_trim,Deduc_ares,0))</f>
        <v>492560.749184976</v>
      </c>
      <c r="J391" s="73" t="n">
        <f aca="false">I381*Capacite_evg*IF(J359&lt;=4,$H$17,$H$19)*(1-IF(J359&lt;=Deduc_trim,Deduc_ares,0))</f>
        <v>471553.033232237</v>
      </c>
      <c r="K391" s="73" t="n">
        <f aca="false">J381*Capacite_evg*IF(K359&lt;=4,$H$17,$H$19)*(1-IF(K359&lt;=Deduc_trim,Deduc_ares,0))</f>
        <v>451441.296364882</v>
      </c>
      <c r="L391" s="73" t="n">
        <f aca="false">K381*Capacite_evg*IF(L359&lt;=4,$H$17,$H$19)*(1-IF(L359&lt;=Deduc_trim,Deduc_ares,0))</f>
        <v>432187.32507492</v>
      </c>
      <c r="M391" s="73" t="n">
        <f aca="false">L381*Capacite_evg*IF(M359&lt;=4,$H$17,$H$19)*(1-IF(M359&lt;=Deduc_trim,Deduc_ares,0))</f>
        <v>413754.535660474</v>
      </c>
      <c r="N391" s="73" t="n">
        <f aca="false">M381*Capacite_evg*IF(N359&lt;=4,$H$17,$H$19)*(1-IF(N359&lt;=Deduc_trim,Deduc_ares,0))</f>
        <v>396107.904714555</v>
      </c>
      <c r="O391" s="73" t="n">
        <f aca="false">N381*Capacite_evg*IF(O359&lt;=4,$H$17,$H$19)*(1-IF(O359&lt;=Deduc_trim,Deduc_ares,0))</f>
        <v>379213.902578479</v>
      </c>
    </row>
    <row r="392" customFormat="false" ht="15" hidden="false" customHeight="false" outlineLevel="0" collapsed="false">
      <c r="B392" s="65" t="s">
        <v>1049</v>
      </c>
      <c r="C392" s="25"/>
      <c r="D392" s="73" t="n">
        <f aca="false">C406</f>
        <v>7500000</v>
      </c>
      <c r="E392" s="73" t="n">
        <f aca="false">D406</f>
        <v>6842500</v>
      </c>
      <c r="F392" s="73" t="n">
        <f aca="false">E406</f>
        <v>7293977.6875</v>
      </c>
      <c r="G392" s="73" t="n">
        <f aca="false">F406</f>
        <v>6667966.69552656</v>
      </c>
      <c r="H392" s="73" t="n">
        <f aca="false">G406</f>
        <v>7056211.6084404</v>
      </c>
      <c r="I392" s="73" t="n">
        <f aca="false">H406</f>
        <v>6726605.08969023</v>
      </c>
      <c r="J392" s="73" t="n">
        <f aca="false">I406</f>
        <v>7420266.19890964</v>
      </c>
      <c r="K392" s="73" t="n">
        <f aca="false">J406</f>
        <v>7017105.77060884</v>
      </c>
      <c r="L392" s="73" t="n">
        <f aca="false">K406</f>
        <v>7651711.10707712</v>
      </c>
      <c r="M392" s="73" t="n">
        <f aca="false">L406</f>
        <v>7181060.36630748</v>
      </c>
      <c r="N392" s="73" t="n">
        <f aca="false">M406</f>
        <v>7762415.81698562</v>
      </c>
      <c r="O392" s="73" t="n">
        <f aca="false">N406</f>
        <v>7911074.38949337</v>
      </c>
    </row>
    <row r="393" customFormat="false" ht="15" hidden="false" customHeight="false" outlineLevel="0" collapsed="false">
      <c r="B393" s="65" t="s">
        <v>1050</v>
      </c>
      <c r="C393" s="25"/>
      <c r="D393" s="73" t="n">
        <f aca="false">D392*Taux_treso/4</f>
        <v>46875</v>
      </c>
      <c r="E393" s="73" t="n">
        <f aca="false">E392*Taux_treso/4</f>
        <v>42765.625</v>
      </c>
      <c r="F393" s="73" t="n">
        <f aca="false">F392*Taux_treso/4</f>
        <v>45587.360546875</v>
      </c>
      <c r="G393" s="73" t="n">
        <f aca="false">G392*Taux_treso/4</f>
        <v>41674.791847041</v>
      </c>
      <c r="H393" s="73" t="n">
        <f aca="false">H392*Taux_treso/4</f>
        <v>44101.3225527525</v>
      </c>
      <c r="I393" s="73" t="n">
        <f aca="false">I392*Taux_treso/4</f>
        <v>42041.281810564</v>
      </c>
      <c r="J393" s="73" t="n">
        <f aca="false">J392*Taux_treso/4</f>
        <v>46376.6637431852</v>
      </c>
      <c r="K393" s="73" t="n">
        <f aca="false">K392*Taux_treso/4</f>
        <v>43856.9110663052</v>
      </c>
      <c r="L393" s="73" t="n">
        <f aca="false">L392*Taux_treso/4</f>
        <v>47823.194419232</v>
      </c>
      <c r="M393" s="73" t="n">
        <f aca="false">M392*Taux_treso/4</f>
        <v>44881.6272894218</v>
      </c>
      <c r="N393" s="73" t="n">
        <f aca="false">N392*Taux_treso/4</f>
        <v>48515.0988561601</v>
      </c>
      <c r="O393" s="73" t="n">
        <f aca="false">O392*Taux_treso/4</f>
        <v>49444.2149343336</v>
      </c>
    </row>
    <row r="394" customFormat="false" ht="15" hidden="false" customHeight="false" outlineLevel="0" collapsed="false">
      <c r="B394" s="65" t="s">
        <v>1051</v>
      </c>
      <c r="C394" s="25"/>
      <c r="D394" s="73" t="n">
        <f aca="false">SUM(D382:D385)</f>
        <v>498125</v>
      </c>
      <c r="E394" s="73" t="n">
        <f aca="false">SUM(E382:E385)</f>
        <v>536673.734375</v>
      </c>
      <c r="F394" s="73" t="n">
        <f aca="false">SUM(F382:F385)</f>
        <v>547127.871944141</v>
      </c>
      <c r="G394" s="73" t="n">
        <f aca="false">SUM(G382:G385)</f>
        <v>558018.408667739</v>
      </c>
      <c r="H394" s="73" t="n">
        <f aca="false">SUM(H382:H385)</f>
        <v>569333.258172175</v>
      </c>
      <c r="I394" s="73" t="n">
        <f aca="false">SUM(I382:I385)</f>
        <v>575638.994818951</v>
      </c>
      <c r="J394" s="73" t="n">
        <f aca="false">SUM(J382:J385)</f>
        <v>582312.229003205</v>
      </c>
      <c r="K394" s="73" t="n">
        <f aca="false">SUM(K382:K385)</f>
        <v>589342.184515398</v>
      </c>
      <c r="L394" s="73" t="n">
        <f aca="false">SUM(L382:L385)</f>
        <v>596718.556049903</v>
      </c>
      <c r="M394" s="73" t="n">
        <f aca="false">SUM(M382:M385)</f>
        <v>604431.489875894</v>
      </c>
      <c r="N394" s="73" t="n">
        <f aca="false">SUM(N382:N385)</f>
        <v>612471.565318282</v>
      </c>
      <c r="O394" s="73" t="n">
        <f aca="false">SUM(O382:O385)</f>
        <v>609986.027014646</v>
      </c>
    </row>
    <row r="395" customFormat="false" ht="15" hidden="false" customHeight="false" outlineLevel="0" collapsed="false">
      <c r="B395" s="65" t="s">
        <v>1052</v>
      </c>
      <c r="C395" s="25"/>
      <c r="D395" s="73" t="n">
        <f aca="false">IF(AND(Distrib_tension=1,OR(D367&gt;0.000001,C409&lt;Liq_min,C373=1)),0,MIN(Dist_porteurs/4*Part_d*D364,D394))</f>
        <v>125000</v>
      </c>
      <c r="E395" s="73" t="n">
        <f aca="false">IF(AND(Distrib_tension=1,OR(E367&gt;0.000001,D409&lt;Liq_min,D373=1)),0,MIN(Dist_porteurs/4*Part_d*E364,E394))</f>
        <v>0</v>
      </c>
      <c r="F395" s="73" t="n">
        <f aca="false">IF(AND(Distrib_tension=1,OR(F367&gt;0.000001,E409&lt;Liq_min,E373=1)),0,MIN(Dist_porteurs/4*Part_d*F364,F394))</f>
        <v>0</v>
      </c>
      <c r="G395" s="73" t="n">
        <f aca="false">IF(AND(Distrib_tension=1,OR(G367&gt;0.000001,F409&lt;Liq_min,F373=1)),0,MIN(Dist_porteurs/4*Part_d*G364,G394))</f>
        <v>0</v>
      </c>
      <c r="H395" s="73" t="n">
        <f aca="false">IF(AND(Distrib_tension=1,OR(H367&gt;0.000001,G409&lt;Liq_min,G373=1)),0,MIN(Dist_porteurs/4*Part_d*H364,H394))</f>
        <v>0</v>
      </c>
      <c r="I395" s="73" t="n">
        <f aca="false">IF(AND(Distrib_tension=1,OR(I367&gt;0.000001,H409&lt;Liq_min,H373=1)),0,MIN(Dist_porteurs/4*Part_d*I364,I394))</f>
        <v>0</v>
      </c>
      <c r="J395" s="73" t="n">
        <f aca="false">IF(AND(Distrib_tension=1,OR(J367&gt;0.000001,I409&lt;Liq_min,I373=1)),0,MIN(Dist_porteurs/4*Part_d*J364,J394))</f>
        <v>0</v>
      </c>
      <c r="K395" s="73" t="n">
        <f aca="false">IF(AND(Distrib_tension=1,OR(K367&gt;0.000001,J409&lt;Liq_min,J373=1)),0,MIN(Dist_porteurs/4*Part_d*K364,K394))</f>
        <v>0</v>
      </c>
      <c r="L395" s="73" t="n">
        <f aca="false">IF(AND(Distrib_tension=1,OR(L367&gt;0.000001,K409&lt;Liq_min,K373=1)),0,MIN(Dist_porteurs/4*Part_d*L364,L394))</f>
        <v>0</v>
      </c>
      <c r="M395" s="73" t="n">
        <f aca="false">IF(AND(Distrib_tension=1,OR(M367&gt;0.000001,L409&lt;Liq_min,L373=1)),0,MIN(Dist_porteurs/4*Part_d*M364,M394))</f>
        <v>0</v>
      </c>
      <c r="N395" s="73" t="n">
        <f aca="false">IF(AND(Distrib_tension=1,OR(N367&gt;0.000001,M409&lt;Liq_min,M373=1)),0,MIN(Dist_porteurs/4*Part_d*N364,N394))</f>
        <v>0</v>
      </c>
      <c r="O395" s="73" t="n">
        <f aca="false">IF(AND(Distrib_tension=1,OR(O367&gt;0.000001,N409&lt;Liq_min,N373=1)),0,MIN(Dist_porteurs/4*Part_d*O364,O394))</f>
        <v>0</v>
      </c>
    </row>
    <row r="396" customFormat="false" ht="15" hidden="false" customHeight="false" outlineLevel="0" collapsed="false">
      <c r="B396" s="65" t="s">
        <v>1053</v>
      </c>
      <c r="C396" s="25"/>
      <c r="D396" s="73" t="n">
        <f aca="false">D388+D389</f>
        <v>1021875</v>
      </c>
      <c r="E396" s="73" t="n">
        <f aca="false">E388+E389</f>
        <v>1021875</v>
      </c>
      <c r="F396" s="73" t="n">
        <f aca="false">F388+F389</f>
        <v>1021875</v>
      </c>
      <c r="G396" s="73" t="n">
        <f aca="false">G388+G389</f>
        <v>1021875</v>
      </c>
      <c r="H396" s="73" t="n">
        <f aca="false">H388+H389</f>
        <v>681250</v>
      </c>
      <c r="I396" s="73" t="n">
        <f aca="false">I388+I389</f>
        <v>681250</v>
      </c>
      <c r="J396" s="73" t="n">
        <f aca="false">J388+J389</f>
        <v>681250</v>
      </c>
      <c r="K396" s="73" t="n">
        <f aca="false">K388+K389</f>
        <v>681250</v>
      </c>
      <c r="L396" s="73" t="n">
        <f aca="false">L388+L389</f>
        <v>681250</v>
      </c>
      <c r="M396" s="73" t="n">
        <f aca="false">M388+M389</f>
        <v>681250</v>
      </c>
      <c r="N396" s="73" t="n">
        <f aca="false">N388+N389</f>
        <v>0</v>
      </c>
      <c r="O396" s="73" t="n">
        <f aca="false">O388+O389</f>
        <v>0</v>
      </c>
    </row>
    <row r="397" customFormat="false" ht="15" hidden="false" customHeight="false" outlineLevel="0" collapsed="false">
      <c r="B397" s="65" t="s">
        <v>1054</v>
      </c>
      <c r="C397" s="25"/>
      <c r="D397" s="73" t="n">
        <f aca="false">D364*Frais_an/4</f>
        <v>250000</v>
      </c>
      <c r="E397" s="73" t="n">
        <f aca="false">E364*Frais_an/4</f>
        <v>257591.265625</v>
      </c>
      <c r="F397" s="73" t="n">
        <f aca="false">F364*Frais_an/4</f>
        <v>261415.196150391</v>
      </c>
      <c r="G397" s="73" t="n">
        <f aca="false">G364*Frais_an/4</f>
        <v>260047.948202454</v>
      </c>
      <c r="H397" s="73" t="n">
        <f aca="false">H364*Frais_an/4</f>
        <v>263942.436958728</v>
      </c>
      <c r="I397" s="73" t="n">
        <f aca="false">I364*Frais_an/4</f>
        <v>262729.433793979</v>
      </c>
      <c r="J397" s="73" t="n">
        <f aca="false">J364*Frais_an/4</f>
        <v>266801.354141776</v>
      </c>
      <c r="K397" s="73" t="n">
        <f aca="false">K364*Frais_an/4</f>
        <v>265552.562983496</v>
      </c>
      <c r="L397" s="73" t="n">
        <f aca="false">L364*Frais_an/4</f>
        <v>269651.020307035</v>
      </c>
      <c r="M397" s="73" t="n">
        <f aca="false">M364*Frais_an/4</f>
        <v>268376.844587228</v>
      </c>
      <c r="N397" s="73" t="n">
        <f aca="false">N364*Frais_an/4</f>
        <v>272511.770946983</v>
      </c>
      <c r="O397" s="73" t="n">
        <f aca="false">O364*Frais_an/4</f>
        <v>271221.646129611</v>
      </c>
    </row>
    <row r="398" customFormat="false" ht="15" hidden="false" customHeight="false" outlineLevel="0" collapsed="false">
      <c r="B398" s="65" t="s">
        <v>1055</v>
      </c>
      <c r="C398" s="25"/>
      <c r="D398" s="73" t="n">
        <f aca="false">C407*Taux_emprunt/4</f>
        <v>0</v>
      </c>
      <c r="E398" s="73" t="n">
        <f aca="false">D407*Taux_emprunt/4</f>
        <v>0</v>
      </c>
      <c r="F398" s="73" t="n">
        <f aca="false">E407*Taux_emprunt/4</f>
        <v>0</v>
      </c>
      <c r="G398" s="73" t="n">
        <f aca="false">F407*Taux_emprunt/4</f>
        <v>0</v>
      </c>
      <c r="H398" s="73" t="n">
        <f aca="false">G407*Taux_emprunt/4</f>
        <v>0</v>
      </c>
      <c r="I398" s="73" t="n">
        <f aca="false">H407*Taux_emprunt/4</f>
        <v>0</v>
      </c>
      <c r="J398" s="73" t="n">
        <f aca="false">I407*Taux_emprunt/4</f>
        <v>0</v>
      </c>
      <c r="K398" s="73" t="n">
        <f aca="false">J407*Taux_emprunt/4</f>
        <v>0</v>
      </c>
      <c r="L398" s="73" t="n">
        <f aca="false">K407*Taux_emprunt/4</f>
        <v>0</v>
      </c>
      <c r="M398" s="73" t="n">
        <f aca="false">L407*Taux_emprunt/4</f>
        <v>0</v>
      </c>
      <c r="N398" s="73" t="n">
        <f aca="false">M407*Taux_emprunt/4</f>
        <v>0</v>
      </c>
      <c r="O398" s="73" t="n">
        <f aca="false">N407*Taux_emprunt/4</f>
        <v>0</v>
      </c>
    </row>
    <row r="399" customFormat="false" ht="15" hidden="false" customHeight="false" outlineLevel="0" collapsed="false">
      <c r="B399" s="65" t="s">
        <v>1056</v>
      </c>
      <c r="C399" s="25"/>
      <c r="D399" s="73" t="n">
        <f aca="false">D392+D393+D394-D395+D365-D396-D397-D398</f>
        <v>6648125</v>
      </c>
      <c r="E399" s="73" t="n">
        <f aca="false">E392+E393+E394-E395+E365-E396-E397-E398</f>
        <v>6142473.09375</v>
      </c>
      <c r="F399" s="73" t="n">
        <f aca="false">F392+F393+F394-F395+F365-F396-F397-F398</f>
        <v>6603402.72384063</v>
      </c>
      <c r="G399" s="73" t="n">
        <f aca="false">G392+G393+G394-G395+G365-G396-G397-G398</f>
        <v>5985736.94783889</v>
      </c>
      <c r="H399" s="73" t="n">
        <f aca="false">H392+H393+H394-H395+H365-H396-H397-H398</f>
        <v>6724453.7522066</v>
      </c>
      <c r="I399" s="73" t="n">
        <f aca="false">I392+I393+I394-I395+I365-I396-I397-I398</f>
        <v>6400305.93252577</v>
      </c>
      <c r="J399" s="73" t="n">
        <f aca="false">J392+J393+J394-J395+J365-J396-J397-J398</f>
        <v>7100903.73751425</v>
      </c>
      <c r="K399" s="73" t="n">
        <f aca="false">K392+K393+K394-K395+K365-K396-K397-K398</f>
        <v>6703502.30320704</v>
      </c>
      <c r="L399" s="73" t="n">
        <f aca="false">L392+L393+L394-L395+L365-L396-L397-L398</f>
        <v>7345351.83723922</v>
      </c>
      <c r="M399" s="73" t="n">
        <f aca="false">M392+M393+M394-M395+M365-M396-M397-M398</f>
        <v>6880746.63888557</v>
      </c>
      <c r="N399" s="73" t="n">
        <f aca="false">N392+N393+N394-N395+N365-N396-N397-N398</f>
        <v>8150890.71021308</v>
      </c>
      <c r="O399" s="73" t="n">
        <f aca="false">O392+O393+O394-O395+O365-O396-O397-O398</f>
        <v>8299282.98531274</v>
      </c>
    </row>
    <row r="400" customFormat="false" ht="15" hidden="false" customHeight="false" outlineLevel="0" collapsed="false">
      <c r="B400" s="65" t="s">
        <v>1057</v>
      </c>
      <c r="C400" s="25"/>
      <c r="D400" s="73" t="n">
        <f aca="false">MIN(D390+D391,MAX(0,Liq_cible*D364-(D399-D374)))</f>
        <v>1194375</v>
      </c>
      <c r="E400" s="73" t="n">
        <f aca="false">MIN(E390+E391,MAX(0,Liq_cible*E364-(E399-E374)))</f>
        <v>1151504.59375</v>
      </c>
      <c r="F400" s="73" t="n">
        <f aca="false">MIN(F390+F391,MAX(0,Liq_cible*F364-(F399-F374)))</f>
        <v>1110224.7562875</v>
      </c>
      <c r="G400" s="73" t="n">
        <f aca="false">MIN(G390+G391,MAX(0,Liq_cible*G364-(G399-G374)))</f>
        <v>1070474.66060151</v>
      </c>
      <c r="H400" s="73" t="n">
        <f aca="false">MIN(H390+H391,MAX(0,Liq_cible*H364-(H399-H374)))</f>
        <v>1057921.08531854</v>
      </c>
      <c r="I400" s="73" t="n">
        <f aca="false">MIN(I390+I391,MAX(0,Liq_cible*I364-(I399-I374)))</f>
        <v>1019960.26638387</v>
      </c>
      <c r="J400" s="73" t="n">
        <f aca="false">MIN(J390+J391,MAX(0,Liq_cible*J364-(J399-J374)))</f>
        <v>983407.44966169</v>
      </c>
      <c r="K400" s="73" t="n">
        <f aca="false">MIN(K390+K391,MAX(0,Liq_cible*K364-(K399-K374)))</f>
        <v>948208.803870077</v>
      </c>
      <c r="L400" s="73" t="n">
        <f aca="false">MIN(L390+L391,MAX(0,Liq_cible*L364-(L399-L374)))</f>
        <v>914312.610296399</v>
      </c>
      <c r="M400" s="73" t="n">
        <f aca="false">MIN(M390+M391,MAX(0,Liq_cible*M364-(M399-M374)))</f>
        <v>881669.178100051</v>
      </c>
      <c r="N400" s="73" t="n">
        <f aca="false">MIN(N390+N391,MAX(0,Liq_cible*N364-(N399-N374)))</f>
        <v>850230.763068225</v>
      </c>
      <c r="O400" s="73" t="n">
        <f aca="false">MIN(O390+O391,MAX(0,Liq_cible*O364-(O399-O374)))</f>
        <v>379809.690834818</v>
      </c>
    </row>
    <row r="401" customFormat="false" ht="15" hidden="false" customHeight="false" outlineLevel="0" collapsed="false">
      <c r="B401" s="65" t="s">
        <v>1058</v>
      </c>
      <c r="C401" s="25"/>
      <c r="D401" s="73" t="n">
        <f aca="false">D399-D374+D400</f>
        <v>6842500</v>
      </c>
      <c r="E401" s="73" t="n">
        <f aca="false">E399-E374+E400</f>
        <v>7293977.6875</v>
      </c>
      <c r="F401" s="73" t="n">
        <f aca="false">F399-F374+F400</f>
        <v>6667966.69552656</v>
      </c>
      <c r="G401" s="73" t="n">
        <f aca="false">G399-G374+G400</f>
        <v>7056211.6084404</v>
      </c>
      <c r="H401" s="73" t="n">
        <f aca="false">H399-H374+H400</f>
        <v>6726605.08969023</v>
      </c>
      <c r="I401" s="73" t="n">
        <f aca="false">I399-I374+I400</f>
        <v>7420266.19890964</v>
      </c>
      <c r="J401" s="73" t="n">
        <f aca="false">J399-J374+J400</f>
        <v>7017105.77060884</v>
      </c>
      <c r="K401" s="73" t="n">
        <f aca="false">K399-K374+K400</f>
        <v>7651711.10707712</v>
      </c>
      <c r="L401" s="73" t="n">
        <f aca="false">L399-L374+L400</f>
        <v>7181060.36630748</v>
      </c>
      <c r="M401" s="73" t="n">
        <f aca="false">M399-M374+M400</f>
        <v>7762415.81698562</v>
      </c>
      <c r="N401" s="73" t="n">
        <f aca="false">N399-N374+N400</f>
        <v>7911074.38949337</v>
      </c>
      <c r="O401" s="73" t="n">
        <f aca="false">O399-O374+O400</f>
        <v>8679092.67614756</v>
      </c>
    </row>
    <row r="402" customFormat="false" ht="15" hidden="false" customHeight="false" outlineLevel="0" collapsed="false">
      <c r="B402" s="65" t="s">
        <v>1059</v>
      </c>
      <c r="C402" s="25"/>
      <c r="D402" s="73" t="n">
        <f aca="false">MIN(MAX(0,MIN($H$20*AN_cible,Emprunt_max*D364)-C407),MAX(0,IF($H$20&gt;0,Poche_min_exec*D364,0)-D401))-IF(D401&gt;Liq_cible*D364,MIN(C407,D401-Liq_cible*D364),0)</f>
        <v>0</v>
      </c>
      <c r="E402" s="73" t="n">
        <f aca="false">MIN(MAX(0,MIN($H$20*AN_cible,Emprunt_max*E364)-D407),MAX(0,IF($H$20&gt;0,Poche_min_exec*E364,0)-E401))-IF(E401&gt;Liq_cible*E364,MIN(D407,E401-Liq_cible*E364),0)</f>
        <v>0</v>
      </c>
      <c r="F402" s="73" t="n">
        <f aca="false">MIN(MAX(0,MIN($H$20*AN_cible,Emprunt_max*F364)-E407),MAX(0,IF($H$20&gt;0,Poche_min_exec*F364,0)-F401))-IF(F401&gt;Liq_cible*F364,MIN(E407,F401-Liq_cible*F364),0)</f>
        <v>0</v>
      </c>
      <c r="G402" s="73" t="n">
        <f aca="false">MIN(MAX(0,MIN($H$20*AN_cible,Emprunt_max*G364)-F407),MAX(0,IF($H$20&gt;0,Poche_min_exec*G364,0)-G401))-IF(G401&gt;Liq_cible*G364,MIN(F407,G401-Liq_cible*G364),0)</f>
        <v>0</v>
      </c>
      <c r="H402" s="73" t="n">
        <f aca="false">MIN(MAX(0,MIN($H$20*AN_cible,Emprunt_max*H364)-G407),MAX(0,IF($H$20&gt;0,Poche_min_exec*H364,0)-H401))-IF(H401&gt;Liq_cible*H364,MIN(G407,H401-Liq_cible*H364),0)</f>
        <v>0</v>
      </c>
      <c r="I402" s="73" t="n">
        <f aca="false">MIN(MAX(0,MIN($H$20*AN_cible,Emprunt_max*I364)-H407),MAX(0,IF($H$20&gt;0,Poche_min_exec*I364,0)-I401))-IF(I401&gt;Liq_cible*I364,MIN(H407,I401-Liq_cible*I364),0)</f>
        <v>0</v>
      </c>
      <c r="J402" s="73" t="n">
        <f aca="false">MIN(MAX(0,MIN($H$20*AN_cible,Emprunt_max*J364)-I407),MAX(0,IF($H$20&gt;0,Poche_min_exec*J364,0)-J401))-IF(J401&gt;Liq_cible*J364,MIN(I407,J401-Liq_cible*J364),0)</f>
        <v>0</v>
      </c>
      <c r="K402" s="73" t="n">
        <f aca="false">MIN(MAX(0,MIN($H$20*AN_cible,Emprunt_max*K364)-J407),MAX(0,IF($H$20&gt;0,Poche_min_exec*K364,0)-K401))-IF(K401&gt;Liq_cible*K364,MIN(J407,K401-Liq_cible*K364),0)</f>
        <v>0</v>
      </c>
      <c r="L402" s="73" t="n">
        <f aca="false">MIN(MAX(0,MIN($H$20*AN_cible,Emprunt_max*L364)-K407),MAX(0,IF($H$20&gt;0,Poche_min_exec*L364,0)-L401))-IF(L401&gt;Liq_cible*L364,MIN(K407,L401-Liq_cible*L364),0)</f>
        <v>0</v>
      </c>
      <c r="M402" s="73" t="n">
        <f aca="false">MIN(MAX(0,MIN($H$20*AN_cible,Emprunt_max*M364)-L407),MAX(0,IF($H$20&gt;0,Poche_min_exec*M364,0)-M401))-IF(M401&gt;Liq_cible*M364,MIN(L407,M401-Liq_cible*M364),0)</f>
        <v>0</v>
      </c>
      <c r="N402" s="73" t="n">
        <f aca="false">MIN(MAX(0,MIN($H$20*AN_cible,Emprunt_max*N364)-M407),MAX(0,IF($H$20&gt;0,Poche_min_exec*N364,0)-N401))-IF(N401&gt;Liq_cible*N364,MIN(M407,N401-Liq_cible*N364),0)</f>
        <v>0</v>
      </c>
      <c r="O402" s="73" t="n">
        <f aca="false">MIN(MAX(0,MIN($H$20*AN_cible,Emprunt_max*O364)-N407),MAX(0,IF($H$20&gt;0,Poche_min_exec*O364,0)-O401))-IF(O401&gt;Liq_cible*O364,MIN(N407,O401-Liq_cible*O364),0)</f>
        <v>0</v>
      </c>
    </row>
    <row r="403" customFormat="false" ht="15" hidden="false" customHeight="false" outlineLevel="0" collapsed="false">
      <c r="B403" s="65" t="s">
        <v>1060</v>
      </c>
      <c r="C403" s="25"/>
      <c r="D403" s="73" t="n">
        <f aca="false">MIN((C378+C379+C380+C381),MAX(0,-(D401+D402))/(1-Decote))</f>
        <v>0</v>
      </c>
      <c r="E403" s="73" t="n">
        <f aca="false">MIN((D378+D379+D380+D381),MAX(0,-(E401+E402))/(1-Decote))</f>
        <v>0</v>
      </c>
      <c r="F403" s="73" t="n">
        <f aca="false">MIN((E378+E379+E380+E381),MAX(0,-(F401+F402))/(1-Decote))</f>
        <v>0</v>
      </c>
      <c r="G403" s="73" t="n">
        <f aca="false">MIN((F378+F379+F380+F381),MAX(0,-(G401+G402))/(1-Decote))</f>
        <v>0</v>
      </c>
      <c r="H403" s="73" t="n">
        <f aca="false">MIN((G378+G379+G380+G381),MAX(0,-(H401+H402))/(1-Decote))</f>
        <v>0</v>
      </c>
      <c r="I403" s="73" t="n">
        <f aca="false">MIN((H378+H379+H380+H381),MAX(0,-(I401+I402))/(1-Decote))</f>
        <v>0</v>
      </c>
      <c r="J403" s="73" t="n">
        <f aca="false">MIN((I378+I379+I380+I381),MAX(0,-(J401+J402))/(1-Decote))</f>
        <v>0</v>
      </c>
      <c r="K403" s="73" t="n">
        <f aca="false">MIN((J378+J379+J380+J381),MAX(0,-(K401+K402))/(1-Decote))</f>
        <v>0</v>
      </c>
      <c r="L403" s="73" t="n">
        <f aca="false">MIN((K378+K379+K380+K381),MAX(0,-(L401+L402))/(1-Decote))</f>
        <v>0</v>
      </c>
      <c r="M403" s="73" t="n">
        <f aca="false">MIN((L378+L379+L380+L381),MAX(0,-(M401+M402))/(1-Decote))</f>
        <v>0</v>
      </c>
      <c r="N403" s="73" t="n">
        <f aca="false">MIN((M378+M379+M380+M381),MAX(0,-(N401+N402))/(1-Decote))</f>
        <v>0</v>
      </c>
      <c r="O403" s="73" t="n">
        <f aca="false">MIN((N378+N379+N380+N381),MAX(0,-(O401+O402))/(1-Decote))</f>
        <v>0</v>
      </c>
    </row>
    <row r="404" customFormat="false" ht="15" hidden="false" customHeight="false" outlineLevel="0" collapsed="false">
      <c r="B404" s="65" t="s">
        <v>1061</v>
      </c>
      <c r="C404" s="25"/>
      <c r="D404" s="73" t="n">
        <f aca="false">D403*Decote</f>
        <v>0</v>
      </c>
      <c r="E404" s="73" t="n">
        <f aca="false">E403*Decote</f>
        <v>0</v>
      </c>
      <c r="F404" s="73" t="n">
        <f aca="false">F403*Decote</f>
        <v>0</v>
      </c>
      <c r="G404" s="73" t="n">
        <f aca="false">G403*Decote</f>
        <v>0</v>
      </c>
      <c r="H404" s="73" t="n">
        <f aca="false">H403*Decote</f>
        <v>0</v>
      </c>
      <c r="I404" s="73" t="n">
        <f aca="false">I403*Decote</f>
        <v>0</v>
      </c>
      <c r="J404" s="73" t="n">
        <f aca="false">J403*Decote</f>
        <v>0</v>
      </c>
      <c r="K404" s="73" t="n">
        <f aca="false">K403*Decote</f>
        <v>0</v>
      </c>
      <c r="L404" s="73" t="n">
        <f aca="false">L403*Decote</f>
        <v>0</v>
      </c>
      <c r="M404" s="73" t="n">
        <f aca="false">M403*Decote</f>
        <v>0</v>
      </c>
      <c r="N404" s="73" t="n">
        <f aca="false">N403*Decote</f>
        <v>0</v>
      </c>
      <c r="O404" s="73" t="n">
        <f aca="false">O403*Decote</f>
        <v>0</v>
      </c>
    </row>
    <row r="405" customFormat="false" ht="15" hidden="false" customHeight="false" outlineLevel="0" collapsed="false">
      <c r="B405" s="65" t="s">
        <v>1062</v>
      </c>
      <c r="C405" s="25"/>
      <c r="D405" s="73" t="n">
        <f aca="false">IF(AND(D375&lt;0.000001,C407+D402&lt;0.000001),MAX(0,D401+D402-Seuil_reinv*D364),0)</f>
        <v>0</v>
      </c>
      <c r="E405" s="73" t="n">
        <f aca="false">IF(AND(E375&lt;0.000001,D407+E402&lt;0.000001),MAX(0,E401+E402-Seuil_reinv*E364),0)</f>
        <v>0</v>
      </c>
      <c r="F405" s="73" t="n">
        <f aca="false">IF(AND(F375&lt;0.000001,E407+F402&lt;0.000001),MAX(0,F401+F402-Seuil_reinv*F364),0)</f>
        <v>0</v>
      </c>
      <c r="G405" s="73" t="n">
        <f aca="false">IF(AND(G375&lt;0.000001,F407+G402&lt;0.000001),MAX(0,G401+G402-Seuil_reinv*G364),0)</f>
        <v>0</v>
      </c>
      <c r="H405" s="73" t="n">
        <f aca="false">IF(AND(H375&lt;0.000001,G407+H402&lt;0.000001),MAX(0,H401+H402-Seuil_reinv*H364),0)</f>
        <v>0</v>
      </c>
      <c r="I405" s="73" t="n">
        <f aca="false">IF(AND(I375&lt;0.000001,H407+I402&lt;0.000001),MAX(0,I401+I402-Seuil_reinv*I364),0)</f>
        <v>0</v>
      </c>
      <c r="J405" s="73" t="n">
        <f aca="false">IF(AND(J375&lt;0.000001,I407+J402&lt;0.000001),MAX(0,J401+J402-Seuil_reinv*J364),0)</f>
        <v>0</v>
      </c>
      <c r="K405" s="73" t="n">
        <f aca="false">IF(AND(K375&lt;0.000001,J407+K402&lt;0.000001),MAX(0,K401+K402-Seuil_reinv*K364),0)</f>
        <v>0</v>
      </c>
      <c r="L405" s="73" t="n">
        <f aca="false">IF(AND(L375&lt;0.000001,K407+L402&lt;0.000001),MAX(0,L401+L402-Seuil_reinv*L364),0)</f>
        <v>0</v>
      </c>
      <c r="M405" s="73" t="n">
        <f aca="false">IF(AND(M375&lt;0.000001,L407+M402&lt;0.000001),MAX(0,M401+M402-Seuil_reinv*M364),0)</f>
        <v>0</v>
      </c>
      <c r="N405" s="73" t="n">
        <f aca="false">IF(AND(N375&lt;0.000001,M407+N402&lt;0.000001),MAX(0,N401+N402-Seuil_reinv*N364),0)</f>
        <v>0</v>
      </c>
      <c r="O405" s="73" t="n">
        <f aca="false">IF(AND(O375&lt;0.000001,N407+O402&lt;0.000001),MAX(0,O401+O402-Seuil_reinv*O364),0)</f>
        <v>0</v>
      </c>
    </row>
    <row r="406" customFormat="false" ht="15" hidden="false" customHeight="false" outlineLevel="0" collapsed="false">
      <c r="B406" s="65" t="s">
        <v>1063</v>
      </c>
      <c r="C406" s="73" t="n">
        <f aca="false">AN_cible*Ws_LIQ</f>
        <v>7500000</v>
      </c>
      <c r="D406" s="73" t="n">
        <f aca="false">D401+D402+D403-D404-D405</f>
        <v>6842500</v>
      </c>
      <c r="E406" s="73" t="n">
        <f aca="false">E401+E402+E403-E404-E405</f>
        <v>7293977.6875</v>
      </c>
      <c r="F406" s="73" t="n">
        <f aca="false">F401+F402+F403-F404-F405</f>
        <v>6667966.69552656</v>
      </c>
      <c r="G406" s="73" t="n">
        <f aca="false">G401+G402+G403-G404-G405</f>
        <v>7056211.6084404</v>
      </c>
      <c r="H406" s="73" t="n">
        <f aca="false">H401+H402+H403-H404-H405</f>
        <v>6726605.08969023</v>
      </c>
      <c r="I406" s="73" t="n">
        <f aca="false">I401+I402+I403-I404-I405</f>
        <v>7420266.19890964</v>
      </c>
      <c r="J406" s="73" t="n">
        <f aca="false">J401+J402+J403-J404-J405</f>
        <v>7017105.77060884</v>
      </c>
      <c r="K406" s="73" t="n">
        <f aca="false">K401+K402+K403-K404-K405</f>
        <v>7651711.10707712</v>
      </c>
      <c r="L406" s="73" t="n">
        <f aca="false">L401+L402+L403-L404-L405</f>
        <v>7181060.36630748</v>
      </c>
      <c r="M406" s="73" t="n">
        <f aca="false">M401+M402+M403-M404-M405</f>
        <v>7762415.81698562</v>
      </c>
      <c r="N406" s="73" t="n">
        <f aca="false">N401+N402+N403-N404-N405</f>
        <v>7911074.38949337</v>
      </c>
      <c r="O406" s="73" t="n">
        <f aca="false">O401+O402+O403-O404-O405</f>
        <v>8679092.67614756</v>
      </c>
    </row>
    <row r="407" customFormat="false" ht="15" hidden="false" customHeight="false" outlineLevel="0" collapsed="false">
      <c r="B407" s="65" t="s">
        <v>1064</v>
      </c>
      <c r="C407" s="73" t="n">
        <v>0</v>
      </c>
      <c r="D407" s="73" t="n">
        <f aca="false">C407+D402</f>
        <v>0</v>
      </c>
      <c r="E407" s="73" t="n">
        <f aca="false">D407+E402</f>
        <v>0</v>
      </c>
      <c r="F407" s="73" t="n">
        <f aca="false">E407+F402</f>
        <v>0</v>
      </c>
      <c r="G407" s="73" t="n">
        <f aca="false">F407+G402</f>
        <v>0</v>
      </c>
      <c r="H407" s="73" t="n">
        <f aca="false">G407+H402</f>
        <v>0</v>
      </c>
      <c r="I407" s="73" t="n">
        <f aca="false">H407+I402</f>
        <v>0</v>
      </c>
      <c r="J407" s="73" t="n">
        <f aca="false">I407+J402</f>
        <v>0</v>
      </c>
      <c r="K407" s="73" t="n">
        <f aca="false">J407+K402</f>
        <v>0</v>
      </c>
      <c r="L407" s="73" t="n">
        <f aca="false">K407+L402</f>
        <v>0</v>
      </c>
      <c r="M407" s="73" t="n">
        <f aca="false">L407+M402</f>
        <v>0</v>
      </c>
      <c r="N407" s="73" t="n">
        <f aca="false">M407+N402</f>
        <v>0</v>
      </c>
      <c r="O407" s="73" t="n">
        <f aca="false">N407+O402</f>
        <v>0</v>
      </c>
    </row>
    <row r="408" customFormat="false" ht="15" hidden="false" customHeight="false" outlineLevel="0" collapsed="false">
      <c r="B408" s="74" t="s">
        <v>1065</v>
      </c>
      <c r="C408" s="73" t="n">
        <f aca="false">C378+C379+C380+C381+C406-C407</f>
        <v>50000000</v>
      </c>
      <c r="D408" s="73" t="n">
        <f aca="false">D378+D379+D380+D381+D406-D407</f>
        <v>51518253.125</v>
      </c>
      <c r="E408" s="73" t="n">
        <f aca="false">E378+E379+E380+E381+E406-E407</f>
        <v>52283039.2300781</v>
      </c>
      <c r="F408" s="73" t="n">
        <f aca="false">F378+F379+F380+F381+F406-F407</f>
        <v>52009589.6404909</v>
      </c>
      <c r="G408" s="73" t="n">
        <f aca="false">G378+G379+G380+G381+G406-G407</f>
        <v>52788487.3917455</v>
      </c>
      <c r="H408" s="73" t="n">
        <f aca="false">H378+H379+H380+H381+H406-H407</f>
        <v>52545886.7587958</v>
      </c>
      <c r="I408" s="73" t="n">
        <f aca="false">I378+I379+I380+I381+I406-I407</f>
        <v>53360270.8283553</v>
      </c>
      <c r="J408" s="73" t="n">
        <f aca="false">J378+J379+J380+J381+J406-J407</f>
        <v>53110512.5966993</v>
      </c>
      <c r="K408" s="73" t="n">
        <f aca="false">K378+K379+K380+K381+K406-K407</f>
        <v>53930204.061407</v>
      </c>
      <c r="L408" s="73" t="n">
        <f aca="false">L378+L379+L380+L381+L406-L407</f>
        <v>53675368.9174456</v>
      </c>
      <c r="M408" s="73" t="n">
        <f aca="false">M378+M379+M380+M381+M406-M407</f>
        <v>54502354.1893967</v>
      </c>
      <c r="N408" s="73" t="n">
        <f aca="false">N378+N379+N380+N381+N406-N407</f>
        <v>54244329.2259222</v>
      </c>
      <c r="O408" s="73" t="n">
        <f aca="false">O378+O379+O380+O381+O406-O407</f>
        <v>55069513.3495572</v>
      </c>
    </row>
    <row r="409" customFormat="false" ht="15" hidden="false" customHeight="false" outlineLevel="0" collapsed="false">
      <c r="B409" s="65" t="s">
        <v>1066</v>
      </c>
      <c r="C409" s="72" t="n">
        <f aca="false">IF((C408+C407)&gt;0,C406/(C408+C407),0)</f>
        <v>0.15</v>
      </c>
      <c r="D409" s="72" t="n">
        <f aca="false">IF((D408+D407)&gt;0,D406/(D408+D407),0)</f>
        <v>0.13281700339097</v>
      </c>
      <c r="E409" s="72" t="n">
        <f aca="false">IF((E408+E407)&gt;0,E406/(E408+E407),0)</f>
        <v>0.139509443117909</v>
      </c>
      <c r="F409" s="72" t="n">
        <f aca="false">IF((F408+F407)&gt;0,F406/(F408+F407),0)</f>
        <v>0.128206485411978</v>
      </c>
      <c r="G409" s="72" t="n">
        <f aca="false">IF((G408+G407)&gt;0,G406/(G408+G407),0)</f>
        <v>0.133669516917126</v>
      </c>
      <c r="H409" s="72" t="n">
        <f aca="false">IF((H408+H407)&gt;0,H406/(H408+H407),0)</f>
        <v>0.128013922775111</v>
      </c>
      <c r="I409" s="72" t="n">
        <f aca="false">IF((I408+I407)&gt;0,I406/(I408+I407),0)</f>
        <v>0.139059755202115</v>
      </c>
      <c r="J409" s="72" t="n">
        <f aca="false">IF((J408+J407)&gt;0,J406/(J408+J407),0)</f>
        <v>0.132122727262944</v>
      </c>
      <c r="K409" s="72" t="n">
        <f aca="false">IF((K408+K407)&gt;0,K406/(K408+K407),0)</f>
        <v>0.141881738447802</v>
      </c>
      <c r="L409" s="72" t="n">
        <f aca="false">IF((L408+L407)&gt;0,L406/(L408+L407),0)</f>
        <v>0.133786884210375</v>
      </c>
      <c r="M409" s="72" t="n">
        <f aca="false">IF((M408+M407)&gt;0,M406/(M408+M407),0)</f>
        <v>0.142423495873428</v>
      </c>
      <c r="N409" s="72" t="n">
        <f aca="false">IF((N408+N407)&gt;0,N406/(N408+N407),0)</f>
        <v>0.145841500897624</v>
      </c>
      <c r="O409" s="72" t="n">
        <f aca="false">IF((O408+O407)&gt;0,O406/(O408+O407),0)</f>
        <v>0.157602494524629</v>
      </c>
    </row>
    <row r="410" customFormat="false" ht="15" hidden="false" customHeight="false" outlineLevel="0" collapsed="false">
      <c r="B410" s="65" t="s">
        <v>1067</v>
      </c>
      <c r="C410" s="72" t="n">
        <f aca="false">0</f>
        <v>0</v>
      </c>
      <c r="D410" s="72" t="n">
        <f aca="false">IF(D408&gt;0,D375/D408,0)</f>
        <v>0</v>
      </c>
      <c r="E410" s="72" t="n">
        <f aca="false">IF(E408&gt;0,E375/E408,0)</f>
        <v>0</v>
      </c>
      <c r="F410" s="72" t="n">
        <f aca="false">IF(F408&gt;0,F375/F408,0)</f>
        <v>0</v>
      </c>
      <c r="G410" s="72" t="n">
        <f aca="false">IF(G408&gt;0,G375/G408,0)</f>
        <v>0</v>
      </c>
      <c r="H410" s="72" t="n">
        <f aca="false">IF(H408&gt;0,H375/H408,0)</f>
        <v>0</v>
      </c>
      <c r="I410" s="72" t="n">
        <f aca="false">IF(I408&gt;0,I375/I408,0)</f>
        <v>0</v>
      </c>
      <c r="J410" s="72" t="n">
        <f aca="false">IF(J408&gt;0,J375/J408,0)</f>
        <v>0</v>
      </c>
      <c r="K410" s="72" t="n">
        <f aca="false">IF(K408&gt;0,K375/K408,0)</f>
        <v>0</v>
      </c>
      <c r="L410" s="72" t="n">
        <f aca="false">IF(L408&gt;0,L375/L408,0)</f>
        <v>0</v>
      </c>
      <c r="M410" s="72" t="n">
        <f aca="false">IF(M408&gt;0,M375/M408,0)</f>
        <v>0</v>
      </c>
      <c r="N410" s="72" t="n">
        <f aca="false">IF(N408&gt;0,N375/N408,0)</f>
        <v>0</v>
      </c>
      <c r="O410" s="72" t="n">
        <f aca="false">IF(O408&gt;0,O375/O408,0)</f>
        <v>0</v>
      </c>
    </row>
    <row r="411" customFormat="false" ht="15" hidden="false" customHeight="false" outlineLevel="0" collapsed="false">
      <c r="B411" s="65" t="s">
        <v>1068</v>
      </c>
      <c r="C411" s="75" t="n">
        <f aca="false">IF((C375+SUM(D366:G366)+SUM(D396:G396)+SUM(D397:G397)+SUM(D395:G395))&lt;=0,9.99,MIN(9.99,(C406+SUM(D394:G394)+SUM(D390:G391)+MAX(0,MIN($H$20*AN_cible,Emprunt_max*C408)-C407))/(C375+SUM(D366:G366)+SUM(D396:G396)+SUM(D397:G397)+SUM(D395:G395))))</f>
        <v>1.9440243834385</v>
      </c>
      <c r="D411" s="73" t="n">
        <f aca="false">IF((D375+SUM(E366:H366)+SUM(E396:H396)+SUM(E397:H397)+SUM(E395:H395))&lt;=0,9.99,MIN(9.99,(D406+SUM(E394:H394)+SUM(E390:H391)+MAX(0,MIN($H$20*AN_cible,Emprunt_max*D408)-D407))/(D375+SUM(E366:H366)+SUM(E396:H396)+SUM(E397:H397)+SUM(E395:H395))))</f>
        <v>1.9508327496057</v>
      </c>
      <c r="E411" s="73" t="n">
        <f aca="false">IF((E375+SUM(F366:I366)+SUM(F396:I396)+SUM(F397:I397)+SUM(F395:I395))&lt;=0,9.99,MIN(9.99,(E406+SUM(F394:I394)+SUM(F390:I391)+MAX(0,MIN($H$20*AN_cible,Emprunt_max*E408)-E407))/(E375+SUM(F366:I366)+SUM(F396:I396)+SUM(F397:I397)+SUM(F395:I395))))</f>
        <v>2.10540960001071</v>
      </c>
      <c r="F411" s="73" t="n">
        <f aca="false">IF((F375+SUM(G366:J366)+SUM(G396:J396)+SUM(G397:J397)+SUM(G395:J395))&lt;=0,9.99,MIN(9.99,(F406+SUM(G394:J394)+SUM(G390:J391)+MAX(0,MIN($H$20*AN_cible,Emprunt_max*F408)-F407))/(F375+SUM(G366:J366)+SUM(G396:J396)+SUM(G397:J397)+SUM(G395:J395))))</f>
        <v>2.09624778831952</v>
      </c>
      <c r="G411" s="73" t="n">
        <f aca="false">IF((G375+SUM(H366:K366)+SUM(H396:K396)+SUM(H397:K397)+SUM(H395:K395))&lt;=0,9.99,MIN(9.99,(G406+SUM(H394:K394)+SUM(H390:K391)+MAX(0,MIN($H$20*AN_cible,Emprunt_max*G408)-G407))/(G375+SUM(H366:K366)+SUM(H396:K396)+SUM(H397:K397)+SUM(H395:K395))))</f>
        <v>2.26550426998306</v>
      </c>
      <c r="H411" s="73" t="n">
        <f aca="false">IF((H375+SUM(I366:L366)+SUM(I396:L396)+SUM(I397:L397)+SUM(I395:L395))&lt;=0,9.99,MIN(9.99,(H406+SUM(I394:L394)+SUM(I390:L391)+MAX(0,MIN($H$20*AN_cible,Emprunt_max*H408)-H407))/(H375+SUM(I366:L366)+SUM(I396:L396)+SUM(I397:L397)+SUM(I395:L395))))</f>
        <v>2.17949803248987</v>
      </c>
      <c r="I411" s="73" t="n">
        <f aca="false">IF((I375+SUM(J366:M366)+SUM(J396:M396)+SUM(J397:M397)+SUM(J395:M395))&lt;=0,9.99,MIN(9.99,(I406+SUM(J394:M394)+SUM(J390:M391)+MAX(0,MIN($H$20*AN_cible,Emprunt_max*I408)-I407))/(I375+SUM(J366:M366)+SUM(J396:M396)+SUM(J397:M397)+SUM(J395:M395))))</f>
        <v>2.27575044523794</v>
      </c>
      <c r="J411" s="73" t="n">
        <f aca="false">IF((J375+SUM(K366:N366)+SUM(K396:N396)+SUM(K397:N397)+SUM(K395:N395))&lt;=0,9.99,MIN(9.99,(J406+SUM(K394:N394)+SUM(K390:N391)+MAX(0,MIN($H$20*AN_cible,Emprunt_max*J408)-J407))/(J375+SUM(K366:N366)+SUM(K396:N396)+SUM(K397:N397)+SUM(K395:N395))))</f>
        <v>2.46090711027217</v>
      </c>
      <c r="K411" s="73" t="n">
        <f aca="false">IF((K375+SUM(L366:O366)+SUM(L396:O396)+SUM(L397:O397)+SUM(L395:O395))&lt;=0,9.99,MIN(9.99,(K406+SUM(L394:O394)+SUM(L390:O391)+MAX(0,MIN($H$20*AN_cible,Emprunt_max*K408)-K407))/(K375+SUM(L366:O366)+SUM(L396:O396)+SUM(L397:O397)+SUM(L395:O395))))</f>
        <v>2.93556033029149</v>
      </c>
      <c r="L411" s="73" t="n">
        <f aca="false">IF((L375+SUM(M366:O366)+SUM(M396:O396)+SUM(M397:O397)+SUM(M395:O395))&lt;=0,9.99,MIN(9.99,(L406+SUM(M394:O394)+SUM(M390:O391)+MAX(0,MIN($H$20*AN_cible,Emprunt_max*L408)-L407))/(L375+SUM(M366:O366)+SUM(M396:O396)+SUM(M397:O397)+SUM(M395:O395))))</f>
        <v>4.47463343313569</v>
      </c>
      <c r="M411" s="73" t="n">
        <f aca="false">IF((M375+SUM(N366:O366)+SUM(N396:O396)+SUM(N397:O397)+SUM(N395:O395))&lt;=0,9.99,MIN(9.99,(M406+SUM(N394:O394)+SUM(N390:O391)+MAX(0,MIN($H$20*AN_cible,Emprunt_max*M408)-M407))/(M375+SUM(N366:O366)+SUM(N396:O396)+SUM(N397:O397)+SUM(N395:O395))))</f>
        <v>6.52171797645445</v>
      </c>
      <c r="N411" s="73" t="n">
        <f aca="false">IF((N375+SUM(O366:O366)+SUM(O396:O396)+SUM(O397:O397)+SUM(O395:O395))&lt;=0,9.99,MIN(9.99,(N406+SUM(O394:O394)+SUM(O390:O391)+MAX(0,MIN($H$20*AN_cible,Emprunt_max*N408)-N407))/(N375+SUM(O366:O366)+SUM(O396:O396)+SUM(O397:O397)+SUM(O395:O395))))</f>
        <v>9.99</v>
      </c>
      <c r="O411" s="73" t="n">
        <f aca="false">9.99</f>
        <v>9.99</v>
      </c>
    </row>
    <row r="412" customFormat="false" ht="15" hidden="false" customHeight="false" outlineLevel="0" collapsed="false">
      <c r="B412" s="65" t="s">
        <v>1069</v>
      </c>
      <c r="C412" s="72" t="n">
        <f aca="false">(C378+C379+C380+C381+C386+C387)/C408</f>
        <v>1</v>
      </c>
      <c r="D412" s="72" t="n">
        <f aca="false">(D378+D379+D380+D381+D386+D387)/D408</f>
        <v>1.00602941639435</v>
      </c>
      <c r="E412" s="72" t="n">
        <f aca="false">(E378+E379+E380+E381+E386+E387)/E408</f>
        <v>0.977760900960955</v>
      </c>
      <c r="F412" s="72" t="n">
        <f aca="false">(F378+F379+F380+F381+F386+F387)/F408</f>
        <v>0.970032609249561</v>
      </c>
      <c r="G412" s="72" t="n">
        <f aca="false">(G378+G379+G380+G381+G386+G387)/G408</f>
        <v>0.943762139149594</v>
      </c>
      <c r="H412" s="72" t="n">
        <f aca="false">(H378+H379+H380+H381+H386+H387)/H408</f>
        <v>0.93681037100141</v>
      </c>
      <c r="I412" s="72" t="n">
        <f aca="false">(I378+I379+I380+I381+I386+I387)/I408</f>
        <v>0.912008201494836</v>
      </c>
      <c r="J412" s="72" t="n">
        <f aca="false">(J378+J379+J380+J381+J386+J387)/J408</f>
        <v>0.906358354919777</v>
      </c>
      <c r="K412" s="72" t="n">
        <f aca="false">(K378+K379+K380+K381+K386+K387)/K408</f>
        <v>0.883382397368347</v>
      </c>
      <c r="L412" s="72" t="n">
        <f aca="false">(L378+L379+L380+L381+L386+L387)/L408</f>
        <v>0.878905157106523</v>
      </c>
      <c r="M412" s="72" t="n">
        <f aca="false">(M378+M379+M380+M381+M386+M387)/M408</f>
        <v>0.857576504126572</v>
      </c>
      <c r="N412" s="72" t="n">
        <f aca="false">(N378+N379+N380+N381+N386+N387)/N408</f>
        <v>0.854158499102376</v>
      </c>
      <c r="O412" s="72" t="n">
        <f aca="false">(O378+O379+O380+O381+O386+O387)/O408</f>
        <v>0.842397505475371</v>
      </c>
    </row>
    <row r="413" customFormat="false" ht="15" hidden="false" customHeight="false" outlineLevel="0" collapsed="false">
      <c r="B413" s="65" t="s">
        <v>849</v>
      </c>
      <c r="C413" s="72" t="n">
        <f aca="false">(C408+C407)/C408</f>
        <v>1</v>
      </c>
      <c r="D413" s="72" t="n">
        <f aca="false">(D408+D407)/D408</f>
        <v>1</v>
      </c>
      <c r="E413" s="72" t="n">
        <f aca="false">(E408+E407)/E408</f>
        <v>1</v>
      </c>
      <c r="F413" s="72" t="n">
        <f aca="false">(F408+F407)/F408</f>
        <v>1</v>
      </c>
      <c r="G413" s="72" t="n">
        <f aca="false">(G408+G407)/G408</f>
        <v>1</v>
      </c>
      <c r="H413" s="72" t="n">
        <f aca="false">(H408+H407)/H408</f>
        <v>1</v>
      </c>
      <c r="I413" s="72" t="n">
        <f aca="false">(I408+I407)/I408</f>
        <v>1</v>
      </c>
      <c r="J413" s="72" t="n">
        <f aca="false">(J408+J407)/J408</f>
        <v>1</v>
      </c>
      <c r="K413" s="72" t="n">
        <f aca="false">(K408+K407)/K408</f>
        <v>1</v>
      </c>
      <c r="L413" s="72" t="n">
        <f aca="false">(L408+L407)/L408</f>
        <v>1</v>
      </c>
      <c r="M413" s="72" t="n">
        <f aca="false">(M408+M407)/M408</f>
        <v>1</v>
      </c>
      <c r="N413" s="72" t="n">
        <f aca="false">(N408+N407)/N408</f>
        <v>1</v>
      </c>
      <c r="O413" s="72" t="n">
        <f aca="false">(O408+O407)/O408</f>
        <v>1</v>
      </c>
    </row>
    <row r="414" customFormat="false" ht="15" hidden="false" customHeight="false" outlineLevel="0" collapsed="false">
      <c r="B414" s="65" t="s">
        <v>1070</v>
      </c>
      <c r="C414" s="72" t="n">
        <f aca="false">(C378+C379*MSIG_USD)/C408</f>
        <v>0.25</v>
      </c>
      <c r="D414" s="72" t="n">
        <f aca="false">(D378+D379*MSIG_USD)/D408</f>
        <v>0.294284956405924</v>
      </c>
      <c r="E414" s="72" t="n">
        <f aca="false">(E378+E379*MSIG_USD)/E408</f>
        <v>0.30459286982207</v>
      </c>
      <c r="F414" s="72" t="n">
        <f aca="false">(F378+F379*MSIG_USD)/F408</f>
        <v>0.320997281827123</v>
      </c>
      <c r="G414" s="72" t="n">
        <f aca="false">(G378+G379*MSIG_USD)/G408</f>
        <v>0.330958153081185</v>
      </c>
      <c r="H414" s="72" t="n">
        <f aca="false">(H378+H379*MSIG_USD)/H408</f>
        <v>0.343261731439925</v>
      </c>
      <c r="I414" s="72" t="n">
        <f aca="false">(I378+I379*MSIG_USD)/I408</f>
        <v>0.348715955592837</v>
      </c>
      <c r="J414" s="72" t="n">
        <f aca="false">(J378+J379*MSIG_USD)/J408</f>
        <v>0.361182192253055</v>
      </c>
      <c r="K414" s="72" t="n">
        <f aca="false">(K378+K379*MSIG_USD)/K408</f>
        <v>0.366436713510324</v>
      </c>
      <c r="L414" s="72" t="n">
        <f aca="false">(L378+L379*MSIG_USD)/L408</f>
        <v>0.379055023702309</v>
      </c>
      <c r="M414" s="72" t="n">
        <f aca="false">(M378+M379*MSIG_USD)/M408</f>
        <v>0.384099747010339</v>
      </c>
      <c r="N414" s="72" t="n">
        <f aca="false">(N378+N379*MSIG_USD)/N408</f>
        <v>0.388908085631805</v>
      </c>
      <c r="O414" s="72" t="n">
        <f aca="false">(O378+O379*MSIG_USD)/O408</f>
        <v>0.386039824804009</v>
      </c>
    </row>
    <row r="415" customFormat="false" ht="15" hidden="false" customHeight="false" outlineLevel="0" collapsed="false">
      <c r="B415" s="65" t="s">
        <v>1071</v>
      </c>
      <c r="C415" s="25"/>
      <c r="D415" s="65" t="n">
        <f aca="false">IF(AND($H$9&lt;0.5*Collecte_norm,IF(D359&lt;=$H$11,0,$H$10)&lt;0.5,IF(D359&lt;=4,$H$17,($H$18+$H$19)/2)&lt;0.7),1,0)</f>
        <v>0</v>
      </c>
      <c r="E415" s="65" t="n">
        <f aca="false">IF(AND($H$9&lt;0.5*Collecte_norm,IF(E359&lt;=$H$11,0,$H$10)&lt;0.5,IF(E359&lt;=4,$H$17,($H$18+$H$19)/2)&lt;0.7),1,0)</f>
        <v>0</v>
      </c>
      <c r="F415" s="65" t="n">
        <f aca="false">IF(AND($H$9&lt;0.5*Collecte_norm,IF(F359&lt;=$H$11,0,$H$10)&lt;0.5,IF(F359&lt;=4,$H$17,($H$18+$H$19)/2)&lt;0.7),1,0)</f>
        <v>0</v>
      </c>
      <c r="G415" s="65" t="n">
        <f aca="false">IF(AND($H$9&lt;0.5*Collecte_norm,IF(G359&lt;=$H$11,0,$H$10)&lt;0.5,IF(G359&lt;=4,$H$17,($H$18+$H$19)/2)&lt;0.7),1,0)</f>
        <v>0</v>
      </c>
      <c r="H415" s="65" t="n">
        <f aca="false">IF(AND($H$9&lt;0.5*Collecte_norm,IF(H359&lt;=$H$11,0,$H$10)&lt;0.5,IF(H359&lt;=4,$H$17,($H$18+$H$19)/2)&lt;0.7),1,0)</f>
        <v>0</v>
      </c>
      <c r="I415" s="65" t="n">
        <f aca="false">IF(AND($H$9&lt;0.5*Collecte_norm,IF(I359&lt;=$H$11,0,$H$10)&lt;0.5,IF(I359&lt;=4,$H$17,($H$18+$H$19)/2)&lt;0.7),1,0)</f>
        <v>0</v>
      </c>
      <c r="J415" s="65" t="n">
        <f aca="false">IF(AND($H$9&lt;0.5*Collecte_norm,IF(J359&lt;=$H$11,0,$H$10)&lt;0.5,IF(J359&lt;=4,$H$17,($H$18+$H$19)/2)&lt;0.7),1,0)</f>
        <v>0</v>
      </c>
      <c r="K415" s="65" t="n">
        <f aca="false">IF(AND($H$9&lt;0.5*Collecte_norm,IF(K359&lt;=$H$11,0,$H$10)&lt;0.5,IF(K359&lt;=4,$H$17,($H$18+$H$19)/2)&lt;0.7),1,0)</f>
        <v>0</v>
      </c>
      <c r="L415" s="65" t="n">
        <f aca="false">IF(AND($H$9&lt;0.5*Collecte_norm,IF(L359&lt;=$H$11,0,$H$10)&lt;0.5,IF(L359&lt;=4,$H$17,($H$18+$H$19)/2)&lt;0.7),1,0)</f>
        <v>0</v>
      </c>
      <c r="M415" s="65" t="n">
        <f aca="false">IF(AND($H$9&lt;0.5*Collecte_norm,IF(M359&lt;=$H$11,0,$H$10)&lt;0.5,IF(M359&lt;=4,$H$17,($H$18+$H$19)/2)&lt;0.7),1,0)</f>
        <v>0</v>
      </c>
      <c r="N415" s="65" t="n">
        <f aca="false">IF(AND($H$9&lt;0.5*Collecte_norm,IF(N359&lt;=$H$11,0,$H$10)&lt;0.5,IF(N359&lt;=4,$H$17,($H$18+$H$19)/2)&lt;0.7),1,0)</f>
        <v>0</v>
      </c>
      <c r="O415" s="65" t="n">
        <f aca="false">IF(AND($H$9&lt;0.5*Collecte_norm,IF(O359&lt;=$H$11,0,$H$10)&lt;0.5,IF(O359&lt;=4,$H$17,($H$18+$H$19)/2)&lt;0.7),1,0)</f>
        <v>0</v>
      </c>
    </row>
    <row r="416" customFormat="false" ht="15" hidden="false" customHeight="false" outlineLevel="0" collapsed="false">
      <c r="B416" s="76" t="s">
        <v>1072</v>
      </c>
      <c r="C416" s="76" t="n">
        <v>99</v>
      </c>
      <c r="D416" s="76" t="n">
        <f aca="false">IF(D376=1,D362,99)</f>
        <v>99</v>
      </c>
      <c r="E416" s="76" t="n">
        <f aca="false">IF(E376=1,E362,99)</f>
        <v>99</v>
      </c>
      <c r="F416" s="76" t="n">
        <f aca="false">IF(F376=1,F362,99)</f>
        <v>99</v>
      </c>
      <c r="G416" s="76" t="n">
        <f aca="false">IF(G376=1,G362,99)</f>
        <v>99</v>
      </c>
      <c r="H416" s="76" t="n">
        <f aca="false">IF(H376=1,H362,99)</f>
        <v>99</v>
      </c>
      <c r="I416" s="76" t="n">
        <f aca="false">IF(I376=1,I362,99)</f>
        <v>99</v>
      </c>
      <c r="J416" s="76" t="n">
        <f aca="false">IF(J376=1,J362,99)</f>
        <v>99</v>
      </c>
      <c r="K416" s="76" t="n">
        <f aca="false">IF(K376=1,K362,99)</f>
        <v>99</v>
      </c>
      <c r="L416" s="76" t="n">
        <f aca="false">IF(L376=1,L362,99)</f>
        <v>99</v>
      </c>
      <c r="M416" s="76" t="n">
        <f aca="false">IF(M376=1,M362,99)</f>
        <v>99</v>
      </c>
      <c r="N416" s="76" t="n">
        <f aca="false">IF(N376=1,N362,99)</f>
        <v>99</v>
      </c>
      <c r="O416" s="76" t="n">
        <f aca="false">IF(O376=1,O362,99)</f>
        <v>99</v>
      </c>
    </row>
    <row r="417" customFormat="false" ht="15" hidden="false" customHeight="false" outlineLevel="0" collapsed="false">
      <c r="B417" s="76" t="s">
        <v>1073</v>
      </c>
      <c r="C417" s="76" t="n">
        <v>99</v>
      </c>
      <c r="D417" s="76" t="n">
        <f aca="false">IF(AND(D361=1,D362&gt;MIN($D416:$O416),D375&lt;=0.000001),D362,99)</f>
        <v>99</v>
      </c>
      <c r="E417" s="76" t="n">
        <f aca="false">IF(AND(E361=1,E362&gt;MIN($D416:$O416),E375&lt;=0.000001),E362,99)</f>
        <v>99</v>
      </c>
      <c r="F417" s="76" t="n">
        <f aca="false">IF(AND(F361=1,F362&gt;MIN($D416:$O416),F375&lt;=0.000001),F362,99)</f>
        <v>99</v>
      </c>
      <c r="G417" s="76" t="n">
        <f aca="false">IF(AND(G361=1,G362&gt;MIN($D416:$O416),G375&lt;=0.000001),G362,99)</f>
        <v>99</v>
      </c>
      <c r="H417" s="76" t="n">
        <f aca="false">IF(AND(H361=1,H362&gt;MIN($D416:$O416),H375&lt;=0.000001),H362,99)</f>
        <v>99</v>
      </c>
      <c r="I417" s="76" t="n">
        <f aca="false">IF(AND(I361=1,I362&gt;MIN($D416:$O416),I375&lt;=0.000001),I362,99)</f>
        <v>99</v>
      </c>
      <c r="J417" s="76" t="n">
        <f aca="false">IF(AND(J361=1,J362&gt;MIN($D416:$O416),J375&lt;=0.000001),J362,99)</f>
        <v>99</v>
      </c>
      <c r="K417" s="76" t="n">
        <f aca="false">IF(AND(K361=1,K362&gt;MIN($D416:$O416),K375&lt;=0.000001),K362,99)</f>
        <v>99</v>
      </c>
      <c r="L417" s="76" t="n">
        <f aca="false">IF(AND(L361=1,L362&gt;MIN($D416:$O416),L375&lt;=0.000001),L362,99)</f>
        <v>99</v>
      </c>
      <c r="M417" s="76" t="n">
        <f aca="false">IF(AND(M361=1,M362&gt;MIN($D416:$O416),M375&lt;=0.000001),M362,99)</f>
        <v>99</v>
      </c>
      <c r="N417" s="76" t="n">
        <f aca="false">IF(AND(N361=1,N362&gt;MIN($D416:$O416),N375&lt;=0.000001),N362,99)</f>
        <v>99</v>
      </c>
      <c r="O417" s="76" t="n">
        <f aca="false">IF(AND(O361=1,O362&gt;MIN($D416:$O416),O375&lt;=0.000001),O362,99)</f>
        <v>99</v>
      </c>
    </row>
    <row r="418" customFormat="false" ht="15" hidden="false" customHeight="false" outlineLevel="0" collapsed="false">
      <c r="B418" s="76" t="s">
        <v>1074</v>
      </c>
      <c r="C418" s="76" t="n">
        <v>9999999</v>
      </c>
      <c r="D418" s="76" t="n">
        <f aca="false">IF(D373=1,D360,9999999)</f>
        <v>9999999</v>
      </c>
      <c r="E418" s="76" t="n">
        <f aca="false">IF(E373=1,E360,9999999)</f>
        <v>9999999</v>
      </c>
      <c r="F418" s="76" t="n">
        <f aca="false">IF(F373=1,F360,9999999)</f>
        <v>9999999</v>
      </c>
      <c r="G418" s="76" t="n">
        <f aca="false">IF(G373=1,G360,9999999)</f>
        <v>9999999</v>
      </c>
      <c r="H418" s="76" t="n">
        <f aca="false">IF(H373=1,H360,9999999)</f>
        <v>9999999</v>
      </c>
      <c r="I418" s="76" t="n">
        <f aca="false">IF(I373=1,I360,9999999)</f>
        <v>9999999</v>
      </c>
      <c r="J418" s="76" t="n">
        <f aca="false">IF(J373=1,J360,9999999)</f>
        <v>9999999</v>
      </c>
      <c r="K418" s="76" t="n">
        <f aca="false">IF(K373=1,K360,9999999)</f>
        <v>9999999</v>
      </c>
      <c r="L418" s="76" t="n">
        <f aca="false">IF(L373=1,L360,9999999)</f>
        <v>9999999</v>
      </c>
      <c r="M418" s="76" t="n">
        <f aca="false">IF(M373=1,M360,9999999)</f>
        <v>9999999</v>
      </c>
      <c r="N418" s="76" t="n">
        <f aca="false">IF(N373=1,N360,9999999)</f>
        <v>9999999</v>
      </c>
      <c r="O418" s="76" t="n">
        <f aca="false">IF(O373=1,O360,9999999)</f>
        <v>9999999</v>
      </c>
    </row>
    <row r="419" customFormat="false" ht="15" hidden="false" customHeight="false" outlineLevel="0" collapsed="false">
      <c r="B419" s="76" t="s">
        <v>1075</v>
      </c>
      <c r="C419" s="76" t="n">
        <v>9999999</v>
      </c>
      <c r="D419" s="76" t="n">
        <f aca="false">IF(D415=1,D360,9999999)</f>
        <v>9999999</v>
      </c>
      <c r="E419" s="76" t="n">
        <f aca="false">IF(E415=1,E360,9999999)</f>
        <v>9999999</v>
      </c>
      <c r="F419" s="76" t="n">
        <f aca="false">IF(F415=1,F360,9999999)</f>
        <v>9999999</v>
      </c>
      <c r="G419" s="76" t="n">
        <f aca="false">IF(G415=1,G360,9999999)</f>
        <v>9999999</v>
      </c>
      <c r="H419" s="76" t="n">
        <f aca="false">IF(H415=1,H360,9999999)</f>
        <v>9999999</v>
      </c>
      <c r="I419" s="76" t="n">
        <f aca="false">IF(I415=1,I360,9999999)</f>
        <v>9999999</v>
      </c>
      <c r="J419" s="76" t="n">
        <f aca="false">IF(J415=1,J360,9999999)</f>
        <v>9999999</v>
      </c>
      <c r="K419" s="76" t="n">
        <f aca="false">IF(K415=1,K360,9999999)</f>
        <v>9999999</v>
      </c>
      <c r="L419" s="76" t="n">
        <f aca="false">IF(L415=1,L360,9999999)</f>
        <v>9999999</v>
      </c>
      <c r="M419" s="76" t="n">
        <f aca="false">IF(M415=1,M360,9999999)</f>
        <v>9999999</v>
      </c>
      <c r="N419" s="76" t="n">
        <f aca="false">IF(N415=1,N360,9999999)</f>
        <v>9999999</v>
      </c>
      <c r="O419" s="76" t="n">
        <f aca="false">IF(O415=1,O360,9999999)</f>
        <v>9999999</v>
      </c>
    </row>
    <row r="424" customFormat="false" ht="15" hidden="false" customHeight="false" outlineLevel="0" collapsed="false">
      <c r="B424" s="45" t="str">
        <f aca="false">I$5</f>
        <v>Valorisation - 20 % (capital), - 10 % (dette), dollar - 15 %</v>
      </c>
      <c r="C424" s="45" t="s">
        <v>55</v>
      </c>
      <c r="D424" s="45" t="n">
        <v>7</v>
      </c>
      <c r="E424" s="2"/>
      <c r="F424" s="2"/>
      <c r="G424" s="2"/>
      <c r="H424" s="2"/>
      <c r="I424" s="2"/>
      <c r="J424" s="2"/>
      <c r="K424" s="2"/>
      <c r="L424" s="2"/>
      <c r="M424" s="2"/>
      <c r="N424" s="2"/>
      <c r="O424" s="2"/>
    </row>
    <row r="425" customFormat="false" ht="15" hidden="false" customHeight="false" outlineLevel="0" collapsed="false">
      <c r="B425" s="65" t="s">
        <v>1019</v>
      </c>
      <c r="C425" s="65" t="n">
        <v>0</v>
      </c>
      <c r="D425" s="65" t="n">
        <v>1</v>
      </c>
      <c r="E425" s="65" t="n">
        <v>2</v>
      </c>
      <c r="F425" s="65" t="n">
        <v>3</v>
      </c>
      <c r="G425" s="65" t="n">
        <v>4</v>
      </c>
      <c r="H425" s="65" t="n">
        <v>5</v>
      </c>
      <c r="I425" s="65" t="n">
        <v>6</v>
      </c>
      <c r="J425" s="65" t="n">
        <v>7</v>
      </c>
      <c r="K425" s="65" t="n">
        <v>8</v>
      </c>
      <c r="L425" s="65" t="n">
        <v>9</v>
      </c>
      <c r="M425" s="65" t="n">
        <v>10</v>
      </c>
      <c r="N425" s="65" t="n">
        <v>11</v>
      </c>
      <c r="O425" s="65" t="n">
        <v>12</v>
      </c>
    </row>
    <row r="426" customFormat="false" ht="15" hidden="false" customHeight="false" outlineLevel="0" collapsed="false">
      <c r="B426" s="65" t="s">
        <v>209</v>
      </c>
      <c r="C426" s="71" t="n">
        <f aca="false">Date_depart</f>
        <v>47026</v>
      </c>
      <c r="D426" s="71" t="n">
        <f aca="false">EOMONTH(Date_depart,3*D425)</f>
        <v>47118</v>
      </c>
      <c r="E426" s="71" t="n">
        <f aca="false">EOMONTH(Date_depart,3*E425)</f>
        <v>47208</v>
      </c>
      <c r="F426" s="71" t="n">
        <f aca="false">EOMONTH(Date_depart,3*F425)</f>
        <v>47299</v>
      </c>
      <c r="G426" s="71" t="n">
        <f aca="false">EOMONTH(Date_depart,3*G425)</f>
        <v>47391</v>
      </c>
      <c r="H426" s="71" t="n">
        <f aca="false">EOMONTH(Date_depart,3*H425)</f>
        <v>47483</v>
      </c>
      <c r="I426" s="71" t="n">
        <f aca="false">EOMONTH(Date_depart,3*I425)</f>
        <v>47573</v>
      </c>
      <c r="J426" s="71" t="n">
        <f aca="false">EOMONTH(Date_depart,3*J425)</f>
        <v>47664</v>
      </c>
      <c r="K426" s="71" t="n">
        <f aca="false">EOMONTH(Date_depart,3*K425)</f>
        <v>47756</v>
      </c>
      <c r="L426" s="71" t="n">
        <f aca="false">EOMONTH(Date_depart,3*L425)</f>
        <v>47848</v>
      </c>
      <c r="M426" s="71" t="n">
        <f aca="false">EOMONTH(Date_depart,3*M425)</f>
        <v>47938</v>
      </c>
      <c r="N426" s="71" t="n">
        <f aca="false">EOMONTH(Date_depart,3*N425)</f>
        <v>48029</v>
      </c>
      <c r="O426" s="71" t="n">
        <f aca="false">EOMONTH(Date_depart,3*O425)</f>
        <v>48121</v>
      </c>
    </row>
    <row r="427" customFormat="false" ht="15" hidden="false" customHeight="false" outlineLevel="0" collapsed="false">
      <c r="B427" s="65" t="s">
        <v>1020</v>
      </c>
      <c r="C427" s="65" t="n">
        <v>0</v>
      </c>
      <c r="D427" s="65" t="n">
        <f aca="false">IF(OR(MONTH(D426)=6,MONTH(D426)=12),1,0)</f>
        <v>1</v>
      </c>
      <c r="E427" s="65" t="n">
        <f aca="false">IF(OR(MONTH(E426)=6,MONTH(E426)=12),1,0)</f>
        <v>0</v>
      </c>
      <c r="F427" s="65" t="n">
        <f aca="false">IF(OR(MONTH(F426)=6,MONTH(F426)=12),1,0)</f>
        <v>1</v>
      </c>
      <c r="G427" s="65" t="n">
        <f aca="false">IF(OR(MONTH(G426)=6,MONTH(G426)=12),1,0)</f>
        <v>0</v>
      </c>
      <c r="H427" s="65" t="n">
        <f aca="false">IF(OR(MONTH(H426)=6,MONTH(H426)=12),1,0)</f>
        <v>1</v>
      </c>
      <c r="I427" s="65" t="n">
        <f aca="false">IF(OR(MONTH(I426)=6,MONTH(I426)=12),1,0)</f>
        <v>0</v>
      </c>
      <c r="J427" s="65" t="n">
        <f aca="false">IF(OR(MONTH(J426)=6,MONTH(J426)=12),1,0)</f>
        <v>1</v>
      </c>
      <c r="K427" s="65" t="n">
        <f aca="false">IF(OR(MONTH(K426)=6,MONTH(K426)=12),1,0)</f>
        <v>0</v>
      </c>
      <c r="L427" s="65" t="n">
        <f aca="false">IF(OR(MONTH(L426)=6,MONTH(L426)=12),1,0)</f>
        <v>1</v>
      </c>
      <c r="M427" s="65" t="n">
        <f aca="false">IF(OR(MONTH(M426)=6,MONTH(M426)=12),1,0)</f>
        <v>0</v>
      </c>
      <c r="N427" s="65" t="n">
        <f aca="false">IF(OR(MONTH(N426)=6,MONTH(N426)=12),1,0)</f>
        <v>1</v>
      </c>
      <c r="O427" s="65" t="n">
        <f aca="false">IF(OR(MONTH(O426)=6,MONTH(O426)=12),1,0)</f>
        <v>0</v>
      </c>
    </row>
    <row r="428" customFormat="false" ht="15" hidden="false" customHeight="false" outlineLevel="0" collapsed="false">
      <c r="B428" s="65" t="s">
        <v>1021</v>
      </c>
      <c r="C428" s="65" t="n">
        <v>0</v>
      </c>
      <c r="D428" s="65" t="n">
        <f aca="false">C428+D427</f>
        <v>1</v>
      </c>
      <c r="E428" s="65" t="n">
        <f aca="false">D428+E427</f>
        <v>1</v>
      </c>
      <c r="F428" s="65" t="n">
        <f aca="false">E428+F427</f>
        <v>2</v>
      </c>
      <c r="G428" s="65" t="n">
        <f aca="false">F428+G427</f>
        <v>2</v>
      </c>
      <c r="H428" s="65" t="n">
        <f aca="false">G428+H427</f>
        <v>3</v>
      </c>
      <c r="I428" s="65" t="n">
        <f aca="false">H428+I427</f>
        <v>3</v>
      </c>
      <c r="J428" s="65" t="n">
        <f aca="false">I428+J427</f>
        <v>4</v>
      </c>
      <c r="K428" s="65" t="n">
        <f aca="false">J428+K427</f>
        <v>4</v>
      </c>
      <c r="L428" s="65" t="n">
        <f aca="false">K428+L427</f>
        <v>5</v>
      </c>
      <c r="M428" s="65" t="n">
        <f aca="false">L428+M427</f>
        <v>5</v>
      </c>
      <c r="N428" s="65" t="n">
        <f aca="false">M428+N427</f>
        <v>6</v>
      </c>
      <c r="O428" s="65" t="n">
        <f aca="false">N428+O427</f>
        <v>6</v>
      </c>
    </row>
    <row r="429" customFormat="false" ht="15" hidden="false" customHeight="false" outlineLevel="0" collapsed="false">
      <c r="B429" s="65" t="s">
        <v>1022</v>
      </c>
      <c r="C429" s="25"/>
      <c r="D429" s="72" t="n">
        <f aca="false">IF(D427=1,IF(C439=1,0,IF(D428=1,$I$6,IF(D428=2,$I$7,$I$8))),0)</f>
        <v>0.02</v>
      </c>
      <c r="E429" s="72" t="n">
        <f aca="false">IF(E427=1,IF(D439=1,0,IF(E428=1,$I$6,IF(E428=2,$I$7,$I$8))),0)</f>
        <v>0</v>
      </c>
      <c r="F429" s="72" t="n">
        <f aca="false">IF(F427=1,IF(E439=1,0,IF(F428=1,$I$6,IF(F428=2,$I$7,$I$8))),0)</f>
        <v>0.02</v>
      </c>
      <c r="G429" s="72" t="n">
        <f aca="false">IF(G427=1,IF(F439=1,0,IF(G428=1,$I$6,IF(G428=2,$I$7,$I$8))),0)</f>
        <v>0</v>
      </c>
      <c r="H429" s="72" t="n">
        <f aca="false">IF(H427=1,IF(G439=1,0,IF(H428=1,$I$6,IF(H428=2,$I$7,$I$8))),0)</f>
        <v>0.02</v>
      </c>
      <c r="I429" s="72" t="n">
        <f aca="false">IF(I427=1,IF(H439=1,0,IF(I428=1,$I$6,IF(I428=2,$I$7,$I$8))),0)</f>
        <v>0</v>
      </c>
      <c r="J429" s="72" t="n">
        <f aca="false">IF(J427=1,IF(I439=1,0,IF(J428=1,$I$6,IF(J428=2,$I$7,$I$8))),0)</f>
        <v>0.02</v>
      </c>
      <c r="K429" s="72" t="n">
        <f aca="false">IF(K427=1,IF(J439=1,0,IF(K428=1,$I$6,IF(K428=2,$I$7,$I$8))),0)</f>
        <v>0</v>
      </c>
      <c r="L429" s="72" t="n">
        <f aca="false">IF(L427=1,IF(K439=1,0,IF(L428=1,$I$6,IF(L428=2,$I$7,$I$8))),0)</f>
        <v>0.02</v>
      </c>
      <c r="M429" s="72" t="n">
        <f aca="false">IF(M427=1,IF(L439=1,0,IF(M428=1,$I$6,IF(M428=2,$I$7,$I$8))),0)</f>
        <v>0</v>
      </c>
      <c r="N429" s="72" t="n">
        <f aca="false">IF(N427=1,IF(M439=1,0,IF(N428=1,$I$6,IF(N428=2,$I$7,$I$8))),0)</f>
        <v>0.02</v>
      </c>
      <c r="O429" s="72" t="n">
        <f aca="false">IF(O427=1,IF(N439=1,0,IF(O428=1,$I$6,IF(O428=2,$I$7,$I$8))),0)</f>
        <v>0</v>
      </c>
    </row>
    <row r="430" customFormat="false" ht="15" hidden="false" customHeight="false" outlineLevel="0" collapsed="false">
      <c r="B430" s="65" t="s">
        <v>1023</v>
      </c>
      <c r="C430" s="25"/>
      <c r="D430" s="73" t="n">
        <f aca="false">C474</f>
        <v>50000000</v>
      </c>
      <c r="E430" s="73" t="n">
        <f aca="false">D474</f>
        <v>40311421.125</v>
      </c>
      <c r="F430" s="73" t="n">
        <f aca="false">E474</f>
        <v>40798399.0698625</v>
      </c>
      <c r="G430" s="73" t="n">
        <f aca="false">F474</f>
        <v>40460536.6192838</v>
      </c>
      <c r="H430" s="73" t="n">
        <f aca="false">G474</f>
        <v>40953143.5500651</v>
      </c>
      <c r="I430" s="73" t="n">
        <f aca="false">H474</f>
        <v>40644633.1007141</v>
      </c>
      <c r="J430" s="73" t="n">
        <f aca="false">I474</f>
        <v>41155763.9877447</v>
      </c>
      <c r="K430" s="73" t="n">
        <f aca="false">J474</f>
        <v>40845933.5911231</v>
      </c>
      <c r="L430" s="73" t="n">
        <f aca="false">K474</f>
        <v>41360611.143292</v>
      </c>
      <c r="M430" s="73" t="n">
        <f aca="false">L474</f>
        <v>41049309.8206366</v>
      </c>
      <c r="N430" s="73" t="n">
        <f aca="false">M474</f>
        <v>41670062.8050127</v>
      </c>
      <c r="O430" s="73" t="n">
        <f aca="false">N474</f>
        <v>41356696.8284695</v>
      </c>
    </row>
    <row r="431" customFormat="false" ht="15" hidden="false" customHeight="false" outlineLevel="0" collapsed="false">
      <c r="B431" s="65" t="s">
        <v>177</v>
      </c>
      <c r="C431" s="25"/>
      <c r="D431" s="73" t="n">
        <f aca="false">IF(C439=1,0,$I$9*D430)</f>
        <v>0</v>
      </c>
      <c r="E431" s="73" t="n">
        <f aca="false">IF(D439=1,0,$I$9*E430)</f>
        <v>0</v>
      </c>
      <c r="F431" s="73" t="n">
        <f aca="false">IF(E439=1,0,$I$9*F430)</f>
        <v>0</v>
      </c>
      <c r="G431" s="73" t="n">
        <f aca="false">IF(F439=1,0,$I$9*G430)</f>
        <v>0</v>
      </c>
      <c r="H431" s="73" t="n">
        <f aca="false">IF(G439=1,0,$I$9*H430)</f>
        <v>0</v>
      </c>
      <c r="I431" s="73" t="n">
        <f aca="false">IF(H439=1,0,$I$9*I430)</f>
        <v>0</v>
      </c>
      <c r="J431" s="73" t="n">
        <f aca="false">IF(I439=1,0,$I$9*J430)</f>
        <v>0</v>
      </c>
      <c r="K431" s="73" t="n">
        <f aca="false">IF(J439=1,0,$I$9*K430)</f>
        <v>0</v>
      </c>
      <c r="L431" s="73" t="n">
        <f aca="false">IF(K439=1,0,$I$9*L430)</f>
        <v>0</v>
      </c>
      <c r="M431" s="73" t="n">
        <f aca="false">IF(L439=1,0,$I$9*M430)</f>
        <v>0</v>
      </c>
      <c r="N431" s="73" t="n">
        <f aca="false">IF(M439=1,0,$I$9*N430)</f>
        <v>0</v>
      </c>
      <c r="O431" s="73" t="n">
        <f aca="false">IF(N439=1,0,$I$9*O430)</f>
        <v>0</v>
      </c>
    </row>
    <row r="432" customFormat="false" ht="15" hidden="false" customHeight="false" outlineLevel="0" collapsed="false">
      <c r="B432" s="65" t="s">
        <v>1024</v>
      </c>
      <c r="C432" s="25"/>
      <c r="D432" s="73" t="n">
        <f aca="false">D429*D430</f>
        <v>1000000</v>
      </c>
      <c r="E432" s="73" t="n">
        <f aca="false">E429*E430</f>
        <v>0</v>
      </c>
      <c r="F432" s="73" t="n">
        <f aca="false">F429*F430</f>
        <v>815967.98139725</v>
      </c>
      <c r="G432" s="73" t="n">
        <f aca="false">G429*G430</f>
        <v>0</v>
      </c>
      <c r="H432" s="73" t="n">
        <f aca="false">H429*H430</f>
        <v>819062.871001301</v>
      </c>
      <c r="I432" s="73" t="n">
        <f aca="false">I429*I430</f>
        <v>0</v>
      </c>
      <c r="J432" s="73" t="n">
        <f aca="false">J429*J430</f>
        <v>823115.279754894</v>
      </c>
      <c r="K432" s="73" t="n">
        <f aca="false">K429*K430</f>
        <v>0</v>
      </c>
      <c r="L432" s="73" t="n">
        <f aca="false">L429*L430</f>
        <v>827212.222865841</v>
      </c>
      <c r="M432" s="73" t="n">
        <f aca="false">M429*M430</f>
        <v>0</v>
      </c>
      <c r="N432" s="73" t="n">
        <f aca="false">N429*N430</f>
        <v>833401.256100254</v>
      </c>
      <c r="O432" s="73" t="n">
        <f aca="false">O429*O430</f>
        <v>0</v>
      </c>
    </row>
    <row r="433" customFormat="false" ht="15" hidden="false" customHeight="false" outlineLevel="0" collapsed="false">
      <c r="B433" s="65" t="s">
        <v>1025</v>
      </c>
      <c r="C433" s="25"/>
      <c r="D433" s="73" t="n">
        <f aca="false">C441</f>
        <v>0</v>
      </c>
      <c r="E433" s="73" t="n">
        <f aca="false">D441</f>
        <v>0</v>
      </c>
      <c r="F433" s="73" t="n">
        <f aca="false">E441</f>
        <v>0</v>
      </c>
      <c r="G433" s="73" t="n">
        <f aca="false">F441</f>
        <v>0</v>
      </c>
      <c r="H433" s="73" t="n">
        <f aca="false">G441</f>
        <v>0</v>
      </c>
      <c r="I433" s="73" t="n">
        <f aca="false">H441</f>
        <v>0</v>
      </c>
      <c r="J433" s="73" t="n">
        <f aca="false">I441</f>
        <v>0</v>
      </c>
      <c r="K433" s="73" t="n">
        <f aca="false">J441</f>
        <v>0</v>
      </c>
      <c r="L433" s="73" t="n">
        <f aca="false">K441</f>
        <v>0</v>
      </c>
      <c r="M433" s="73" t="n">
        <f aca="false">L441</f>
        <v>0</v>
      </c>
      <c r="N433" s="73" t="n">
        <f aca="false">M441</f>
        <v>0</v>
      </c>
      <c r="O433" s="73" t="n">
        <f aca="false">N441</f>
        <v>0</v>
      </c>
    </row>
    <row r="434" customFormat="false" ht="15" hidden="false" customHeight="false" outlineLevel="0" collapsed="false">
      <c r="B434" s="65" t="s">
        <v>1026</v>
      </c>
      <c r="C434" s="25"/>
      <c r="D434" s="73" t="n">
        <f aca="false">D432+D433</f>
        <v>1000000</v>
      </c>
      <c r="E434" s="73" t="n">
        <f aca="false">E432+E433</f>
        <v>0</v>
      </c>
      <c r="F434" s="73" t="n">
        <f aca="false">F432+F433</f>
        <v>815967.98139725</v>
      </c>
      <c r="G434" s="73" t="n">
        <f aca="false">G432+G433</f>
        <v>0</v>
      </c>
      <c r="H434" s="73" t="n">
        <f aca="false">H432+H433</f>
        <v>819062.871001301</v>
      </c>
      <c r="I434" s="73" t="n">
        <f aca="false">I432+I433</f>
        <v>0</v>
      </c>
      <c r="J434" s="73" t="n">
        <f aca="false">J432+J433</f>
        <v>823115.279754894</v>
      </c>
      <c r="K434" s="73" t="n">
        <f aca="false">K432+K433</f>
        <v>0</v>
      </c>
      <c r="L434" s="73" t="n">
        <f aca="false">L432+L433</f>
        <v>827212.222865841</v>
      </c>
      <c r="M434" s="73" t="n">
        <f aca="false">M432+M433</f>
        <v>0</v>
      </c>
      <c r="N434" s="73" t="n">
        <f aca="false">N432+N433</f>
        <v>833401.256100254</v>
      </c>
      <c r="O434" s="73" t="n">
        <f aca="false">O432+O433</f>
        <v>0</v>
      </c>
    </row>
    <row r="435" customFormat="false" ht="15" hidden="false" customHeight="false" outlineLevel="0" collapsed="false">
      <c r="B435" s="65" t="s">
        <v>1027</v>
      </c>
      <c r="C435" s="25"/>
      <c r="D435" s="73" t="n">
        <f aca="false">IF($I$21=1,Gate*D430+D431,D434)</f>
        <v>2500000</v>
      </c>
      <c r="E435" s="73" t="n">
        <f aca="false">IF($I$21=1,Gate*E430+E431,E434)</f>
        <v>2015571.05625</v>
      </c>
      <c r="F435" s="73" t="n">
        <f aca="false">IF($I$21=1,Gate*F430+F431,F434)</f>
        <v>2039919.95349313</v>
      </c>
      <c r="G435" s="73" t="n">
        <f aca="false">IF($I$21=1,Gate*G430+G431,G434)</f>
        <v>2023026.83096419</v>
      </c>
      <c r="H435" s="73" t="n">
        <f aca="false">IF($I$21=1,Gate*H430+H431,H434)</f>
        <v>2047657.17750325</v>
      </c>
      <c r="I435" s="73" t="n">
        <f aca="false">IF($I$21=1,Gate*I430+I431,I434)</f>
        <v>2032231.65503571</v>
      </c>
      <c r="J435" s="73" t="n">
        <f aca="false">IF($I$21=1,Gate*J430+J431,J434)</f>
        <v>2057788.19938723</v>
      </c>
      <c r="K435" s="73" t="n">
        <f aca="false">IF($I$21=1,Gate*K430+K431,K434)</f>
        <v>2042296.67955615</v>
      </c>
      <c r="L435" s="73" t="n">
        <f aca="false">IF($I$21=1,Gate*L430+L431,L434)</f>
        <v>2068030.5571646</v>
      </c>
      <c r="M435" s="73" t="n">
        <f aca="false">IF($I$21=1,Gate*M430+M431,M434)</f>
        <v>2052465.49103183</v>
      </c>
      <c r="N435" s="73" t="n">
        <f aca="false">IF($I$21=1,Gate*N430+N431,N434)</f>
        <v>2083503.14025064</v>
      </c>
      <c r="O435" s="73" t="n">
        <f aca="false">IF($I$21=1,Gate*O430+O431,O434)</f>
        <v>2067834.84142347</v>
      </c>
    </row>
    <row r="436" customFormat="false" ht="15" hidden="false" customHeight="false" outlineLevel="0" collapsed="false">
      <c r="B436" s="65" t="s">
        <v>1028</v>
      </c>
      <c r="C436" s="25"/>
      <c r="D436" s="73" t="n">
        <f aca="false">IF(D427=1,MIN(D434,D435),0)</f>
        <v>1000000</v>
      </c>
      <c r="E436" s="73" t="n">
        <f aca="false">IF(E427=1,MIN(E434,E435),0)</f>
        <v>0</v>
      </c>
      <c r="F436" s="73" t="n">
        <f aca="false">IF(F427=1,MIN(F434,F435),0)</f>
        <v>815967.98139725</v>
      </c>
      <c r="G436" s="73" t="n">
        <f aca="false">IF(G427=1,MIN(G434,G435),0)</f>
        <v>0</v>
      </c>
      <c r="H436" s="73" t="n">
        <f aca="false">IF(H427=1,MIN(H434,H435),0)</f>
        <v>819062.871001301</v>
      </c>
      <c r="I436" s="73" t="n">
        <f aca="false">IF(I427=1,MIN(I434,I435),0)</f>
        <v>0</v>
      </c>
      <c r="J436" s="73" t="n">
        <f aca="false">IF(J427=1,MIN(J434,J435),0)</f>
        <v>823115.279754894</v>
      </c>
      <c r="K436" s="73" t="n">
        <f aca="false">IF(K427=1,MIN(K434,K435),0)</f>
        <v>0</v>
      </c>
      <c r="L436" s="73" t="n">
        <f aca="false">IF(L427=1,MIN(L434,L435),0)</f>
        <v>827212.222865841</v>
      </c>
      <c r="M436" s="73" t="n">
        <f aca="false">IF(M427=1,MIN(M434,M435),0)</f>
        <v>0</v>
      </c>
      <c r="N436" s="73" t="n">
        <f aca="false">IF(N427=1,MIN(N434,N435),0)</f>
        <v>833401.256100254</v>
      </c>
      <c r="O436" s="73" t="n">
        <f aca="false">IF(O427=1,MIN(O434,O435),0)</f>
        <v>0</v>
      </c>
    </row>
    <row r="437" customFormat="false" ht="15" hidden="false" customHeight="false" outlineLevel="0" collapsed="false">
      <c r="B437" s="65" t="s">
        <v>1029</v>
      </c>
      <c r="C437" s="25"/>
      <c r="D437" s="73" t="n">
        <f aca="false">MAX(0,D465+D456+D457-Poche_min_exec*D430-D436-SUM(E462:F462)+MAX(0,MIN($I$20*AN_cible,Emprunt_max*D430)-C473))</f>
        <v>1158125</v>
      </c>
      <c r="E437" s="73" t="n">
        <f aca="false">MAX(0,E465+E456+E457-Poche_min_exec*E430-E436-SUM(F462:G462)+MAX(0,MIN($I$20*AN_cible,Emprunt_max*E430)-D473))</f>
        <v>2616982.3434375</v>
      </c>
      <c r="F437" s="73" t="n">
        <f aca="false">MAX(0,F465+F456+F457-Poche_min_exec*F430-F436-SUM(G462:H462)+MAX(0,MIN($I$20*AN_cible,Emprunt_max*F430)-E473))</f>
        <v>1336333.56761514</v>
      </c>
      <c r="G437" s="73" t="n">
        <f aca="false">MAX(0,G465+G456+G457-Poche_min_exec*G430-G436-SUM(H462:I462)+MAX(0,MIN($I$20*AN_cible,Emprunt_max*G430)-F473))</f>
        <v>1825546.12164389</v>
      </c>
      <c r="H437" s="73" t="n">
        <f aca="false">MAX(0,H465+H456+H457-Poche_min_exec*H430-H436-SUM(I462:J462)+MAX(0,MIN($I$20*AN_cible,Emprunt_max*H430)-G473))</f>
        <v>925472.111874759</v>
      </c>
      <c r="I437" s="73" t="n">
        <f aca="false">MAX(0,I465+I456+I457-Poche_min_exec*I430-I436-SUM(J462:K462)+MAX(0,MIN($I$20*AN_cible,Emprunt_max*I430)-H473))</f>
        <v>1431611.38300338</v>
      </c>
      <c r="J437" s="73" t="n">
        <f aca="false">MAX(0,J465+J456+J457-Poche_min_exec*J430-J436-SUM(K462:L462)+MAX(0,MIN($I$20*AN_cible,Emprunt_max*J430)-I473))</f>
        <v>881048.92735991</v>
      </c>
      <c r="K437" s="73" t="n">
        <f aca="false">MAX(0,K465+K456+K457-Poche_min_exec*K430-K436-SUM(L462:M462)+MAX(0,MIN($I$20*AN_cible,Emprunt_max*K430)-J473))</f>
        <v>1340197.89478337</v>
      </c>
      <c r="L437" s="73" t="n">
        <f aca="false">MAX(0,L465+L456+L457-Poche_min_exec*L430-L436-SUM(M462:N462)+MAX(0,MIN($I$20*AN_cible,Emprunt_max*L430)-K473))</f>
        <v>838468.738845741</v>
      </c>
      <c r="M437" s="73" t="n">
        <f aca="false">MAX(0,M465+M456+M457-Poche_min_exec*M430-M436-SUM(N462:O462)+MAX(0,MIN($I$20*AN_cible,Emprunt_max*M430)-L473))</f>
        <v>1352642.77934318</v>
      </c>
      <c r="N437" s="73" t="n">
        <f aca="false">MAX(0,N465+N456+N457-Poche_min_exec*N430-N436-SUM(O462:O462)+MAX(0,MIN($I$20*AN_cible,Emprunt_max*N430)-M473))</f>
        <v>1357126.16450745</v>
      </c>
      <c r="O437" s="73" t="n">
        <f aca="false">MAX(0,O465+O456+O457-Poche_min_exec*O430-O436-0+MAX(0,MIN($I$20*AN_cible,Emprunt_max*O430)-N473))</f>
        <v>2397809.06079918</v>
      </c>
    </row>
    <row r="438" customFormat="false" ht="15" hidden="false" customHeight="false" outlineLevel="0" collapsed="false">
      <c r="B438" s="65" t="s">
        <v>1030</v>
      </c>
      <c r="C438" s="25"/>
      <c r="D438" s="73" t="n">
        <f aca="false">IF(AND(D427=1,$I$21=1,$I$22=1),MIN(D434-D436,D437),0)</f>
        <v>0</v>
      </c>
      <c r="E438" s="73" t="n">
        <f aca="false">IF(AND(E427=1,$I$21=1,$I$22=1),MIN(E434-E436,E437),0)</f>
        <v>0</v>
      </c>
      <c r="F438" s="73" t="n">
        <f aca="false">IF(AND(F427=1,$I$21=1,$I$22=1),MIN(F434-F436,F437),0)</f>
        <v>0</v>
      </c>
      <c r="G438" s="73" t="n">
        <f aca="false">IF(AND(G427=1,$I$21=1,$I$22=1),MIN(G434-G436,G437),0)</f>
        <v>0</v>
      </c>
      <c r="H438" s="73" t="n">
        <f aca="false">IF(AND(H427=1,$I$21=1,$I$22=1),MIN(H434-H436,H437),0)</f>
        <v>0</v>
      </c>
      <c r="I438" s="73" t="n">
        <f aca="false">IF(AND(I427=1,$I$21=1,$I$22=1),MIN(I434-I436,I437),0)</f>
        <v>0</v>
      </c>
      <c r="J438" s="73" t="n">
        <f aca="false">IF(AND(J427=1,$I$21=1,$I$22=1),MIN(J434-J436,J437),0)</f>
        <v>0</v>
      </c>
      <c r="K438" s="73" t="n">
        <f aca="false">IF(AND(K427=1,$I$21=1,$I$22=1),MIN(K434-K436,K437),0)</f>
        <v>0</v>
      </c>
      <c r="L438" s="73" t="n">
        <f aca="false">IF(AND(L427=1,$I$21=1,$I$22=1),MIN(L434-L436,L437),0)</f>
        <v>0</v>
      </c>
      <c r="M438" s="73" t="n">
        <f aca="false">IF(AND(M427=1,$I$21=1,$I$22=1),MIN(M434-M436,M437),0)</f>
        <v>0</v>
      </c>
      <c r="N438" s="73" t="n">
        <f aca="false">IF(AND(N427=1,$I$21=1,$I$22=1),MIN(N434-N436,N437),0)</f>
        <v>0</v>
      </c>
      <c r="O438" s="73" t="n">
        <f aca="false">IF(AND(O427=1,$I$21=1,$I$22=1),MIN(O434-O436,O437),0)</f>
        <v>0</v>
      </c>
    </row>
    <row r="439" customFormat="false" ht="15" hidden="false" customHeight="false" outlineLevel="0" collapsed="false">
      <c r="B439" s="65" t="s">
        <v>1031</v>
      </c>
      <c r="C439" s="65" t="n">
        <v>0</v>
      </c>
      <c r="D439" s="65" t="n">
        <f aca="false">IF(C439=1,1,IF(AND(D427=1,$I$21=1,C443&gt;=Gate_dates,D434-D436-D438&gt;0.000001),1,0))</f>
        <v>0</v>
      </c>
      <c r="E439" s="65" t="n">
        <f aca="false">IF(D439=1,1,IF(AND(E427=1,$I$21=1,D443&gt;=Gate_dates,E434-E436-E438&gt;0.000001),1,0))</f>
        <v>0</v>
      </c>
      <c r="F439" s="65" t="n">
        <f aca="false">IF(E439=1,1,IF(AND(F427=1,$I$21=1,E443&gt;=Gate_dates,F434-F436-F438&gt;0.000001),1,0))</f>
        <v>0</v>
      </c>
      <c r="G439" s="65" t="n">
        <f aca="false">IF(F439=1,1,IF(AND(G427=1,$I$21=1,F443&gt;=Gate_dates,G434-G436-G438&gt;0.000001),1,0))</f>
        <v>0</v>
      </c>
      <c r="H439" s="65" t="n">
        <f aca="false">IF(G439=1,1,IF(AND(H427=1,$I$21=1,G443&gt;=Gate_dates,H434-H436-H438&gt;0.000001),1,0))</f>
        <v>0</v>
      </c>
      <c r="I439" s="65" t="n">
        <f aca="false">IF(H439=1,1,IF(AND(I427=1,$I$21=1,H443&gt;=Gate_dates,I434-I436-I438&gt;0.000001),1,0))</f>
        <v>0</v>
      </c>
      <c r="J439" s="65" t="n">
        <f aca="false">IF(I439=1,1,IF(AND(J427=1,$I$21=1,I443&gt;=Gate_dates,J434-J436-J438&gt;0.000001),1,0))</f>
        <v>0</v>
      </c>
      <c r="K439" s="65" t="n">
        <f aca="false">IF(J439=1,1,IF(AND(K427=1,$I$21=1,J443&gt;=Gate_dates,K434-K436-K438&gt;0.000001),1,0))</f>
        <v>0</v>
      </c>
      <c r="L439" s="65" t="n">
        <f aca="false">IF(K439=1,1,IF(AND(L427=1,$I$21=1,K443&gt;=Gate_dates,L434-L436-L438&gt;0.000001),1,0))</f>
        <v>0</v>
      </c>
      <c r="M439" s="65" t="n">
        <f aca="false">IF(L439=1,1,IF(AND(M427=1,$I$21=1,L443&gt;=Gate_dates,M434-M436-M438&gt;0.000001),1,0))</f>
        <v>0</v>
      </c>
      <c r="N439" s="65" t="n">
        <f aca="false">IF(M439=1,1,IF(AND(N427=1,$I$21=1,M443&gt;=Gate_dates,N434-N436-N438&gt;0.000001),1,0))</f>
        <v>0</v>
      </c>
      <c r="O439" s="65" t="n">
        <f aca="false">IF(N439=1,1,IF(AND(O427=1,$I$21=1,N443&gt;=Gate_dates,O434-O436-O438&gt;0.000001),1,0))</f>
        <v>0</v>
      </c>
    </row>
    <row r="440" customFormat="false" ht="15" hidden="false" customHeight="false" outlineLevel="0" collapsed="false">
      <c r="B440" s="65" t="s">
        <v>1032</v>
      </c>
      <c r="C440" s="25"/>
      <c r="D440" s="73" t="n">
        <f aca="false">IF(D439=1,0,D436+D438)</f>
        <v>1000000</v>
      </c>
      <c r="E440" s="73" t="n">
        <f aca="false">IF(E439=1,0,E436+E438)</f>
        <v>0</v>
      </c>
      <c r="F440" s="73" t="n">
        <f aca="false">IF(F439=1,0,F436+F438)</f>
        <v>815967.98139725</v>
      </c>
      <c r="G440" s="73" t="n">
        <f aca="false">IF(G439=1,0,G436+G438)</f>
        <v>0</v>
      </c>
      <c r="H440" s="73" t="n">
        <f aca="false">IF(H439=1,0,H436+H438)</f>
        <v>819062.871001301</v>
      </c>
      <c r="I440" s="73" t="n">
        <f aca="false">IF(I439=1,0,I436+I438)</f>
        <v>0</v>
      </c>
      <c r="J440" s="73" t="n">
        <f aca="false">IF(J439=1,0,J436+J438)</f>
        <v>823115.279754894</v>
      </c>
      <c r="K440" s="73" t="n">
        <f aca="false">IF(K439=1,0,K436+K438)</f>
        <v>0</v>
      </c>
      <c r="L440" s="73" t="n">
        <f aca="false">IF(L439=1,0,L436+L438)</f>
        <v>827212.222865841</v>
      </c>
      <c r="M440" s="73" t="n">
        <f aca="false">IF(M439=1,0,M436+M438)</f>
        <v>0</v>
      </c>
      <c r="N440" s="73" t="n">
        <f aca="false">IF(N439=1,0,N436+N438)</f>
        <v>833401.256100254</v>
      </c>
      <c r="O440" s="73" t="n">
        <f aca="false">IF(O439=1,0,O436+O438)</f>
        <v>0</v>
      </c>
    </row>
    <row r="441" customFormat="false" ht="15" hidden="false" customHeight="false" outlineLevel="0" collapsed="false">
      <c r="B441" s="65" t="s">
        <v>1033</v>
      </c>
      <c r="C441" s="73" t="n">
        <v>0</v>
      </c>
      <c r="D441" s="73" t="n">
        <f aca="false">D434-D440</f>
        <v>0</v>
      </c>
      <c r="E441" s="73" t="n">
        <f aca="false">E434-E440</f>
        <v>0</v>
      </c>
      <c r="F441" s="73" t="n">
        <f aca="false">F434-F440</f>
        <v>0</v>
      </c>
      <c r="G441" s="73" t="n">
        <f aca="false">G434-G440</f>
        <v>0</v>
      </c>
      <c r="H441" s="73" t="n">
        <f aca="false">H434-H440</f>
        <v>0</v>
      </c>
      <c r="I441" s="73" t="n">
        <f aca="false">I434-I440</f>
        <v>0</v>
      </c>
      <c r="J441" s="73" t="n">
        <f aca="false">J434-J440</f>
        <v>0</v>
      </c>
      <c r="K441" s="73" t="n">
        <f aca="false">K434-K440</f>
        <v>0</v>
      </c>
      <c r="L441" s="73" t="n">
        <f aca="false">L434-L440</f>
        <v>0</v>
      </c>
      <c r="M441" s="73" t="n">
        <f aca="false">M434-M440</f>
        <v>0</v>
      </c>
      <c r="N441" s="73" t="n">
        <f aca="false">N434-N440</f>
        <v>0</v>
      </c>
      <c r="O441" s="73" t="n">
        <f aca="false">O434-O440</f>
        <v>0</v>
      </c>
    </row>
    <row r="442" customFormat="false" ht="15" hidden="false" customHeight="false" outlineLevel="0" collapsed="false">
      <c r="B442" s="65" t="s">
        <v>1034</v>
      </c>
      <c r="C442" s="25"/>
      <c r="D442" s="65" t="n">
        <f aca="false">IF(AND(D427=1,D439=0,D441&gt;0.000001),1,0)</f>
        <v>0</v>
      </c>
      <c r="E442" s="65" t="n">
        <f aca="false">IF(AND(E427=1,E439=0,E441&gt;0.000001),1,0)</f>
        <v>0</v>
      </c>
      <c r="F442" s="65" t="n">
        <f aca="false">IF(AND(F427=1,F439=0,F441&gt;0.000001),1,0)</f>
        <v>0</v>
      </c>
      <c r="G442" s="65" t="n">
        <f aca="false">IF(AND(G427=1,G439=0,G441&gt;0.000001),1,0)</f>
        <v>0</v>
      </c>
      <c r="H442" s="65" t="n">
        <f aca="false">IF(AND(H427=1,H439=0,H441&gt;0.000001),1,0)</f>
        <v>0</v>
      </c>
      <c r="I442" s="65" t="n">
        <f aca="false">IF(AND(I427=1,I439=0,I441&gt;0.000001),1,0)</f>
        <v>0</v>
      </c>
      <c r="J442" s="65" t="n">
        <f aca="false">IF(AND(J427=1,J439=0,J441&gt;0.000001),1,0)</f>
        <v>0</v>
      </c>
      <c r="K442" s="65" t="n">
        <f aca="false">IF(AND(K427=1,K439=0,K441&gt;0.000001),1,0)</f>
        <v>0</v>
      </c>
      <c r="L442" s="65" t="n">
        <f aca="false">IF(AND(L427=1,L439=0,L441&gt;0.000001),1,0)</f>
        <v>0</v>
      </c>
      <c r="M442" s="65" t="n">
        <f aca="false">IF(AND(M427=1,M439=0,M441&gt;0.000001),1,0)</f>
        <v>0</v>
      </c>
      <c r="N442" s="65" t="n">
        <f aca="false">IF(AND(N427=1,N439=0,N441&gt;0.000001),1,0)</f>
        <v>0</v>
      </c>
      <c r="O442" s="65" t="n">
        <f aca="false">IF(AND(O427=1,O439=0,O441&gt;0.000001),1,0)</f>
        <v>0</v>
      </c>
    </row>
    <row r="443" customFormat="false" ht="15" hidden="false" customHeight="false" outlineLevel="0" collapsed="false">
      <c r="B443" s="65" t="s">
        <v>843</v>
      </c>
      <c r="C443" s="65" t="n">
        <v>0</v>
      </c>
      <c r="D443" s="65" t="n">
        <f aca="false">IF(D427=1,IF(D442=1,C443+1,0),C443)</f>
        <v>0</v>
      </c>
      <c r="E443" s="65" t="n">
        <f aca="false">IF(E427=1,IF(E442=1,D443+1,0),D443)</f>
        <v>0</v>
      </c>
      <c r="F443" s="65" t="n">
        <f aca="false">IF(F427=1,IF(F442=1,E443+1,0),E443)</f>
        <v>0</v>
      </c>
      <c r="G443" s="65" t="n">
        <f aca="false">IF(G427=1,IF(G442=1,F443+1,0),F443)</f>
        <v>0</v>
      </c>
      <c r="H443" s="65" t="n">
        <f aca="false">IF(H427=1,IF(H442=1,G443+1,0),G443)</f>
        <v>0</v>
      </c>
      <c r="I443" s="65" t="n">
        <f aca="false">IF(I427=1,IF(I442=1,H443+1,0),H443)</f>
        <v>0</v>
      </c>
      <c r="J443" s="65" t="n">
        <f aca="false">IF(J427=1,IF(J442=1,I443+1,0),I443)</f>
        <v>0</v>
      </c>
      <c r="K443" s="65" t="n">
        <f aca="false">IF(K427=1,IF(K442=1,J443+1,0),J443)</f>
        <v>0</v>
      </c>
      <c r="L443" s="65" t="n">
        <f aca="false">IF(L427=1,IF(L442=1,K443+1,0),K443)</f>
        <v>0</v>
      </c>
      <c r="M443" s="65" t="n">
        <f aca="false">IF(M427=1,IF(M442=1,L443+1,0),L443)</f>
        <v>0</v>
      </c>
      <c r="N443" s="65" t="n">
        <f aca="false">IF(N427=1,IF(N442=1,M443+1,0),M443)</f>
        <v>0</v>
      </c>
      <c r="O443" s="65" t="n">
        <f aca="false">IF(O427=1,IF(O442=1,N443+1,0),N443)</f>
        <v>0</v>
      </c>
    </row>
    <row r="444" customFormat="false" ht="15" hidden="false" customHeight="false" outlineLevel="0" collapsed="false">
      <c r="B444" s="65" t="s">
        <v>1035</v>
      </c>
      <c r="C444" s="73" t="n">
        <f aca="false">AN_cible*Ws_MAPIF</f>
        <v>12500000</v>
      </c>
      <c r="D444" s="73" t="n">
        <f aca="false">C444*(1+Rend_MAPIF/4)*IF(D425=1,(1-(Cap_MAPIF*$I$15+(1-Cap_MAPIF)*$I$16))*(1+1*$I$14),1)+D454-D448-D469*IF((C444+C445+C446+C447)&gt;0,C444/(C444+C445+C446+C447),0)</f>
        <v>8824412.5</v>
      </c>
      <c r="E444" s="73" t="n">
        <f aca="false">D444*(1+Rend_MAPIF/4)*IF(E425=1,(1-(Cap_MAPIF*$I$15+(1-Cap_MAPIF)*$I$16))*(1+1*$I$14),1)+E454-E448-E469*IF((D444+D445+D446+D447)&gt;0,D444/(D444+D445+D446+D447),0)</f>
        <v>9211331.0865625</v>
      </c>
      <c r="F444" s="73" t="n">
        <f aca="false">E444*(1+Rend_MAPIF/4)*IF(F425=1,(1-(Cap_MAPIF*$I$15+(1-Cap_MAPIF)*$I$16))*(1+1*$I$14),1)+F454-F448-F469*IF((E444+E445+E446+E447)&gt;0,E444/(E444+E445+E446+E447),0)</f>
        <v>9601238.6192062</v>
      </c>
      <c r="G444" s="73" t="n">
        <f aca="false">F444*(1+Rend_MAPIF/4)*IF(G425=1,(1-(Cap_MAPIF*$I$15+(1-Cap_MAPIF)*$I$16))*(1+1*$I$14),1)+G454-G448-G469*IF((F444+F445+F446+F447)&gt;0,F444/(F444+F445+F446+F447),0)</f>
        <v>9994158.18753957</v>
      </c>
      <c r="H444" s="73" t="n">
        <f aca="false">G444*(1+Rend_MAPIF/4)*IF(H425=1,(1-(Cap_MAPIF*$I$15+(1-Cap_MAPIF)*$I$16))*(1+1*$I$14),1)+H454-H448-H469*IF((G444+G445+G446+G447)&gt;0,G444/(G444+G445+G446+G447),0)</f>
        <v>10390113.0595383</v>
      </c>
      <c r="I444" s="73" t="n">
        <f aca="false">H444*(1+Rend_MAPIF/4)*IF(I425=1,(1-(Cap_MAPIF*$I$15+(1-Cap_MAPIF)*$I$16))*(1+1*$I$14),1)+I454-I448-I469*IF((H444+H445+H446+H447)&gt;0,H444/(H444+H445+H446+H447),0)</f>
        <v>10789126.6829232</v>
      </c>
      <c r="J444" s="73" t="n">
        <f aca="false">I444*(1+Rend_MAPIF/4)*IF(J425=1,(1-(Cap_MAPIF*$I$15+(1-Cap_MAPIF)*$I$16))*(1+1*$I$14),1)+J454-J448-J469*IF((I444+I445+I446+I447)&gt;0,I444/(I444+I445+I446+I447),0)</f>
        <v>11191222.6865488</v>
      </c>
      <c r="K444" s="73" t="n">
        <f aca="false">J444*(1+Rend_MAPIF/4)*IF(K425=1,(1-(Cap_MAPIF*$I$15+(1-Cap_MAPIF)*$I$16))*(1+1*$I$14),1)+K454-K448-K469*IF((J444+J445+J446+J447)&gt;0,J444/(J444+J445+J446+J447),0)</f>
        <v>11596424.8818024</v>
      </c>
      <c r="L444" s="73" t="n">
        <f aca="false">K444*(1+Rend_MAPIF/4)*IF(L425=1,(1-(Cap_MAPIF*$I$15+(1-Cap_MAPIF)*$I$16))*(1+1*$I$14),1)+L454-L448-L469*IF((K444+K445+K446+K447)&gt;0,K444/(K444+K445+K446+K447),0)</f>
        <v>12004757.2640143</v>
      </c>
      <c r="M444" s="73" t="n">
        <f aca="false">L444*(1+Rend_MAPIF/4)*IF(M425=1,(1-(Cap_MAPIF*$I$15+(1-Cap_MAPIF)*$I$16))*(1+1*$I$14),1)+M454-M448-M469*IF((L444+L445+L446+L447)&gt;0,L444/(L444+L445+L446+L447),0)</f>
        <v>12416244.0138789</v>
      </c>
      <c r="N444" s="73" t="n">
        <f aca="false">M444*(1+Rend_MAPIF/4)*IF(N425=1,(1-(Cap_MAPIF*$I$15+(1-Cap_MAPIF)*$I$16))*(1+1*$I$14),1)+N454-N448-N469*IF((M444+M445+M446+M447)&gt;0,M444/(M444+M445+M446+M447),0)</f>
        <v>12830909.4988861</v>
      </c>
      <c r="O444" s="73" t="n">
        <f aca="false">N444*(1+Rend_MAPIF/4)*IF(O425=1,(1-(Cap_MAPIF*$I$15+(1-Cap_MAPIF)*$I$16))*(1+1*$I$14),1)+O454-O448-O469*IF((N444+N445+N446+N447)&gt;0,N444/(N444+N445+N446+N447),0)</f>
        <v>13248778.274765</v>
      </c>
    </row>
    <row r="445" customFormat="false" ht="15" hidden="false" customHeight="false" outlineLevel="0" collapsed="false">
      <c r="B445" s="65" t="s">
        <v>1036</v>
      </c>
      <c r="C445" s="73" t="n">
        <f aca="false">AN_cible*Ws_MSIG</f>
        <v>5500000</v>
      </c>
      <c r="D445" s="73" t="n">
        <f aca="false">C445*(1+Rend_MSIG/4)*IF(D425=1,(1-(Cap_MSIG*$I$15+(1-Cap_MSIG)*$I$16))*(1+MSIG_USD*$I$14),1)+D455-D449-D469*IF((C444+C445+C446+C447)&gt;0,C445/(C444+C445+C446+C447),0)</f>
        <v>5211288.75</v>
      </c>
      <c r="E445" s="73" t="n">
        <f aca="false">D445*(1+Rend_MSIG/4)*IF(E425=1,(1-(Cap_MSIG*$I$15+(1-Cap_MSIG)*$I$16))*(1+MSIG_USD*$I$14),1)+E455-E449-E469*IF((D444+D445+D446+D447)&gt;0,D445/(D444+D445+D446+D447),0)</f>
        <v>5483306.44496875</v>
      </c>
      <c r="F445" s="73" t="n">
        <f aca="false">E445*(1+Rend_MSIG/4)*IF(F425=1,(1-(Cap_MSIG*$I$15+(1-Cap_MSIG)*$I$16))*(1+MSIG_USD*$I$14),1)+F455-F449-F469*IF((E444+E445+E446+E447)&gt;0,E445/(E444+E445+E446+E447),0)</f>
        <v>5756473.41469874</v>
      </c>
      <c r="G445" s="73" t="n">
        <f aca="false">F445*(1+Rend_MSIG/4)*IF(G425=1,(1-(Cap_MSIG*$I$15+(1-Cap_MSIG)*$I$16))*(1+MSIG_USD*$I$14),1)+G455-G449-G469*IF((F444+F445+F446+F447)&gt;0,F445/(F444+F445+F446+F447),0)</f>
        <v>6030794.51487585</v>
      </c>
      <c r="H445" s="73" t="n">
        <f aca="false">G445*(1+Rend_MSIG/4)*IF(H425=1,(1-(Cap_MSIG*$I$15+(1-Cap_MSIG)*$I$16))*(1+MSIG_USD*$I$14),1)+H455-H449-H469*IF((G444+G445+G446+G447)&gt;0,G445/(G444+G445+G446+G447),0)</f>
        <v>6306274.6217012</v>
      </c>
      <c r="I445" s="73" t="n">
        <f aca="false">H445*(1+Rend_MSIG/4)*IF(I425=1,(1-(Cap_MSIG*$I$15+(1-Cap_MSIG)*$I$16))*(1+MSIG_USD*$I$14),1)+I455-I449-I469*IF((H444+H445+H446+H447)&gt;0,H445/(H444+H445+H446+H447),0)</f>
        <v>6582918.63197788</v>
      </c>
      <c r="J445" s="73" t="n">
        <f aca="false">I445*(1+Rend_MSIG/4)*IF(J425=1,(1-(Cap_MSIG*$I$15+(1-Cap_MSIG)*$I$16))*(1+MSIG_USD*$I$14),1)+J455-J449-J469*IF((I444+I445+I446+I447)&gt;0,I445/(I444+I445+I446+I447),0)</f>
        <v>6860731.46319799</v>
      </c>
      <c r="K445" s="73" t="n">
        <f aca="false">J445*(1+Rend_MSIG/4)*IF(K425=1,(1-(Cap_MSIG*$I$15+(1-Cap_MSIG)*$I$16))*(1+MSIG_USD*$I$14),1)+K455-K449-K469*IF((J444+J445+J446+J447)&gt;0,J445/(J444+J445+J446+J447),0)</f>
        <v>7139718.05363</v>
      </c>
      <c r="L445" s="73" t="n">
        <f aca="false">K445*(1+Rend_MSIG/4)*IF(L425=1,(1-(Cap_MSIG*$I$15+(1-Cap_MSIG)*$I$16))*(1+MSIG_USD*$I$14),1)+L455-L449-L469*IF((K444+K445+K446+K447)&gt;0,K445/(K444+K445+K446+K447),0)</f>
        <v>7419883.36240659</v>
      </c>
      <c r="M445" s="73" t="n">
        <f aca="false">L445*(1+Rend_MSIG/4)*IF(M425=1,(1-(Cap_MSIG*$I$15+(1-Cap_MSIG)*$I$16))*(1+MSIG_USD*$I$14),1)+M455-M449-M469*IF((L444+L445+L446+L447)&gt;0,L445/(L444+L445+L446+L447),0)</f>
        <v>7701232.36961276</v>
      </c>
      <c r="N445" s="73" t="n">
        <f aca="false">M445*(1+Rend_MSIG/4)*IF(N425=1,(1-(Cap_MSIG*$I$15+(1-Cap_MSIG)*$I$16))*(1+MSIG_USD*$I$14),1)+N455-N449-N469*IF((M444+M445+M446+M447)&gt;0,M445/(M444+M445+M446+M447),0)</f>
        <v>7983770.07637437</v>
      </c>
      <c r="O445" s="73" t="n">
        <f aca="false">N445*(1+Rend_MSIG/4)*IF(O425=1,(1-(Cap_MSIG*$I$15+(1-Cap_MSIG)*$I$16))*(1+MSIG_USD*$I$14),1)+O455-O449-O469*IF((N444+N445+N446+N447)&gt;0,N445/(N444+N445+N446+N447),0)</f>
        <v>8267501.50494705</v>
      </c>
    </row>
    <row r="446" customFormat="false" ht="15" hidden="false" customHeight="false" outlineLevel="0" collapsed="false">
      <c r="B446" s="65" t="s">
        <v>1037</v>
      </c>
      <c r="C446" s="73" t="n">
        <f aca="false">AN_cible*Ws_PG</f>
        <v>12250000</v>
      </c>
      <c r="D446" s="73" t="n">
        <f aca="false">C446*(1+Rend_PG/4)*IF(D425=1,(1-(Cap_PG*$I$15+(1-Cap_PG)*$I$16))*(1+0*$I$14),1)-D450-D466*IF((D456+D457)&gt;0,D456/(D456+D457),0)+D471/2-D469*IF((C444+C445+C446+C447)&gt;0,C446/(C444+C445+C446+C447),0)</f>
        <v>9376395</v>
      </c>
      <c r="E446" s="73" t="n">
        <f aca="false">D446*(1+Rend_PG/4)*IF(E425=1,(1-(Cap_PG*$I$15+(1-Cap_PG)*$I$16))*(1+0*$I$14),1)-E450-E466*IF((E456+E457)&gt;0,E456/(E456+E457),0)+E471/2-E469*IF((D444+D445+D446+D447)&gt;0,D446/(D444+D445+D446+D447),0)</f>
        <v>9568845.507375</v>
      </c>
      <c r="F446" s="73" t="n">
        <f aca="false">E446*(1+Rend_PG/4)*IF(F425=1,(1-(Cap_PG*$I$15+(1-Cap_PG)*$I$16))*(1+0*$I$14),1)-F450-F466*IF((F456+F457)&gt;0,F456/(F456+F457),0)+F471/2-F469*IF((E444+E445+E446+E447)&gt;0,E446/(E444+E445+E446+E447),0)</f>
        <v>9300030.02566798</v>
      </c>
      <c r="G446" s="73" t="n">
        <f aca="false">F446*(1+Rend_PG/4)*IF(G425=1,(1-(Cap_PG*$I$15+(1-Cap_PG)*$I$16))*(1+0*$I$14),1)-G450-G466*IF((G456+G457)&gt;0,G456/(G456+G457),0)+G471/2-G469*IF((F444+F445+F446+F447)&gt;0,F446/(F444+F445+F446+F447),0)</f>
        <v>9300842.64070953</v>
      </c>
      <c r="H446" s="73" t="n">
        <f aca="false">G446*(1+Rend_PG/4)*IF(H425=1,(1-(Cap_PG*$I$15+(1-Cap_PG)*$I$16))*(1+0*$I$14),1)-H450-H466*IF((H456+H457)&gt;0,H456/(H456+H457),0)+H471/2-H469*IF((G444+G445+G446+G447)&gt;0,G446/(G444+G445+G446+G447),0)</f>
        <v>9026700.30387461</v>
      </c>
      <c r="I446" s="73" t="n">
        <f aca="false">H446*(1+Rend_PG/4)*IF(I425=1,(1-(Cap_PG*$I$15+(1-Cap_PG)*$I$16))*(1+0*$I$14),1)-I450-I466*IF((I456+I457)&gt;0,I456/(I456+I457),0)+I471/2-I469*IF((H444+H445+H446+H447)&gt;0,H446/(H444+H445+H446+H447),0)</f>
        <v>8826820.76888768</v>
      </c>
      <c r="J446" s="73" t="n">
        <f aca="false">I446*(1+Rend_PG/4)*IF(J425=1,(1-(Cap_PG*$I$15+(1-Cap_PG)*$I$16))*(1+0*$I$14),1)-J450-J466*IF((J456+J457)&gt;0,J456/(J456+J457),0)+J471/2-J469*IF((I444+I445+I446+I447)&gt;0,I446/(I444+I445+I446+I447),0)</f>
        <v>8566650.22672472</v>
      </c>
      <c r="K446" s="73" t="n">
        <f aca="false">J446*(1+Rend_PG/4)*IF(K425=1,(1-(Cap_PG*$I$15+(1-Cap_PG)*$I$16))*(1+0*$I$14),1)-K450-K466*IF((K456+K457)&gt;0,K456/(K456+K457),0)+K471/2-K469*IF((J444+J445+J446+J447)&gt;0,J446/(J444+J445+J446+J447),0)</f>
        <v>8328001.97345307</v>
      </c>
      <c r="L446" s="73" t="n">
        <f aca="false">K446*(1+Rend_PG/4)*IF(L425=1,(1-(Cap_PG*$I$15+(1-Cap_PG)*$I$16))*(1+0*$I$14),1)-L450-L466*IF((L456+L457)&gt;0,L456/(L456+L457),0)+L471/2-L469*IF((K444+K445+K446+K447)&gt;0,K446/(K444+K445+K446+K447),0)</f>
        <v>8082534.11528554</v>
      </c>
      <c r="M446" s="73" t="n">
        <f aca="false">L446*(1+Rend_PG/4)*IF(M425=1,(1-(Cap_PG*$I$15+(1-Cap_PG)*$I$16))*(1+0*$I$14),1)-M450-M466*IF((M456+M457)&gt;0,M456/(M456+M457),0)+M471/2-M469*IF((L444+L445+L446+L447)&gt;0,L446/(L444+L445+L446+L447),0)</f>
        <v>7858465.17213779</v>
      </c>
      <c r="N446" s="73" t="n">
        <f aca="false">M446*(1+Rend_PG/4)*IF(N425=1,(1-(Cap_PG*$I$15+(1-Cap_PG)*$I$16))*(1+0*$I$14),1)-N450-N466*IF((N456+N457)&gt;0,N456/(N456+N457),0)+N471/2-N469*IF((M444+M445+M446+M447)&gt;0,M446/(M444+M445+M446+M447),0)</f>
        <v>7626836.91118903</v>
      </c>
      <c r="O446" s="73" t="n">
        <f aca="false">N446*(1+Rend_PG/4)*IF(O425=1,(1-(Cap_PG*$I$15+(1-Cap_PG)*$I$16))*(1+0*$I$14),1)-O450-O466*IF((O456+O457)&gt;0,O456/(O456+O457),0)+O471/2-O469*IF((N444+N445+N446+N447)&gt;0,N446/(N444+N445+N446+N447),0)</f>
        <v>7402035.89323173</v>
      </c>
    </row>
    <row r="447" customFormat="false" ht="15" hidden="false" customHeight="false" outlineLevel="0" collapsed="false">
      <c r="B447" s="65" t="s">
        <v>1038</v>
      </c>
      <c r="C447" s="73" t="n">
        <f aca="false">AN_cible*Ws_ARES</f>
        <v>12250000</v>
      </c>
      <c r="D447" s="73" t="n">
        <f aca="false">C447*(1+Rend_ARES/4)*IF(D425=1,(1-(Cap_ARES*$I$15+(1-Cap_ARES)*$I$16))*(1+0*$I$14),1)-D451-D466*IF((D456+D457)&gt;0,D457/(D456+D457),0)/(1-IF(D425&lt;=Deduc_trim,Deduc_ares,0))+D471/2-D469*IF((C444+C445+C446+C447)&gt;0,C447/(C444+C445+C446+C447),0)</f>
        <v>9603699.875</v>
      </c>
      <c r="E447" s="73" t="n">
        <f aca="false">D447*(1+Rend_ARES/4)*IF(E425=1,(1-(Cap_ARES*$I$15+(1-Cap_ARES)*$I$16))*(1+0*$I$14),1)-E451-E466*IF((E456+E457)&gt;0,E457/(E456+E457),0)/(1-IF(E425&lt;=Deduc_trim,Deduc_ares,0))+E471/2-E469*IF((D444+D445+D446+D447)&gt;0,D447/(D444+D445+D446+D447),0)</f>
        <v>9674287.06908125</v>
      </c>
      <c r="F447" s="73" t="n">
        <f aca="false">E447*(1+Rend_ARES/4)*IF(F425=1,(1-(Cap_ARES*$I$15+(1-Cap_ARES)*$I$16))*(1+0*$I$14),1)-F451-F466*IF((F456+F457)&gt;0,F457/(F456+F457),0)/(1-IF(F425&lt;=Deduc_trim,Deduc_ares,0))+F471/2-F469*IF((E444+E445+E446+E447)&gt;0,E447/(E444+E445+E446+E447),0)</f>
        <v>9275050.70853286</v>
      </c>
      <c r="G447" s="73" t="n">
        <f aca="false">F447*(1+Rend_ARES/4)*IF(G425=1,(1-(Cap_ARES*$I$15+(1-Cap_ARES)*$I$16))*(1+0*$I$14),1)-G451-G466*IF((G456+G457)&gt;0,G457/(G456+G457),0)/(1-IF(G425&lt;=Deduc_trim,Deduc_ares,0))+G471/2-G469*IF((F444+F445+F446+F447)&gt;0,F447/(F444+F445+F446+F447),0)</f>
        <v>9153662.34785472</v>
      </c>
      <c r="H447" s="73" t="n">
        <f aca="false">G447*(1+Rend_ARES/4)*IF(H425=1,(1-(Cap_ARES*$I$15+(1-Cap_ARES)*$I$16))*(1+0*$I$14),1)-H451-H466*IF((H456+H457)&gt;0,H457/(H456+H457),0)/(1-IF(H425&lt;=Deduc_trim,Deduc_ares,0))+H471/2-H469*IF((G444+G445+G446+G447)&gt;0,G447/(G444+G445+G446+G447),0)</f>
        <v>8763258.64871872</v>
      </c>
      <c r="I447" s="73" t="n">
        <f aca="false">H447*(1+Rend_ARES/4)*IF(I425=1,(1-(Cap_ARES*$I$15+(1-Cap_ARES)*$I$16))*(1+0*$I$14),1)-I451-I466*IF((I456+I457)&gt;0,I457/(I456+I457),0)/(1-IF(I425&lt;=Deduc_trim,Deduc_ares,0))+I471/2-I469*IF((H444+H445+H446+H447)&gt;0,H447/(H444+H445+H446+H447),0)</f>
        <v>8453756.60784162</v>
      </c>
      <c r="J447" s="73" t="n">
        <f aca="false">I447*(1+Rend_ARES/4)*IF(J425=1,(1-(Cap_ARES*$I$15+(1-Cap_ARES)*$I$16))*(1+0*$I$14),1)-J451-J466*IF((J456+J457)&gt;0,J457/(J456+J457),0)/(1-IF(J425&lt;=Deduc_trim,Deduc_ares,0))+J471/2-J469*IF((I444+I445+I446+I447)&gt;0,I447/(I444+I445+I446+I447),0)</f>
        <v>8093203.88851718</v>
      </c>
      <c r="K447" s="73" t="n">
        <f aca="false">J447*(1+Rend_ARES/4)*IF(K425=1,(1-(Cap_ARES*$I$15+(1-Cap_ARES)*$I$16))*(1+0*$I$14),1)-K451-K466*IF((K456+K457)&gt;0,K457/(K456+K457),0)/(1-IF(K425&lt;=Deduc_trim,Deduc_ares,0))+K471/2-K469*IF((J444+J445+J446+J447)&gt;0,J447/(J444+J445+J446+J447),0)</f>
        <v>7761116.85982684</v>
      </c>
      <c r="L447" s="73" t="n">
        <f aca="false">K447*(1+Rend_ARES/4)*IF(L425=1,(1-(Cap_ARES*$I$15+(1-Cap_ARES)*$I$16))*(1+0*$I$14),1)-L451-L466*IF((L456+L457)&gt;0,L457/(L456+L457),0)/(1-IF(L425&lt;=Deduc_trim,Deduc_ares,0))+L471/2-L469*IF((K444+K445+K446+K447)&gt;0,K447/(K444+K445+K446+K447),0)</f>
        <v>7430105.22575522</v>
      </c>
      <c r="M447" s="73" t="n">
        <f aca="false">L447*(1+Rend_ARES/4)*IF(M425=1,(1-(Cap_ARES*$I$15+(1-Cap_ARES)*$I$16))*(1+0*$I$14),1)-M451-M466*IF((M456+M457)&gt;0,M457/(M456+M457),0)/(1-IF(M425&lt;=Deduc_trim,Deduc_ares,0))+M471/2-M469*IF((L444+L445+L446+L447)&gt;0,L447/(L444+L445+L446+L447),0)</f>
        <v>7126231.67808145</v>
      </c>
      <c r="N447" s="73" t="n">
        <f aca="false">M447*(1+Rend_ARES/4)*IF(N425=1,(1-(Cap_ARES*$I$15+(1-Cap_ARES)*$I$16))*(1+0*$I$14),1)-N451-N466*IF((N456+N457)&gt;0,N457/(N456+N457),0)/(1-IF(N425&lt;=Deduc_trim,Deduc_ares,0))+N471/2-N469*IF((M444+M445+M446+M447)&gt;0,M447/(M444+M445+M446+M447),0)</f>
        <v>6822297.89701127</v>
      </c>
      <c r="O447" s="73" t="n">
        <f aca="false">N447*(1+Rend_ARES/4)*IF(O425=1,(1-(Cap_ARES*$I$15+(1-Cap_ARES)*$I$16))*(1+0*$I$14),1)-O451-O466*IF((O456+O457)&gt;0,O457/(O456+O457),0)/(1-IF(O425&lt;=Deduc_trim,Deduc_ares,0))+O471/2-O469*IF((N444+N445+N446+N447)&gt;0,N447/(N444+N445+N446+N447),0)</f>
        <v>6531326.89170374</v>
      </c>
    </row>
    <row r="448" customFormat="false" ht="15" hidden="false" customHeight="false" outlineLevel="0" collapsed="false">
      <c r="B448" s="65" t="s">
        <v>1039</v>
      </c>
      <c r="C448" s="25"/>
      <c r="D448" s="73" t="n">
        <f aca="false">C444*Dist_MAPIF/4*IF(D425&lt;=$I$11,0,$I$10)</f>
        <v>187500</v>
      </c>
      <c r="E448" s="73" t="n">
        <f aca="false">D444*Dist_MAPIF/4*IF(E425&lt;=$I$11,0,$I$10)</f>
        <v>132366.1875</v>
      </c>
      <c r="F448" s="73" t="n">
        <f aca="false">E444*Dist_MAPIF/4*IF(F425&lt;=$I$11,0,$I$10)</f>
        <v>138169.966298438</v>
      </c>
      <c r="G448" s="73" t="n">
        <f aca="false">F444*Dist_MAPIF/4*IF(G425&lt;=$I$11,0,$I$10)</f>
        <v>144018.579288093</v>
      </c>
      <c r="H448" s="73" t="n">
        <f aca="false">G444*Dist_MAPIF/4*IF(H425&lt;=$I$11,0,$I$10)</f>
        <v>149912.372813094</v>
      </c>
      <c r="I448" s="73" t="n">
        <f aca="false">H444*Dist_MAPIF/4*IF(I425&lt;=$I$11,0,$I$10)</f>
        <v>155851.695893075</v>
      </c>
      <c r="J448" s="73" t="n">
        <f aca="false">I444*Dist_MAPIF/4*IF(J425&lt;=$I$11,0,$I$10)</f>
        <v>161836.900243849</v>
      </c>
      <c r="K448" s="73" t="n">
        <f aca="false">J444*Dist_MAPIF/4*IF(K425&lt;=$I$11,0,$I$10)</f>
        <v>167868.340298232</v>
      </c>
      <c r="L448" s="73" t="n">
        <f aca="false">K444*Dist_MAPIF/4*IF(L425&lt;=$I$11,0,$I$10)</f>
        <v>173946.373227036</v>
      </c>
      <c r="M448" s="73" t="n">
        <f aca="false">L444*Dist_MAPIF/4*IF(M425&lt;=$I$11,0,$I$10)</f>
        <v>180071.358960215</v>
      </c>
      <c r="N448" s="73" t="n">
        <f aca="false">M444*Dist_MAPIF/4*IF(N425&lt;=$I$11,0,$I$10)</f>
        <v>186243.660208183</v>
      </c>
      <c r="O448" s="73" t="n">
        <f aca="false">N444*Dist_MAPIF/4*IF(O425&lt;=$I$11,0,$I$10)</f>
        <v>192463.642483291</v>
      </c>
    </row>
    <row r="449" customFormat="false" ht="15" hidden="false" customHeight="false" outlineLevel="0" collapsed="false">
      <c r="B449" s="65" t="s">
        <v>1040</v>
      </c>
      <c r="C449" s="25"/>
      <c r="D449" s="73" t="n">
        <f aca="false">C445*Dist_MSIG/4*IF(D425&lt;=$I$11,0,$I$10)</f>
        <v>96250</v>
      </c>
      <c r="E449" s="73" t="n">
        <f aca="false">D445*Dist_MSIG/4*IF(E425&lt;=$I$11,0,$I$10)</f>
        <v>91197.553125</v>
      </c>
      <c r="F449" s="73" t="n">
        <f aca="false">E445*Dist_MSIG/4*IF(F425&lt;=$I$11,0,$I$10)</f>
        <v>95957.8627869532</v>
      </c>
      <c r="G449" s="73" t="n">
        <f aca="false">F445*Dist_MSIG/4*IF(G425&lt;=$I$11,0,$I$10)</f>
        <v>100738.284757228</v>
      </c>
      <c r="H449" s="73" t="n">
        <f aca="false">G445*Dist_MSIG/4*IF(H425&lt;=$I$11,0,$I$10)</f>
        <v>105538.904010327</v>
      </c>
      <c r="I449" s="73" t="n">
        <f aca="false">H445*Dist_MSIG/4*IF(I425&lt;=$I$11,0,$I$10)</f>
        <v>110359.805879771</v>
      </c>
      <c r="J449" s="73" t="n">
        <f aca="false">I445*Dist_MSIG/4*IF(J425&lt;=$I$11,0,$I$10)</f>
        <v>115201.076059613</v>
      </c>
      <c r="K449" s="73" t="n">
        <f aca="false">J445*Dist_MSIG/4*IF(K425&lt;=$I$11,0,$I$10)</f>
        <v>120062.800605965</v>
      </c>
      <c r="L449" s="73" t="n">
        <f aca="false">K445*Dist_MSIG/4*IF(L425&lt;=$I$11,0,$I$10)</f>
        <v>124945.065938525</v>
      </c>
      <c r="M449" s="73" t="n">
        <f aca="false">L445*Dist_MSIG/4*IF(M425&lt;=$I$11,0,$I$10)</f>
        <v>129847.958842115</v>
      </c>
      <c r="N449" s="73" t="n">
        <f aca="false">M445*Dist_MSIG/4*IF(N425&lt;=$I$11,0,$I$10)</f>
        <v>134771.566468223</v>
      </c>
      <c r="O449" s="73" t="n">
        <f aca="false">N445*Dist_MSIG/4*IF(O425&lt;=$I$11,0,$I$10)</f>
        <v>139715.976336552</v>
      </c>
    </row>
    <row r="450" customFormat="false" ht="15" hidden="false" customHeight="false" outlineLevel="0" collapsed="false">
      <c r="B450" s="65" t="s">
        <v>1041</v>
      </c>
      <c r="C450" s="25"/>
      <c r="D450" s="73" t="n">
        <f aca="false">C446*Dist_PG/4*IF(D425&lt;=$I$11,0,$I$10)</f>
        <v>61250</v>
      </c>
      <c r="E450" s="73" t="n">
        <f aca="false">D446*Dist_PG/4*IF(E425&lt;=$I$11,0,$I$10)</f>
        <v>46881.975</v>
      </c>
      <c r="F450" s="73" t="n">
        <f aca="false">E446*Dist_PG/4*IF(F425&lt;=$I$11,0,$I$10)</f>
        <v>47844.227536875</v>
      </c>
      <c r="G450" s="73" t="n">
        <f aca="false">F446*Dist_PG/4*IF(G425&lt;=$I$11,0,$I$10)</f>
        <v>46500.1501283399</v>
      </c>
      <c r="H450" s="73" t="n">
        <f aca="false">G446*Dist_PG/4*IF(H425&lt;=$I$11,0,$I$10)</f>
        <v>46504.2132035476</v>
      </c>
      <c r="I450" s="73" t="n">
        <f aca="false">H446*Dist_PG/4*IF(I425&lt;=$I$11,0,$I$10)</f>
        <v>45133.5015193731</v>
      </c>
      <c r="J450" s="73" t="n">
        <f aca="false">I446*Dist_PG/4*IF(J425&lt;=$I$11,0,$I$10)</f>
        <v>44134.1038444384</v>
      </c>
      <c r="K450" s="73" t="n">
        <f aca="false">J446*Dist_PG/4*IF(K425&lt;=$I$11,0,$I$10)</f>
        <v>42833.2511336236</v>
      </c>
      <c r="L450" s="73" t="n">
        <f aca="false">K446*Dist_PG/4*IF(L425&lt;=$I$11,0,$I$10)</f>
        <v>41640.0098672654</v>
      </c>
      <c r="M450" s="73" t="n">
        <f aca="false">L446*Dist_PG/4*IF(M425&lt;=$I$11,0,$I$10)</f>
        <v>40412.6705764277</v>
      </c>
      <c r="N450" s="73" t="n">
        <f aca="false">M446*Dist_PG/4*IF(N425&lt;=$I$11,0,$I$10)</f>
        <v>39292.325860689</v>
      </c>
      <c r="O450" s="73" t="n">
        <f aca="false">N446*Dist_PG/4*IF(O425&lt;=$I$11,0,$I$10)</f>
        <v>38134.1845559452</v>
      </c>
    </row>
    <row r="451" customFormat="false" ht="15" hidden="false" customHeight="false" outlineLevel="0" collapsed="false">
      <c r="B451" s="65" t="s">
        <v>1042</v>
      </c>
      <c r="C451" s="25"/>
      <c r="D451" s="73" t="n">
        <f aca="false">C447*Dist_ARES/4*IF(D425&lt;=$I$11,0,$I$10)</f>
        <v>153125</v>
      </c>
      <c r="E451" s="73" t="n">
        <f aca="false">D447*Dist_ARES/4*IF(E425&lt;=$I$11,0,$I$10)</f>
        <v>120046.2484375</v>
      </c>
      <c r="F451" s="73" t="n">
        <f aca="false">E447*Dist_ARES/4*IF(F425&lt;=$I$11,0,$I$10)</f>
        <v>120928.588363516</v>
      </c>
      <c r="G451" s="73" t="n">
        <f aca="false">F447*Dist_ARES/4*IF(G425&lt;=$I$11,0,$I$10)</f>
        <v>115938.133856661</v>
      </c>
      <c r="H451" s="73" t="n">
        <f aca="false">G447*Dist_ARES/4*IF(H425&lt;=$I$11,0,$I$10)</f>
        <v>114420.779348184</v>
      </c>
      <c r="I451" s="73" t="n">
        <f aca="false">H447*Dist_ARES/4*IF(I425&lt;=$I$11,0,$I$10)</f>
        <v>109540.733108984</v>
      </c>
      <c r="J451" s="73" t="n">
        <f aca="false">I447*Dist_ARES/4*IF(J425&lt;=$I$11,0,$I$10)</f>
        <v>105671.95759802</v>
      </c>
      <c r="K451" s="73" t="n">
        <f aca="false">J447*Dist_ARES/4*IF(K425&lt;=$I$11,0,$I$10)</f>
        <v>101165.048606465</v>
      </c>
      <c r="L451" s="73" t="n">
        <f aca="false">K447*Dist_ARES/4*IF(L425&lt;=$I$11,0,$I$10)</f>
        <v>97013.9607478354</v>
      </c>
      <c r="M451" s="73" t="n">
        <f aca="false">L447*Dist_ARES/4*IF(M425&lt;=$I$11,0,$I$10)</f>
        <v>92876.3153219403</v>
      </c>
      <c r="N451" s="73" t="n">
        <f aca="false">M447*Dist_ARES/4*IF(N425&lt;=$I$11,0,$I$10)</f>
        <v>89077.8959760181</v>
      </c>
      <c r="O451" s="73" t="n">
        <f aca="false">N447*Dist_ARES/4*IF(O425&lt;=$I$11,0,$I$10)</f>
        <v>85278.7237126409</v>
      </c>
    </row>
    <row r="452" customFormat="false" ht="15" hidden="false" customHeight="false" outlineLevel="0" collapsed="false">
      <c r="B452" s="65" t="s">
        <v>1043</v>
      </c>
      <c r="C452" s="73" t="n">
        <f aca="false">AN_cible*$I$12*Part_MAPIF_NA</f>
        <v>4500000</v>
      </c>
      <c r="D452" s="73" t="n">
        <f aca="false">C452*IF(D425=1,1+$I$14,1)-D454</f>
        <v>3506250</v>
      </c>
      <c r="E452" s="73" t="n">
        <f aca="false">D452*IF(E425=1,1+$I$14,1)-E454</f>
        <v>3187500</v>
      </c>
      <c r="F452" s="73" t="n">
        <f aca="false">E452*IF(F425=1,1+$I$14,1)-F454</f>
        <v>2868750</v>
      </c>
      <c r="G452" s="73" t="n">
        <f aca="false">F452*IF(G425=1,1+$I$14,1)-G454</f>
        <v>2550000</v>
      </c>
      <c r="H452" s="73" t="n">
        <f aca="false">G452*IF(H425=1,1+$I$14,1)-H454</f>
        <v>2231250</v>
      </c>
      <c r="I452" s="73" t="n">
        <f aca="false">H452*IF(I425=1,1+$I$14,1)-I454</f>
        <v>1912500</v>
      </c>
      <c r="J452" s="73" t="n">
        <f aca="false">I452*IF(J425=1,1+$I$14,1)-J454</f>
        <v>1593750</v>
      </c>
      <c r="K452" s="73" t="n">
        <f aca="false">J452*IF(K425=1,1+$I$14,1)-K454</f>
        <v>1275000</v>
      </c>
      <c r="L452" s="73" t="n">
        <f aca="false">K452*IF(L425=1,1+$I$14,1)-L454</f>
        <v>956250</v>
      </c>
      <c r="M452" s="73" t="n">
        <f aca="false">L452*IF(M425=1,1+$I$14,1)-M454</f>
        <v>637500</v>
      </c>
      <c r="N452" s="73" t="n">
        <f aca="false">M452*IF(N425=1,1+$I$14,1)-N454</f>
        <v>318750</v>
      </c>
      <c r="O452" s="73" t="n">
        <f aca="false">N452*IF(O425=1,1+$I$14,1)-O454</f>
        <v>0</v>
      </c>
    </row>
    <row r="453" customFormat="false" ht="15" hidden="false" customHeight="false" outlineLevel="0" collapsed="false">
      <c r="B453" s="65" t="s">
        <v>1044</v>
      </c>
      <c r="C453" s="73" t="n">
        <f aca="false">AN_cible*$I$12*(1-Part_MAPIF_NA)</f>
        <v>3000000</v>
      </c>
      <c r="D453" s="73" t="n">
        <f aca="false">C453*IF(D425=1,1+MSIG_USD*$I$14,1)-D455</f>
        <v>2750000</v>
      </c>
      <c r="E453" s="73" t="n">
        <f aca="false">D453*IF(E425=1,1+MSIG_USD*$I$14,1)-E455</f>
        <v>2500000</v>
      </c>
      <c r="F453" s="73" t="n">
        <f aca="false">E453*IF(F425=1,1+MSIG_USD*$I$14,1)-F455</f>
        <v>2250000</v>
      </c>
      <c r="G453" s="73" t="n">
        <f aca="false">F453*IF(G425=1,1+MSIG_USD*$I$14,1)-G455</f>
        <v>2000000</v>
      </c>
      <c r="H453" s="73" t="n">
        <f aca="false">G453*IF(H425=1,1+MSIG_USD*$I$14,1)-H455</f>
        <v>1750000</v>
      </c>
      <c r="I453" s="73" t="n">
        <f aca="false">H453*IF(I425=1,1+MSIG_USD*$I$14,1)-I455</f>
        <v>1500000</v>
      </c>
      <c r="J453" s="73" t="n">
        <f aca="false">I453*IF(J425=1,1+MSIG_USD*$I$14,1)-J455</f>
        <v>1250000</v>
      </c>
      <c r="K453" s="73" t="n">
        <f aca="false">J453*IF(K425=1,1+MSIG_USD*$I$14,1)-K455</f>
        <v>1000000</v>
      </c>
      <c r="L453" s="73" t="n">
        <f aca="false">K453*IF(L425=1,1+MSIG_USD*$I$14,1)-L455</f>
        <v>750000</v>
      </c>
      <c r="M453" s="73" t="n">
        <f aca="false">L453*IF(M425=1,1+MSIG_USD*$I$14,1)-M455</f>
        <v>500000</v>
      </c>
      <c r="N453" s="73" t="n">
        <f aca="false">M453*IF(N425=1,1+MSIG_USD*$I$14,1)-N455</f>
        <v>250000</v>
      </c>
      <c r="O453" s="73" t="n">
        <f aca="false">N453*IF(O425=1,1+MSIG_USD*$I$14,1)-O455</f>
        <v>0</v>
      </c>
    </row>
    <row r="454" customFormat="false" ht="15" hidden="false" customHeight="false" outlineLevel="0" collapsed="false">
      <c r="B454" s="65" t="s">
        <v>1045</v>
      </c>
      <c r="C454" s="25"/>
      <c r="D454" s="73" t="n">
        <f aca="false">MIN(C452*IF(D425=1,1+$I$14,1),$C452*(1+$I$14)*IF(D425&lt;=4,$I$13/4,Appels_base))</f>
        <v>318750</v>
      </c>
      <c r="E454" s="73" t="n">
        <f aca="false">MIN(D452*IF(E425=1,1+$I$14,1),$C452*(1+$I$14)*IF(E425&lt;=4,$I$13/4,Appels_base))</f>
        <v>318750</v>
      </c>
      <c r="F454" s="73" t="n">
        <f aca="false">MIN(E452*IF(F425=1,1+$I$14,1),$C452*(1+$I$14)*IF(F425&lt;=4,$I$13/4,Appels_base))</f>
        <v>318750</v>
      </c>
      <c r="G454" s="73" t="n">
        <f aca="false">MIN(F452*IF(G425=1,1+$I$14,1),$C452*(1+$I$14)*IF(G425&lt;=4,$I$13/4,Appels_base))</f>
        <v>318750</v>
      </c>
      <c r="H454" s="73" t="n">
        <f aca="false">MIN(G452*IF(H425=1,1+$I$14,1),$C452*(1+$I$14)*IF(H425&lt;=4,$I$13/4,Appels_base))</f>
        <v>318750</v>
      </c>
      <c r="I454" s="73" t="n">
        <f aca="false">MIN(H452*IF(I425=1,1+$I$14,1),$C452*(1+$I$14)*IF(I425&lt;=4,$I$13/4,Appels_base))</f>
        <v>318750</v>
      </c>
      <c r="J454" s="73" t="n">
        <f aca="false">MIN(I452*IF(J425=1,1+$I$14,1),$C452*(1+$I$14)*IF(J425&lt;=4,$I$13/4,Appels_base))</f>
        <v>318750</v>
      </c>
      <c r="K454" s="73" t="n">
        <f aca="false">MIN(J452*IF(K425=1,1+$I$14,1),$C452*(1+$I$14)*IF(K425&lt;=4,$I$13/4,Appels_base))</f>
        <v>318750</v>
      </c>
      <c r="L454" s="73" t="n">
        <f aca="false">MIN(K452*IF(L425=1,1+$I$14,1),$C452*(1+$I$14)*IF(L425&lt;=4,$I$13/4,Appels_base))</f>
        <v>318750</v>
      </c>
      <c r="M454" s="73" t="n">
        <f aca="false">MIN(L452*IF(M425=1,1+$I$14,1),$C452*(1+$I$14)*IF(M425&lt;=4,$I$13/4,Appels_base))</f>
        <v>318750</v>
      </c>
      <c r="N454" s="73" t="n">
        <f aca="false">MIN(M452*IF(N425=1,1+$I$14,1),$C452*(1+$I$14)*IF(N425&lt;=4,$I$13/4,Appels_base))</f>
        <v>318750</v>
      </c>
      <c r="O454" s="73" t="n">
        <f aca="false">MIN(N452*IF(O425=1,1+$I$14,1),$C452*(1+$I$14)*IF(O425&lt;=4,$I$13/4,Appels_base))</f>
        <v>318750</v>
      </c>
    </row>
    <row r="455" customFormat="false" ht="15" hidden="false" customHeight="false" outlineLevel="0" collapsed="false">
      <c r="B455" s="65" t="s">
        <v>1046</v>
      </c>
      <c r="C455" s="25"/>
      <c r="D455" s="73" t="n">
        <f aca="false">MIN(C453*IF(D425=1,1+MSIG_USD*$I$14,1),$C453*(1+MSIG_USD*$I$14)*IF(D425&lt;=4,$I$13/4,Appels_base))</f>
        <v>250000</v>
      </c>
      <c r="E455" s="73" t="n">
        <f aca="false">MIN(D453*IF(E425=1,1+MSIG_USD*$I$14,1),$C453*(1+MSIG_USD*$I$14)*IF(E425&lt;=4,$I$13/4,Appels_base))</f>
        <v>250000</v>
      </c>
      <c r="F455" s="73" t="n">
        <f aca="false">MIN(E453*IF(F425=1,1+MSIG_USD*$I$14,1),$C453*(1+MSIG_USD*$I$14)*IF(F425&lt;=4,$I$13/4,Appels_base))</f>
        <v>250000</v>
      </c>
      <c r="G455" s="73" t="n">
        <f aca="false">MIN(F453*IF(G425=1,1+MSIG_USD*$I$14,1),$C453*(1+MSIG_USD*$I$14)*IF(G425&lt;=4,$I$13/4,Appels_base))</f>
        <v>250000</v>
      </c>
      <c r="H455" s="73" t="n">
        <f aca="false">MIN(G453*IF(H425=1,1+MSIG_USD*$I$14,1),$C453*(1+MSIG_USD*$I$14)*IF(H425&lt;=4,$I$13/4,Appels_base))</f>
        <v>250000</v>
      </c>
      <c r="I455" s="73" t="n">
        <f aca="false">MIN(H453*IF(I425=1,1+MSIG_USD*$I$14,1),$C453*(1+MSIG_USD*$I$14)*IF(I425&lt;=4,$I$13/4,Appels_base))</f>
        <v>250000</v>
      </c>
      <c r="J455" s="73" t="n">
        <f aca="false">MIN(I453*IF(J425=1,1+MSIG_USD*$I$14,1),$C453*(1+MSIG_USD*$I$14)*IF(J425&lt;=4,$I$13/4,Appels_base))</f>
        <v>250000</v>
      </c>
      <c r="K455" s="73" t="n">
        <f aca="false">MIN(J453*IF(K425=1,1+MSIG_USD*$I$14,1),$C453*(1+MSIG_USD*$I$14)*IF(K425&lt;=4,$I$13/4,Appels_base))</f>
        <v>250000</v>
      </c>
      <c r="L455" s="73" t="n">
        <f aca="false">MIN(K453*IF(L425=1,1+MSIG_USD*$I$14,1),$C453*(1+MSIG_USD*$I$14)*IF(L425&lt;=4,$I$13/4,Appels_base))</f>
        <v>250000</v>
      </c>
      <c r="M455" s="73" t="n">
        <f aca="false">MIN(L453*IF(M425=1,1+MSIG_USD*$I$14,1),$C453*(1+MSIG_USD*$I$14)*IF(M425&lt;=4,$I$13/4,Appels_base))</f>
        <v>250000</v>
      </c>
      <c r="N455" s="73" t="n">
        <f aca="false">MIN(M453*IF(N425=1,1+MSIG_USD*$I$14,1),$C453*(1+MSIG_USD*$I$14)*IF(N425&lt;=4,$I$13/4,Appels_base))</f>
        <v>250000</v>
      </c>
      <c r="O455" s="73" t="n">
        <f aca="false">MIN(N453*IF(O425=1,1+MSIG_USD*$I$14,1),$C453*(1+MSIG_USD*$I$14)*IF(O425&lt;=4,$I$13/4,Appels_base))</f>
        <v>250000</v>
      </c>
    </row>
    <row r="456" customFormat="false" ht="15" hidden="false" customHeight="false" outlineLevel="0" collapsed="false">
      <c r="B456" s="65" t="s">
        <v>1047</v>
      </c>
      <c r="C456" s="25"/>
      <c r="D456" s="73" t="n">
        <f aca="false">C446*Capacite_evg*IF(D425&lt;=4,$I$17,$I$18)</f>
        <v>612500</v>
      </c>
      <c r="E456" s="73" t="n">
        <f aca="false">D446*Capacite_evg*IF(E425&lt;=4,$I$17,$I$18)</f>
        <v>468819.75</v>
      </c>
      <c r="F456" s="73" t="n">
        <f aca="false">E446*Capacite_evg*IF(F425&lt;=4,$I$17,$I$18)</f>
        <v>478442.27536875</v>
      </c>
      <c r="G456" s="73" t="n">
        <f aca="false">F446*Capacite_evg*IF(G425&lt;=4,$I$17,$I$18)</f>
        <v>465001.501283399</v>
      </c>
      <c r="H456" s="73" t="n">
        <f aca="false">G446*Capacite_evg*IF(H425&lt;=4,$I$17,$I$18)</f>
        <v>465042.132035476</v>
      </c>
      <c r="I456" s="73" t="n">
        <f aca="false">H446*Capacite_evg*IF(I425&lt;=4,$I$17,$I$18)</f>
        <v>451335.015193731</v>
      </c>
      <c r="J456" s="73" t="n">
        <f aca="false">I446*Capacite_evg*IF(J425&lt;=4,$I$17,$I$18)</f>
        <v>441341.038444384</v>
      </c>
      <c r="K456" s="73" t="n">
        <f aca="false">J446*Capacite_evg*IF(K425&lt;=4,$I$17,$I$18)</f>
        <v>428332.511336236</v>
      </c>
      <c r="L456" s="73" t="n">
        <f aca="false">K446*Capacite_evg*IF(L425&lt;=4,$I$17,$I$18)</f>
        <v>416400.098672654</v>
      </c>
      <c r="M456" s="73" t="n">
        <f aca="false">L446*Capacite_evg*IF(M425&lt;=4,$I$17,$I$18)</f>
        <v>404126.705764277</v>
      </c>
      <c r="N456" s="73" t="n">
        <f aca="false">M446*Capacite_evg*IF(N425&lt;=4,$I$17,$I$18)</f>
        <v>392923.25860689</v>
      </c>
      <c r="O456" s="73" t="n">
        <f aca="false">N446*Capacite_evg*IF(O425&lt;=4,$I$17,$I$18)</f>
        <v>381341.845559452</v>
      </c>
    </row>
    <row r="457" customFormat="false" ht="15" hidden="false" customHeight="false" outlineLevel="0" collapsed="false">
      <c r="B457" s="65" t="s">
        <v>1048</v>
      </c>
      <c r="C457" s="25"/>
      <c r="D457" s="73" t="n">
        <f aca="false">C447*Capacite_evg*IF(D425&lt;=4,$I$17,$I$19)*(1-IF(D425&lt;=Deduc_trim,Deduc_ares,0))</f>
        <v>581875</v>
      </c>
      <c r="E457" s="73" t="n">
        <f aca="false">D447*Capacite_evg*IF(E425&lt;=4,$I$17,$I$19)*(1-IF(E425&lt;=Deduc_trim,Deduc_ares,0))</f>
        <v>456175.7440625</v>
      </c>
      <c r="F457" s="73" t="n">
        <f aca="false">E447*Capacite_evg*IF(F425&lt;=4,$I$17,$I$19)*(1-IF(F425&lt;=Deduc_trim,Deduc_ares,0))</f>
        <v>459528.635781359</v>
      </c>
      <c r="G457" s="73" t="n">
        <f aca="false">F447*Capacite_evg*IF(G425&lt;=4,$I$17,$I$19)*(1-IF(G425&lt;=Deduc_trim,Deduc_ares,0))</f>
        <v>440564.908655311</v>
      </c>
      <c r="H457" s="73" t="n">
        <f aca="false">G447*Capacite_evg*IF(H425&lt;=4,$I$17,$I$19)*(1-IF(H425&lt;=Deduc_trim,Deduc_ares,0))</f>
        <v>457683.117392736</v>
      </c>
      <c r="I457" s="73" t="n">
        <f aca="false">H447*Capacite_evg*IF(I425&lt;=4,$I$17,$I$19)*(1-IF(I425&lt;=Deduc_trim,Deduc_ares,0))</f>
        <v>438162.932435936</v>
      </c>
      <c r="J457" s="73" t="n">
        <f aca="false">I447*Capacite_evg*IF(J425&lt;=4,$I$17,$I$19)*(1-IF(J425&lt;=Deduc_trim,Deduc_ares,0))</f>
        <v>422687.830392081</v>
      </c>
      <c r="K457" s="73" t="n">
        <f aca="false">J447*Capacite_evg*IF(K425&lt;=4,$I$17,$I$19)*(1-IF(K425&lt;=Deduc_trim,Deduc_ares,0))</f>
        <v>404660.194425859</v>
      </c>
      <c r="L457" s="73" t="n">
        <f aca="false">K447*Capacite_evg*IF(L425&lt;=4,$I$17,$I$19)*(1-IF(L425&lt;=Deduc_trim,Deduc_ares,0))</f>
        <v>388055.842991342</v>
      </c>
      <c r="M457" s="73" t="n">
        <f aca="false">L447*Capacite_evg*IF(M425&lt;=4,$I$17,$I$19)*(1-IF(M425&lt;=Deduc_trim,Deduc_ares,0))</f>
        <v>371505.261287761</v>
      </c>
      <c r="N457" s="73" t="n">
        <f aca="false">M447*Capacite_evg*IF(N425&lt;=4,$I$17,$I$19)*(1-IF(N425&lt;=Deduc_trim,Deduc_ares,0))</f>
        <v>356311.583904072</v>
      </c>
      <c r="O457" s="73" t="n">
        <f aca="false">N447*Capacite_evg*IF(O425&lt;=4,$I$17,$I$19)*(1-IF(O425&lt;=Deduc_trim,Deduc_ares,0))</f>
        <v>341114.894850564</v>
      </c>
    </row>
    <row r="458" customFormat="false" ht="15" hidden="false" customHeight="false" outlineLevel="0" collapsed="false">
      <c r="B458" s="65" t="s">
        <v>1049</v>
      </c>
      <c r="C458" s="25"/>
      <c r="D458" s="73" t="n">
        <f aca="false">C472</f>
        <v>7500000</v>
      </c>
      <c r="E458" s="73" t="n">
        <f aca="false">D472</f>
        <v>7295625</v>
      </c>
      <c r="F458" s="73" t="n">
        <f aca="false">E472</f>
        <v>6860628.961875</v>
      </c>
      <c r="G458" s="73" t="n">
        <f aca="false">F472</f>
        <v>6527743.851178</v>
      </c>
      <c r="H458" s="73" t="n">
        <f aca="false">G472</f>
        <v>6473685.85908541</v>
      </c>
      <c r="I458" s="73" t="n">
        <f aca="false">H472</f>
        <v>6158286.46688127</v>
      </c>
      <c r="J458" s="73" t="n">
        <f aca="false">I472</f>
        <v>6503141.29611426</v>
      </c>
      <c r="K458" s="73" t="n">
        <f aca="false">J472</f>
        <v>6134125.32613438</v>
      </c>
      <c r="L458" s="73" t="n">
        <f aca="false">K472</f>
        <v>6535349.37457969</v>
      </c>
      <c r="M458" s="73" t="n">
        <f aca="false">L472</f>
        <v>6112029.85317494</v>
      </c>
      <c r="N458" s="73" t="n">
        <f aca="false">M472</f>
        <v>6567889.57130186</v>
      </c>
      <c r="O458" s="73" t="n">
        <f aca="false">N472</f>
        <v>6092882.44500873</v>
      </c>
    </row>
    <row r="459" customFormat="false" ht="15" hidden="false" customHeight="false" outlineLevel="0" collapsed="false">
      <c r="B459" s="65" t="s">
        <v>1050</v>
      </c>
      <c r="C459" s="25"/>
      <c r="D459" s="73" t="n">
        <f aca="false">D458*Taux_treso/4</f>
        <v>46875</v>
      </c>
      <c r="E459" s="73" t="n">
        <f aca="false">E458*Taux_treso/4</f>
        <v>45597.65625</v>
      </c>
      <c r="F459" s="73" t="n">
        <f aca="false">F458*Taux_treso/4</f>
        <v>42878.9310117188</v>
      </c>
      <c r="G459" s="73" t="n">
        <f aca="false">G458*Taux_treso/4</f>
        <v>40798.3990698625</v>
      </c>
      <c r="H459" s="73" t="n">
        <f aca="false">H458*Taux_treso/4</f>
        <v>40460.5366192838</v>
      </c>
      <c r="I459" s="73" t="n">
        <f aca="false">I458*Taux_treso/4</f>
        <v>38489.2904180079</v>
      </c>
      <c r="J459" s="73" t="n">
        <f aca="false">J458*Taux_treso/4</f>
        <v>40644.6331007141</v>
      </c>
      <c r="K459" s="73" t="n">
        <f aca="false">K458*Taux_treso/4</f>
        <v>38338.2832883399</v>
      </c>
      <c r="L459" s="73" t="n">
        <f aca="false">L458*Taux_treso/4</f>
        <v>40845.9335911231</v>
      </c>
      <c r="M459" s="73" t="n">
        <f aca="false">M458*Taux_treso/4</f>
        <v>38200.1865823434</v>
      </c>
      <c r="N459" s="73" t="n">
        <f aca="false">N458*Taux_treso/4</f>
        <v>41049.3098206367</v>
      </c>
      <c r="O459" s="73" t="n">
        <f aca="false">O458*Taux_treso/4</f>
        <v>38080.5152813045</v>
      </c>
    </row>
    <row r="460" customFormat="false" ht="15" hidden="false" customHeight="false" outlineLevel="0" collapsed="false">
      <c r="B460" s="65" t="s">
        <v>1051</v>
      </c>
      <c r="C460" s="25"/>
      <c r="D460" s="73" t="n">
        <f aca="false">SUM(D448:D451)</f>
        <v>498125</v>
      </c>
      <c r="E460" s="73" t="n">
        <f aca="false">SUM(E448:E451)</f>
        <v>390491.9640625</v>
      </c>
      <c r="F460" s="73" t="n">
        <f aca="false">SUM(F448:F451)</f>
        <v>402900.644985781</v>
      </c>
      <c r="G460" s="73" t="n">
        <f aca="false">SUM(G448:G451)</f>
        <v>407195.148030322</v>
      </c>
      <c r="H460" s="73" t="n">
        <f aca="false">SUM(H448:H451)</f>
        <v>416376.269375153</v>
      </c>
      <c r="I460" s="73" t="n">
        <f aca="false">SUM(I448:I451)</f>
        <v>420885.736401203</v>
      </c>
      <c r="J460" s="73" t="n">
        <f aca="false">SUM(J448:J451)</f>
        <v>426844.03774592</v>
      </c>
      <c r="K460" s="73" t="n">
        <f aca="false">SUM(K448:K451)</f>
        <v>431929.440644286</v>
      </c>
      <c r="L460" s="73" t="n">
        <f aca="false">SUM(L448:L451)</f>
        <v>437545.409780662</v>
      </c>
      <c r="M460" s="73" t="n">
        <f aca="false">SUM(M448:M451)</f>
        <v>443208.303700698</v>
      </c>
      <c r="N460" s="73" t="n">
        <f aca="false">SUM(N448:N451)</f>
        <v>449385.448513113</v>
      </c>
      <c r="O460" s="73" t="n">
        <f aca="false">SUM(O448:O451)</f>
        <v>455592.527088429</v>
      </c>
    </row>
    <row r="461" customFormat="false" ht="15" hidden="false" customHeight="false" outlineLevel="0" collapsed="false">
      <c r="B461" s="65" t="s">
        <v>1052</v>
      </c>
      <c r="C461" s="25"/>
      <c r="D461" s="73" t="n">
        <f aca="false">IF(AND(Distrib_tension=1,OR(D433&gt;0.000001,C475&lt;Liq_min,C439=1)),0,MIN(Dist_porteurs/4*Part_d*D430,D460))</f>
        <v>125000</v>
      </c>
      <c r="E461" s="73" t="n">
        <f aca="false">IF(AND(Distrib_tension=1,OR(E433&gt;0.000001,D475&lt;Liq_min,D439=1)),0,MIN(Dist_porteurs/4*Part_d*E430,E460))</f>
        <v>100778.5528125</v>
      </c>
      <c r="F461" s="73" t="n">
        <f aca="false">IF(AND(Distrib_tension=1,OR(F433&gt;0.000001,E475&lt;Liq_min,E439=1)),0,MIN(Dist_porteurs/4*Part_d*F430,F460))</f>
        <v>101995.997674656</v>
      </c>
      <c r="G461" s="73" t="n">
        <f aca="false">IF(AND(Distrib_tension=1,OR(G433&gt;0.000001,F475&lt;Liq_min,F439=1)),0,MIN(Dist_porteurs/4*Part_d*G430,G460))</f>
        <v>101151.341548209</v>
      </c>
      <c r="H461" s="73" t="n">
        <f aca="false">IF(AND(Distrib_tension=1,OR(H433&gt;0.000001,G475&lt;Liq_min,G439=1)),0,MIN(Dist_porteurs/4*Part_d*H430,H460))</f>
        <v>102382.858875163</v>
      </c>
      <c r="I461" s="73" t="n">
        <f aca="false">IF(AND(Distrib_tension=1,OR(I433&gt;0.000001,H475&lt;Liq_min,H439=1)),0,MIN(Dist_porteurs/4*Part_d*I430,I460))</f>
        <v>101611.582751785</v>
      </c>
      <c r="J461" s="73" t="n">
        <f aca="false">IF(AND(Distrib_tension=1,OR(J433&gt;0.000001,I475&lt;Liq_min,I439=1)),0,MIN(Dist_porteurs/4*Part_d*J430,J460))</f>
        <v>102889.409969362</v>
      </c>
      <c r="K461" s="73" t="n">
        <f aca="false">IF(AND(Distrib_tension=1,OR(K433&gt;0.000001,J475&lt;Liq_min,J439=1)),0,MIN(Dist_porteurs/4*Part_d*K430,K460))</f>
        <v>102114.833977808</v>
      </c>
      <c r="L461" s="73" t="n">
        <f aca="false">IF(AND(Distrib_tension=1,OR(L433&gt;0.000001,K475&lt;Liq_min,K439=1)),0,MIN(Dist_porteurs/4*Part_d*L430,L460))</f>
        <v>103401.52785823</v>
      </c>
      <c r="M461" s="73" t="n">
        <f aca="false">IF(AND(Distrib_tension=1,OR(M433&gt;0.000001,L475&lt;Liq_min,L439=1)),0,MIN(Dist_porteurs/4*Part_d*M430,M460))</f>
        <v>0</v>
      </c>
      <c r="N461" s="73" t="n">
        <f aca="false">IF(AND(Distrib_tension=1,OR(N433&gt;0.000001,M475&lt;Liq_min,M439=1)),0,MIN(Dist_porteurs/4*Part_d*N430,N460))</f>
        <v>104175.157012532</v>
      </c>
      <c r="O461" s="73" t="n">
        <f aca="false">IF(AND(Distrib_tension=1,OR(O433&gt;0.000001,N475&lt;Liq_min,N439=1)),0,MIN(Dist_porteurs/4*Part_d*O430,O460))</f>
        <v>0</v>
      </c>
    </row>
    <row r="462" customFormat="false" ht="15" hidden="false" customHeight="false" outlineLevel="0" collapsed="false">
      <c r="B462" s="65" t="s">
        <v>1053</v>
      </c>
      <c r="C462" s="25"/>
      <c r="D462" s="73" t="n">
        <f aca="false">D454+D455</f>
        <v>568750</v>
      </c>
      <c r="E462" s="73" t="n">
        <f aca="false">E454+E455</f>
        <v>568750</v>
      </c>
      <c r="F462" s="73" t="n">
        <f aca="false">F454+F455</f>
        <v>568750</v>
      </c>
      <c r="G462" s="73" t="n">
        <f aca="false">G454+G455</f>
        <v>568750</v>
      </c>
      <c r="H462" s="73" t="n">
        <f aca="false">H454+H455</f>
        <v>568750</v>
      </c>
      <c r="I462" s="73" t="n">
        <f aca="false">I454+I455</f>
        <v>568750</v>
      </c>
      <c r="J462" s="73" t="n">
        <f aca="false">J454+J455</f>
        <v>568750</v>
      </c>
      <c r="K462" s="73" t="n">
        <f aca="false">K454+K455</f>
        <v>568750</v>
      </c>
      <c r="L462" s="73" t="n">
        <f aca="false">L454+L455</f>
        <v>568750</v>
      </c>
      <c r="M462" s="73" t="n">
        <f aca="false">M454+M455</f>
        <v>568750</v>
      </c>
      <c r="N462" s="73" t="n">
        <f aca="false">N454+N455</f>
        <v>568750</v>
      </c>
      <c r="O462" s="73" t="n">
        <f aca="false">O454+O455</f>
        <v>568750</v>
      </c>
    </row>
    <row r="463" customFormat="false" ht="15" hidden="false" customHeight="false" outlineLevel="0" collapsed="false">
      <c r="B463" s="65" t="s">
        <v>1054</v>
      </c>
      <c r="C463" s="25"/>
      <c r="D463" s="73" t="n">
        <f aca="false">D430*Frais_an/4</f>
        <v>250000</v>
      </c>
      <c r="E463" s="73" t="n">
        <f aca="false">E430*Frais_an/4</f>
        <v>201557.105625</v>
      </c>
      <c r="F463" s="73" t="n">
        <f aca="false">F430*Frais_an/4</f>
        <v>203991.995349313</v>
      </c>
      <c r="G463" s="73" t="n">
        <f aca="false">G430*Frais_an/4</f>
        <v>202302.683096419</v>
      </c>
      <c r="H463" s="73" t="n">
        <f aca="false">H430*Frais_an/4</f>
        <v>204765.717750325</v>
      </c>
      <c r="I463" s="73" t="n">
        <f aca="false">I430*Frais_an/4</f>
        <v>203223.165503571</v>
      </c>
      <c r="J463" s="73" t="n">
        <f aca="false">J430*Frais_an/4</f>
        <v>205778.819938723</v>
      </c>
      <c r="K463" s="73" t="n">
        <f aca="false">K430*Frais_an/4</f>
        <v>204229.667955615</v>
      </c>
      <c r="L463" s="73" t="n">
        <f aca="false">L430*Frais_an/4</f>
        <v>206803.05571646</v>
      </c>
      <c r="M463" s="73" t="n">
        <f aca="false">M430*Frais_an/4</f>
        <v>205246.549103183</v>
      </c>
      <c r="N463" s="73" t="n">
        <f aca="false">N430*Frais_an/4</f>
        <v>208350.314025064</v>
      </c>
      <c r="O463" s="73" t="n">
        <f aca="false">O430*Frais_an/4</f>
        <v>206783.484142347</v>
      </c>
    </row>
    <row r="464" customFormat="false" ht="15" hidden="false" customHeight="false" outlineLevel="0" collapsed="false">
      <c r="B464" s="65" t="s">
        <v>1055</v>
      </c>
      <c r="C464" s="25"/>
      <c r="D464" s="73" t="n">
        <f aca="false">C473*Taux_emprunt/4</f>
        <v>0</v>
      </c>
      <c r="E464" s="73" t="n">
        <f aca="false">D473*Taux_emprunt/4</f>
        <v>0</v>
      </c>
      <c r="F464" s="73" t="n">
        <f aca="false">E473*Taux_emprunt/4</f>
        <v>0</v>
      </c>
      <c r="G464" s="73" t="n">
        <f aca="false">F473*Taux_emprunt/4</f>
        <v>0</v>
      </c>
      <c r="H464" s="73" t="n">
        <f aca="false">G473*Taux_emprunt/4</f>
        <v>0</v>
      </c>
      <c r="I464" s="73" t="n">
        <f aca="false">H473*Taux_emprunt/4</f>
        <v>0</v>
      </c>
      <c r="J464" s="73" t="n">
        <f aca="false">I473*Taux_emprunt/4</f>
        <v>0</v>
      </c>
      <c r="K464" s="73" t="n">
        <f aca="false">J473*Taux_emprunt/4</f>
        <v>0</v>
      </c>
      <c r="L464" s="73" t="n">
        <f aca="false">K473*Taux_emprunt/4</f>
        <v>0</v>
      </c>
      <c r="M464" s="73" t="n">
        <f aca="false">L473*Taux_emprunt/4</f>
        <v>0</v>
      </c>
      <c r="N464" s="73" t="n">
        <f aca="false">M473*Taux_emprunt/4</f>
        <v>0</v>
      </c>
      <c r="O464" s="73" t="n">
        <f aca="false">N473*Taux_emprunt/4</f>
        <v>0</v>
      </c>
    </row>
    <row r="465" customFormat="false" ht="15" hidden="false" customHeight="false" outlineLevel="0" collapsed="false">
      <c r="B465" s="65" t="s">
        <v>1056</v>
      </c>
      <c r="C465" s="25"/>
      <c r="D465" s="73" t="n">
        <f aca="false">D458+D459+D460-D461+D431-D462-D463-D464</f>
        <v>7101250</v>
      </c>
      <c r="E465" s="73" t="n">
        <f aca="false">E458+E459+E460-E461+E431-E462-E463-E464</f>
        <v>6860628.961875</v>
      </c>
      <c r="F465" s="73" t="n">
        <f aca="false">F458+F459+F460-F461+F431-F462-F463-F464</f>
        <v>6431670.54484853</v>
      </c>
      <c r="G465" s="73" t="n">
        <f aca="false">G458+G459+G460-G461+G431-G462-G463-G464</f>
        <v>6103533.37363356</v>
      </c>
      <c r="H465" s="73" t="n">
        <f aca="false">H458+H459+H460-H461+H431-H462-H463-H464</f>
        <v>6054624.08845436</v>
      </c>
      <c r="I465" s="73" t="n">
        <f aca="false">I458+I459+I460-I461+I431-I462-I463-I464</f>
        <v>5744076.74544512</v>
      </c>
      <c r="J465" s="73" t="n">
        <f aca="false">J458+J459+J460-J461+J431-J462-J463-J464</f>
        <v>6093211.73705281</v>
      </c>
      <c r="K465" s="73" t="n">
        <f aca="false">K458+K459+K460-K461+K431-K462-K463-K464</f>
        <v>5729298.54813358</v>
      </c>
      <c r="L465" s="73" t="n">
        <f aca="false">L458+L459+L460-L461+L431-L462-L463-L464</f>
        <v>6134786.13437679</v>
      </c>
      <c r="M465" s="73" t="n">
        <f aca="false">M458+M459+M460-M461+M431-M462-M463-M464</f>
        <v>5819441.7943548</v>
      </c>
      <c r="N465" s="73" t="n">
        <f aca="false">N458+N459+N460-N461+N431-N462-N463-N464</f>
        <v>6177048.85859802</v>
      </c>
      <c r="O465" s="73" t="n">
        <f aca="false">O458+O459+O460-O461+O431-O462-O463-O464</f>
        <v>5811022.00323611</v>
      </c>
    </row>
    <row r="466" customFormat="false" ht="15" hidden="false" customHeight="false" outlineLevel="0" collapsed="false">
      <c r="B466" s="65" t="s">
        <v>1057</v>
      </c>
      <c r="C466" s="25"/>
      <c r="D466" s="73" t="n">
        <f aca="false">MIN(D456+D457,MAX(0,Liq_cible*D430-(D465-D440)))</f>
        <v>1194375</v>
      </c>
      <c r="E466" s="73" t="n">
        <f aca="false">MIN(E456+E457,MAX(0,Liq_cible*E430-(E465-E440)))</f>
        <v>0</v>
      </c>
      <c r="F466" s="73" t="n">
        <f aca="false">MIN(F456+F457,MAX(0,Liq_cible*F430-(F465-F440)))</f>
        <v>912041.287726718</v>
      </c>
      <c r="G466" s="73" t="n">
        <f aca="false">MIN(G456+G457,MAX(0,Liq_cible*G430-(G465-G440)))</f>
        <v>370152.48545185</v>
      </c>
      <c r="H466" s="73" t="n">
        <f aca="false">MIN(H456+H457,MAX(0,Liq_cible*H430-(H465-H440)))</f>
        <v>922725.249428213</v>
      </c>
      <c r="I466" s="73" t="n">
        <f aca="false">MIN(I456+I457,MAX(0,Liq_cible*I430-(I465-I440)))</f>
        <v>759064.550669137</v>
      </c>
      <c r="J466" s="73" t="n">
        <f aca="false">MIN(J456+J457,MAX(0,Liq_cible*J430-(J465-J440)))</f>
        <v>864028.868836465</v>
      </c>
      <c r="K466" s="73" t="n">
        <f aca="false">MIN(K456+K457,MAX(0,Liq_cible*K430-(K465-K440)))</f>
        <v>806050.826446112</v>
      </c>
      <c r="L466" s="73" t="n">
        <f aca="false">MIN(L456+L457,MAX(0,Liq_cible*L430-(L465-L440)))</f>
        <v>804455.941663995</v>
      </c>
      <c r="M466" s="73" t="n">
        <f aca="false">MIN(M456+M457,MAX(0,Liq_cible*M430-(M465-M440)))</f>
        <v>748447.776947062</v>
      </c>
      <c r="N466" s="73" t="n">
        <f aca="false">MIN(N456+N457,MAX(0,Liq_cible*N430-(N465-N440)))</f>
        <v>749234.842510962</v>
      </c>
      <c r="O466" s="73" t="n">
        <f aca="false">MIN(O456+O457,MAX(0,Liq_cible*O430-(O465-O440)))</f>
        <v>722456.740410015</v>
      </c>
    </row>
    <row r="467" customFormat="false" ht="15" hidden="false" customHeight="false" outlineLevel="0" collapsed="false">
      <c r="B467" s="65" t="s">
        <v>1058</v>
      </c>
      <c r="C467" s="25"/>
      <c r="D467" s="73" t="n">
        <f aca="false">D465-D440+D466</f>
        <v>7295625</v>
      </c>
      <c r="E467" s="73" t="n">
        <f aca="false">E465-E440+E466</f>
        <v>6860628.961875</v>
      </c>
      <c r="F467" s="73" t="n">
        <f aca="false">F465-F440+F466</f>
        <v>6527743.851178</v>
      </c>
      <c r="G467" s="73" t="n">
        <f aca="false">G465-G440+G466</f>
        <v>6473685.85908541</v>
      </c>
      <c r="H467" s="73" t="n">
        <f aca="false">H465-H440+H466</f>
        <v>6158286.46688127</v>
      </c>
      <c r="I467" s="73" t="n">
        <f aca="false">I465-I440+I466</f>
        <v>6503141.29611426</v>
      </c>
      <c r="J467" s="73" t="n">
        <f aca="false">J465-J440+J466</f>
        <v>6134125.32613438</v>
      </c>
      <c r="K467" s="73" t="n">
        <f aca="false">K465-K440+K466</f>
        <v>6535349.37457969</v>
      </c>
      <c r="L467" s="73" t="n">
        <f aca="false">L465-L440+L466</f>
        <v>6112029.85317494</v>
      </c>
      <c r="M467" s="73" t="n">
        <f aca="false">M465-M440+M466</f>
        <v>6567889.57130186</v>
      </c>
      <c r="N467" s="73" t="n">
        <f aca="false">N465-N440+N466</f>
        <v>6092882.44500873</v>
      </c>
      <c r="O467" s="73" t="n">
        <f aca="false">O465-O440+O466</f>
        <v>6533478.74364613</v>
      </c>
    </row>
    <row r="468" customFormat="false" ht="15" hidden="false" customHeight="false" outlineLevel="0" collapsed="false">
      <c r="B468" s="65" t="s">
        <v>1059</v>
      </c>
      <c r="C468" s="25"/>
      <c r="D468" s="73" t="n">
        <f aca="false">MIN(MAX(0,MIN($I$20*AN_cible,Emprunt_max*D430)-C473),MAX(0,IF($I$20&gt;0,Poche_min_exec*D430,0)-D467))-IF(D467&gt;Liq_cible*D430,MIN(C473,D467-Liq_cible*D430),0)</f>
        <v>0</v>
      </c>
      <c r="E468" s="73" t="n">
        <f aca="false">MIN(MAX(0,MIN($I$20*AN_cible,Emprunt_max*E430)-D473),MAX(0,IF($I$20&gt;0,Poche_min_exec*E430,0)-E467))-IF(E467&gt;Liq_cible*E430,MIN(D473,E467-Liq_cible*E430),0)</f>
        <v>0</v>
      </c>
      <c r="F468" s="73" t="n">
        <f aca="false">MIN(MAX(0,MIN($I$20*AN_cible,Emprunt_max*F430)-E473),MAX(0,IF($I$20&gt;0,Poche_min_exec*F430,0)-F467))-IF(F467&gt;Liq_cible*F430,MIN(E473,F467-Liq_cible*F430),0)</f>
        <v>0</v>
      </c>
      <c r="G468" s="73" t="n">
        <f aca="false">MIN(MAX(0,MIN($I$20*AN_cible,Emprunt_max*G430)-F473),MAX(0,IF($I$20&gt;0,Poche_min_exec*G430,0)-G467))-IF(G467&gt;Liq_cible*G430,MIN(F473,G467-Liq_cible*G430),0)</f>
        <v>0</v>
      </c>
      <c r="H468" s="73" t="n">
        <f aca="false">MIN(MAX(0,MIN($I$20*AN_cible,Emprunt_max*H430)-G473),MAX(0,IF($I$20&gt;0,Poche_min_exec*H430,0)-H467))-IF(H467&gt;Liq_cible*H430,MIN(G473,H467-Liq_cible*H430),0)</f>
        <v>0</v>
      </c>
      <c r="I468" s="73" t="n">
        <f aca="false">MIN(MAX(0,MIN($I$20*AN_cible,Emprunt_max*I430)-H473),MAX(0,IF($I$20&gt;0,Poche_min_exec*I430,0)-I467))-IF(I467&gt;Liq_cible*I430,MIN(H473,I467-Liq_cible*I430),0)</f>
        <v>0</v>
      </c>
      <c r="J468" s="73" t="n">
        <f aca="false">MIN(MAX(0,MIN($I$20*AN_cible,Emprunt_max*J430)-I473),MAX(0,IF($I$20&gt;0,Poche_min_exec*J430,0)-J467))-IF(J467&gt;Liq_cible*J430,MIN(I473,J467-Liq_cible*J430),0)</f>
        <v>0</v>
      </c>
      <c r="K468" s="73" t="n">
        <f aca="false">MIN(MAX(0,MIN($I$20*AN_cible,Emprunt_max*K430)-J473),MAX(0,IF($I$20&gt;0,Poche_min_exec*K430,0)-K467))-IF(K467&gt;Liq_cible*K430,MIN(J473,K467-Liq_cible*K430),0)</f>
        <v>0</v>
      </c>
      <c r="L468" s="73" t="n">
        <f aca="false">MIN(MAX(0,MIN($I$20*AN_cible,Emprunt_max*L430)-K473),MAX(0,IF($I$20&gt;0,Poche_min_exec*L430,0)-L467))-IF(L467&gt;Liq_cible*L430,MIN(K473,L467-Liq_cible*L430),0)</f>
        <v>0</v>
      </c>
      <c r="M468" s="73" t="n">
        <f aca="false">MIN(MAX(0,MIN($I$20*AN_cible,Emprunt_max*M430)-L473),MAX(0,IF($I$20&gt;0,Poche_min_exec*M430,0)-M467))-IF(M467&gt;Liq_cible*M430,MIN(L473,M467-Liq_cible*M430),0)</f>
        <v>0</v>
      </c>
      <c r="N468" s="73" t="n">
        <f aca="false">MIN(MAX(0,MIN($I$20*AN_cible,Emprunt_max*N430)-M473),MAX(0,IF($I$20&gt;0,Poche_min_exec*N430,0)-N467))-IF(N467&gt;Liq_cible*N430,MIN(M473,N467-Liq_cible*N430),0)</f>
        <v>0</v>
      </c>
      <c r="O468" s="73" t="n">
        <f aca="false">MIN(MAX(0,MIN($I$20*AN_cible,Emprunt_max*O430)-N473),MAX(0,IF($I$20&gt;0,Poche_min_exec*O430,0)-O467))-IF(O467&gt;Liq_cible*O430,MIN(N473,O467-Liq_cible*O430),0)</f>
        <v>0</v>
      </c>
    </row>
    <row r="469" customFormat="false" ht="15" hidden="false" customHeight="false" outlineLevel="0" collapsed="false">
      <c r="B469" s="65" t="s">
        <v>1060</v>
      </c>
      <c r="C469" s="25"/>
      <c r="D469" s="73" t="n">
        <f aca="false">MIN((C444+C445+C446+C447),MAX(0,-(D467+D468))/(1-Decote))</f>
        <v>0</v>
      </c>
      <c r="E469" s="73" t="n">
        <f aca="false">MIN((D444+D445+D446+D447),MAX(0,-(E467+E468))/(1-Decote))</f>
        <v>0</v>
      </c>
      <c r="F469" s="73" t="n">
        <f aca="false">MIN((E444+E445+E446+E447),MAX(0,-(F467+F468))/(1-Decote))</f>
        <v>0</v>
      </c>
      <c r="G469" s="73" t="n">
        <f aca="false">MIN((F444+F445+F446+F447),MAX(0,-(G467+G468))/(1-Decote))</f>
        <v>0</v>
      </c>
      <c r="H469" s="73" t="n">
        <f aca="false">MIN((G444+G445+G446+G447),MAX(0,-(H467+H468))/(1-Decote))</f>
        <v>0</v>
      </c>
      <c r="I469" s="73" t="n">
        <f aca="false">MIN((H444+H445+H446+H447),MAX(0,-(I467+I468))/(1-Decote))</f>
        <v>0</v>
      </c>
      <c r="J469" s="73" t="n">
        <f aca="false">MIN((I444+I445+I446+I447),MAX(0,-(J467+J468))/(1-Decote))</f>
        <v>0</v>
      </c>
      <c r="K469" s="73" t="n">
        <f aca="false">MIN((J444+J445+J446+J447),MAX(0,-(K467+K468))/(1-Decote))</f>
        <v>0</v>
      </c>
      <c r="L469" s="73" t="n">
        <f aca="false">MIN((K444+K445+K446+K447),MAX(0,-(L467+L468))/(1-Decote))</f>
        <v>0</v>
      </c>
      <c r="M469" s="73" t="n">
        <f aca="false">MIN((L444+L445+L446+L447),MAX(0,-(M467+M468))/(1-Decote))</f>
        <v>0</v>
      </c>
      <c r="N469" s="73" t="n">
        <f aca="false">MIN((M444+M445+M446+M447),MAX(0,-(N467+N468))/(1-Decote))</f>
        <v>0</v>
      </c>
      <c r="O469" s="73" t="n">
        <f aca="false">MIN((N444+N445+N446+N447),MAX(0,-(O467+O468))/(1-Decote))</f>
        <v>0</v>
      </c>
    </row>
    <row r="470" customFormat="false" ht="15" hidden="false" customHeight="false" outlineLevel="0" collapsed="false">
      <c r="B470" s="65" t="s">
        <v>1061</v>
      </c>
      <c r="C470" s="25"/>
      <c r="D470" s="73" t="n">
        <f aca="false">D469*Decote</f>
        <v>0</v>
      </c>
      <c r="E470" s="73" t="n">
        <f aca="false">E469*Decote</f>
        <v>0</v>
      </c>
      <c r="F470" s="73" t="n">
        <f aca="false">F469*Decote</f>
        <v>0</v>
      </c>
      <c r="G470" s="73" t="n">
        <f aca="false">G469*Decote</f>
        <v>0</v>
      </c>
      <c r="H470" s="73" t="n">
        <f aca="false">H469*Decote</f>
        <v>0</v>
      </c>
      <c r="I470" s="73" t="n">
        <f aca="false">I469*Decote</f>
        <v>0</v>
      </c>
      <c r="J470" s="73" t="n">
        <f aca="false">J469*Decote</f>
        <v>0</v>
      </c>
      <c r="K470" s="73" t="n">
        <f aca="false">K469*Decote</f>
        <v>0</v>
      </c>
      <c r="L470" s="73" t="n">
        <f aca="false">L469*Decote</f>
        <v>0</v>
      </c>
      <c r="M470" s="73" t="n">
        <f aca="false">M469*Decote</f>
        <v>0</v>
      </c>
      <c r="N470" s="73" t="n">
        <f aca="false">N469*Decote</f>
        <v>0</v>
      </c>
      <c r="O470" s="73" t="n">
        <f aca="false">O469*Decote</f>
        <v>0</v>
      </c>
    </row>
    <row r="471" customFormat="false" ht="15" hidden="false" customHeight="false" outlineLevel="0" collapsed="false">
      <c r="B471" s="65" t="s">
        <v>1062</v>
      </c>
      <c r="C471" s="25"/>
      <c r="D471" s="73" t="n">
        <f aca="false">IF(AND(D441&lt;0.000001,C473+D468&lt;0.000001),MAX(0,D467+D468-Seuil_reinv*D430),0)</f>
        <v>0</v>
      </c>
      <c r="E471" s="73" t="n">
        <f aca="false">IF(AND(E441&lt;0.000001,D473+E468&lt;0.000001),MAX(0,E467+E468-Seuil_reinv*E430),0)</f>
        <v>0</v>
      </c>
      <c r="F471" s="73" t="n">
        <f aca="false">IF(AND(F441&lt;0.000001,E473+F468&lt;0.000001),MAX(0,F467+F468-Seuil_reinv*F430),0)</f>
        <v>0</v>
      </c>
      <c r="G471" s="73" t="n">
        <f aca="false">IF(AND(G441&lt;0.000001,F473+G468&lt;0.000001),MAX(0,G467+G468-Seuil_reinv*G430),0)</f>
        <v>0</v>
      </c>
      <c r="H471" s="73" t="n">
        <f aca="false">IF(AND(H441&lt;0.000001,G473+H468&lt;0.000001),MAX(0,H467+H468-Seuil_reinv*H430),0)</f>
        <v>0</v>
      </c>
      <c r="I471" s="73" t="n">
        <f aca="false">IF(AND(I441&lt;0.000001,H473+I468&lt;0.000001),MAX(0,I467+I468-Seuil_reinv*I430),0)</f>
        <v>0</v>
      </c>
      <c r="J471" s="73" t="n">
        <f aca="false">IF(AND(J441&lt;0.000001,I473+J468&lt;0.000001),MAX(0,J467+J468-Seuil_reinv*J430),0)</f>
        <v>0</v>
      </c>
      <c r="K471" s="73" t="n">
        <f aca="false">IF(AND(K441&lt;0.000001,J473+K468&lt;0.000001),MAX(0,K467+K468-Seuil_reinv*K430),0)</f>
        <v>0</v>
      </c>
      <c r="L471" s="73" t="n">
        <f aca="false">IF(AND(L441&lt;0.000001,K473+L468&lt;0.000001),MAX(0,L467+L468-Seuil_reinv*L430),0)</f>
        <v>0</v>
      </c>
      <c r="M471" s="73" t="n">
        <f aca="false">IF(AND(M441&lt;0.000001,L473+M468&lt;0.000001),MAX(0,M467+M468-Seuil_reinv*M430),0)</f>
        <v>0</v>
      </c>
      <c r="N471" s="73" t="n">
        <f aca="false">IF(AND(N441&lt;0.000001,M473+N468&lt;0.000001),MAX(0,N467+N468-Seuil_reinv*N430),0)</f>
        <v>0</v>
      </c>
      <c r="O471" s="73" t="n">
        <f aca="false">IF(AND(O441&lt;0.000001,N473+O468&lt;0.000001),MAX(0,O467+O468-Seuil_reinv*O430),0)</f>
        <v>0</v>
      </c>
    </row>
    <row r="472" customFormat="false" ht="15" hidden="false" customHeight="false" outlineLevel="0" collapsed="false">
      <c r="B472" s="65" t="s">
        <v>1063</v>
      </c>
      <c r="C472" s="73" t="n">
        <f aca="false">AN_cible*Ws_LIQ</f>
        <v>7500000</v>
      </c>
      <c r="D472" s="73" t="n">
        <f aca="false">D467+D468+D469-D470-D471</f>
        <v>7295625</v>
      </c>
      <c r="E472" s="73" t="n">
        <f aca="false">E467+E468+E469-E470-E471</f>
        <v>6860628.961875</v>
      </c>
      <c r="F472" s="73" t="n">
        <f aca="false">F467+F468+F469-F470-F471</f>
        <v>6527743.851178</v>
      </c>
      <c r="G472" s="73" t="n">
        <f aca="false">G467+G468+G469-G470-G471</f>
        <v>6473685.85908541</v>
      </c>
      <c r="H472" s="73" t="n">
        <f aca="false">H467+H468+H469-H470-H471</f>
        <v>6158286.46688127</v>
      </c>
      <c r="I472" s="73" t="n">
        <f aca="false">I467+I468+I469-I470-I471</f>
        <v>6503141.29611426</v>
      </c>
      <c r="J472" s="73" t="n">
        <f aca="false">J467+J468+J469-J470-J471</f>
        <v>6134125.32613438</v>
      </c>
      <c r="K472" s="73" t="n">
        <f aca="false">K467+K468+K469-K470-K471</f>
        <v>6535349.37457969</v>
      </c>
      <c r="L472" s="73" t="n">
        <f aca="false">L467+L468+L469-L470-L471</f>
        <v>6112029.85317494</v>
      </c>
      <c r="M472" s="73" t="n">
        <f aca="false">M467+M468+M469-M470-M471</f>
        <v>6567889.57130186</v>
      </c>
      <c r="N472" s="73" t="n">
        <f aca="false">N467+N468+N469-N470-N471</f>
        <v>6092882.44500873</v>
      </c>
      <c r="O472" s="73" t="n">
        <f aca="false">O467+O468+O469-O470-O471</f>
        <v>6533478.74364613</v>
      </c>
    </row>
    <row r="473" customFormat="false" ht="15" hidden="false" customHeight="false" outlineLevel="0" collapsed="false">
      <c r="B473" s="65" t="s">
        <v>1064</v>
      </c>
      <c r="C473" s="73" t="n">
        <v>0</v>
      </c>
      <c r="D473" s="73" t="n">
        <f aca="false">C473+D468</f>
        <v>0</v>
      </c>
      <c r="E473" s="73" t="n">
        <f aca="false">D473+E468</f>
        <v>0</v>
      </c>
      <c r="F473" s="73" t="n">
        <f aca="false">E473+F468</f>
        <v>0</v>
      </c>
      <c r="G473" s="73" t="n">
        <f aca="false">F473+G468</f>
        <v>0</v>
      </c>
      <c r="H473" s="73" t="n">
        <f aca="false">G473+H468</f>
        <v>0</v>
      </c>
      <c r="I473" s="73" t="n">
        <f aca="false">H473+I468</f>
        <v>0</v>
      </c>
      <c r="J473" s="73" t="n">
        <f aca="false">I473+J468</f>
        <v>0</v>
      </c>
      <c r="K473" s="73" t="n">
        <f aca="false">J473+K468</f>
        <v>0</v>
      </c>
      <c r="L473" s="73" t="n">
        <f aca="false">K473+L468</f>
        <v>0</v>
      </c>
      <c r="M473" s="73" t="n">
        <f aca="false">L473+M468</f>
        <v>0</v>
      </c>
      <c r="N473" s="73" t="n">
        <f aca="false">M473+N468</f>
        <v>0</v>
      </c>
      <c r="O473" s="73" t="n">
        <f aca="false">N473+O468</f>
        <v>0</v>
      </c>
    </row>
    <row r="474" customFormat="false" ht="15" hidden="false" customHeight="false" outlineLevel="0" collapsed="false">
      <c r="B474" s="74" t="s">
        <v>1065</v>
      </c>
      <c r="C474" s="73" t="n">
        <f aca="false">C444+C445+C446+C447+C472-C473</f>
        <v>50000000</v>
      </c>
      <c r="D474" s="73" t="n">
        <f aca="false">D444+D445+D446+D447+D472-D473</f>
        <v>40311421.125</v>
      </c>
      <c r="E474" s="73" t="n">
        <f aca="false">E444+E445+E446+E447+E472-E473</f>
        <v>40798399.0698625</v>
      </c>
      <c r="F474" s="73" t="n">
        <f aca="false">F444+F445+F446+F447+F472-F473</f>
        <v>40460536.6192838</v>
      </c>
      <c r="G474" s="73" t="n">
        <f aca="false">G444+G445+G446+G447+G472-G473</f>
        <v>40953143.5500651</v>
      </c>
      <c r="H474" s="73" t="n">
        <f aca="false">H444+H445+H446+H447+H472-H473</f>
        <v>40644633.1007141</v>
      </c>
      <c r="I474" s="73" t="n">
        <f aca="false">I444+I445+I446+I447+I472-I473</f>
        <v>41155763.9877447</v>
      </c>
      <c r="J474" s="73" t="n">
        <f aca="false">J444+J445+J446+J447+J472-J473</f>
        <v>40845933.5911231</v>
      </c>
      <c r="K474" s="73" t="n">
        <f aca="false">K444+K445+K446+K447+K472-K473</f>
        <v>41360611.143292</v>
      </c>
      <c r="L474" s="73" t="n">
        <f aca="false">L444+L445+L446+L447+L472-L473</f>
        <v>41049309.8206366</v>
      </c>
      <c r="M474" s="73" t="n">
        <f aca="false">M444+M445+M446+M447+M472-M473</f>
        <v>41670062.8050127</v>
      </c>
      <c r="N474" s="73" t="n">
        <f aca="false">N444+N445+N446+N447+N472-N473</f>
        <v>41356696.8284695</v>
      </c>
      <c r="O474" s="73" t="n">
        <f aca="false">O444+O445+O446+O447+O472-O473</f>
        <v>41983121.3082936</v>
      </c>
    </row>
    <row r="475" customFormat="false" ht="15" hidden="false" customHeight="false" outlineLevel="0" collapsed="false">
      <c r="B475" s="65" t="s">
        <v>1066</v>
      </c>
      <c r="C475" s="72" t="n">
        <f aca="false">IF((C474+C473)&gt;0,C472/(C474+C473),0)</f>
        <v>0.15</v>
      </c>
      <c r="D475" s="72" t="n">
        <f aca="false">IF((D474+D473)&gt;0,D472/(D474+D473),0)</f>
        <v>0.1809815877584</v>
      </c>
      <c r="E475" s="72" t="n">
        <f aca="false">IF((E474+E473)&gt;0,E472/(E474+E473),0)</f>
        <v>0.168159268948935</v>
      </c>
      <c r="F475" s="72" t="n">
        <f aca="false">IF((F474+F473)&gt;0,F472/(F474+F473),0)</f>
        <v>0.161336067106605</v>
      </c>
      <c r="G475" s="72" t="n">
        <f aca="false">IF((G474+G473)&gt;0,G472/(G474+G473),0)</f>
        <v>0.158075432015893</v>
      </c>
      <c r="H475" s="72" t="n">
        <f aca="false">IF((H474+H473)&gt;0,H472/(H474+H473),0)</f>
        <v>0.151515366164618</v>
      </c>
      <c r="I475" s="72" t="n">
        <f aca="false">IF((I474+I473)&gt;0,I472/(I474+I473),0)</f>
        <v>0.158012892144361</v>
      </c>
      <c r="J475" s="72" t="n">
        <f aca="false">IF((J474+J473)&gt;0,J472/(J474+J473),0)</f>
        <v>0.150177136053208</v>
      </c>
      <c r="K475" s="72" t="n">
        <f aca="false">IF((K474+K473)&gt;0,K472/(K474+K473),0)</f>
        <v>0.158009013743493</v>
      </c>
      <c r="L475" s="72" t="n">
        <f aca="false">IF((L474+L473)&gt;0,L472/(L474+L473),0)</f>
        <v>0.148894826243881</v>
      </c>
      <c r="M475" s="72" t="n">
        <f aca="false">IF((M474+M473)&gt;0,M472/(M474+M473),0)</f>
        <v>0.157616502812465</v>
      </c>
      <c r="N475" s="72" t="n">
        <f aca="false">IF((N474+N473)&gt;0,N472/(N474+N473),0)</f>
        <v>0.147325171308518</v>
      </c>
      <c r="O475" s="72" t="n">
        <f aca="false">IF((O474+O473)&gt;0,O472/(O474+O473),0)</f>
        <v>0.155621557903449</v>
      </c>
    </row>
    <row r="476" customFormat="false" ht="15" hidden="false" customHeight="false" outlineLevel="0" collapsed="false">
      <c r="B476" s="65" t="s">
        <v>1067</v>
      </c>
      <c r="C476" s="72" t="n">
        <f aca="false">0</f>
        <v>0</v>
      </c>
      <c r="D476" s="72" t="n">
        <f aca="false">IF(D474&gt;0,D441/D474,0)</f>
        <v>0</v>
      </c>
      <c r="E476" s="72" t="n">
        <f aca="false">IF(E474&gt;0,E441/E474,0)</f>
        <v>0</v>
      </c>
      <c r="F476" s="72" t="n">
        <f aca="false">IF(F474&gt;0,F441/F474,0)</f>
        <v>0</v>
      </c>
      <c r="G476" s="72" t="n">
        <f aca="false">IF(G474&gt;0,G441/G474,0)</f>
        <v>0</v>
      </c>
      <c r="H476" s="72" t="n">
        <f aca="false">IF(H474&gt;0,H441/H474,0)</f>
        <v>0</v>
      </c>
      <c r="I476" s="72" t="n">
        <f aca="false">IF(I474&gt;0,I441/I474,0)</f>
        <v>0</v>
      </c>
      <c r="J476" s="72" t="n">
        <f aca="false">IF(J474&gt;0,J441/J474,0)</f>
        <v>0</v>
      </c>
      <c r="K476" s="72" t="n">
        <f aca="false">IF(K474&gt;0,K441/K474,0)</f>
        <v>0</v>
      </c>
      <c r="L476" s="72" t="n">
        <f aca="false">IF(L474&gt;0,L441/L474,0)</f>
        <v>0</v>
      </c>
      <c r="M476" s="72" t="n">
        <f aca="false">IF(M474&gt;0,M441/M474,0)</f>
        <v>0</v>
      </c>
      <c r="N476" s="72" t="n">
        <f aca="false">IF(N474&gt;0,N441/N474,0)</f>
        <v>0</v>
      </c>
      <c r="O476" s="72" t="n">
        <f aca="false">IF(O474&gt;0,O441/O474,0)</f>
        <v>0</v>
      </c>
    </row>
    <row r="477" customFormat="false" ht="15" hidden="false" customHeight="false" outlineLevel="0" collapsed="false">
      <c r="B477" s="65" t="s">
        <v>1068</v>
      </c>
      <c r="C477" s="75" t="n">
        <f aca="false">IF((C441+SUM(D432:G432)+SUM(D462:G462)+SUM(D463:G463)+SUM(D461:G461))&lt;=0,9.99,MIN(9.99,(C472+SUM(D460:G460)+SUM(D456:G457)+MAX(0,MIN($I$20*AN_cible,Emprunt_max*C474)-C473))/(C441+SUM(D432:G432)+SUM(D462:G462)+SUM(D463:G463)+SUM(D461:G461))))</f>
        <v>2.44742340200974</v>
      </c>
      <c r="D477" s="73" t="n">
        <f aca="false">IF((D441+SUM(E432:H432)+SUM(E462:H462)+SUM(E463:H463)+SUM(E461:H461))&lt;=0,9.99,MIN(9.99,(D472+SUM(E460:H460)+SUM(E456:H457)+MAX(0,MIN($I$20*AN_cible,Emprunt_max*D474)-D473))/(D441+SUM(E432:H432)+SUM(E462:H462)+SUM(E463:H463)+SUM(E461:H461))))</f>
        <v>2.45738984216237</v>
      </c>
      <c r="E477" s="73" t="n">
        <f aca="false">IF((E441+SUM(F432:I432)+SUM(F462:I462)+SUM(F463:I463)+SUM(F461:I461))&lt;=0,9.99,MIN(9.99,(E472+SUM(F460:I460)+SUM(F456:I457)+MAX(0,MIN($I$20*AN_cible,Emprunt_max*E474)-E473))/(E441+SUM(F432:I432)+SUM(F462:I462)+SUM(F463:I463)+SUM(F461:I461))))</f>
        <v>2.37042796756008</v>
      </c>
      <c r="F477" s="73" t="n">
        <f aca="false">IF((F441+SUM(G432:J432)+SUM(G462:J462)+SUM(G463:J463)+SUM(G461:J461))&lt;=0,9.99,MIN(9.99,(F472+SUM(G460:J460)+SUM(G456:J457)+MAX(0,MIN($I$20*AN_cible,Emprunt_max*F474)-F473))/(F441+SUM(G432:J432)+SUM(G462:J462)+SUM(G463:J463)+SUM(G461:J461))))</f>
        <v>2.29142450345351</v>
      </c>
      <c r="G477" s="73" t="n">
        <f aca="false">IF((G441+SUM(H432:K432)+SUM(H462:K462)+SUM(H463:K463)+SUM(H461:K461))&lt;=0,9.99,MIN(9.99,(G472+SUM(H460:K460)+SUM(H456:K457)+MAX(0,MIN($I$20*AN_cible,Emprunt_max*G474)-G473))/(G441+SUM(H432:K432)+SUM(H462:K462)+SUM(H463:K463)+SUM(H461:K461))))</f>
        <v>2.27032865604156</v>
      </c>
      <c r="H477" s="73" t="n">
        <f aca="false">IF((H441+SUM(I432:L432)+SUM(I462:L462)+SUM(I463:L463)+SUM(I461:L461))&lt;=0,9.99,MIN(9.99,(H472+SUM(I460:L460)+SUM(I456:L457)+MAX(0,MIN($I$20*AN_cible,Emprunt_max*H474)-H473))/(H441+SUM(I432:L432)+SUM(I462:L462)+SUM(I463:L463)+SUM(I461:L461))))</f>
        <v>2.18538061271177</v>
      </c>
      <c r="I477" s="73" t="n">
        <f aca="false">IF((I441+SUM(J432:M432)+SUM(J462:M462)+SUM(J463:M463)+SUM(J461:M461))&lt;=0,9.99,MIN(9.99,(I472+SUM(J460:M460)+SUM(J456:M457)+MAX(0,MIN($I$20*AN_cible,Emprunt_max*I474)-I473))/(I441+SUM(J432:M432)+SUM(J462:M462)+SUM(J463:M463)+SUM(J461:M461))))</f>
        <v>2.27853112099773</v>
      </c>
      <c r="J477" s="73" t="n">
        <f aca="false">IF((J441+SUM(K432:N432)+SUM(K462:N462)+SUM(K463:N463)+SUM(K461:N461))&lt;=0,9.99,MIN(9.99,(J472+SUM(K460:N460)+SUM(K456:N457)+MAX(0,MIN($I$20*AN_cible,Emprunt_max*J474)-J473))/(J441+SUM(K432:N432)+SUM(K462:N462)+SUM(K463:N463)+SUM(K461:N461))))</f>
        <v>2.18119370204892</v>
      </c>
      <c r="K477" s="73" t="n">
        <f aca="false">IF((K441+SUM(L432:O432)+SUM(L462:O462)+SUM(L463:O463)+SUM(L461:O461))&lt;=0,9.99,MIN(9.99,(K472+SUM(L460:O460)+SUM(L456:O457)+MAX(0,MIN($I$20*AN_cible,Emprunt_max*K474)-K473))/(K441+SUM(L432:O432)+SUM(L462:O462)+SUM(L463:O463)+SUM(L461:O461))))</f>
        <v>2.28812993679405</v>
      </c>
      <c r="L477" s="73" t="n">
        <f aca="false">IF((L441+SUM(M432:O432)+SUM(M462:O462)+SUM(M463:O463)+SUM(M461:O461))&lt;=0,9.99,MIN(9.99,(L472+SUM(M460:O460)+SUM(M456:O457)+MAX(0,MIN($I$20*AN_cible,Emprunt_max*L474)-L473))/(L441+SUM(M432:O432)+SUM(M462:O462)+SUM(M463:O463)+SUM(M461:O461))))</f>
        <v>2.97393529119156</v>
      </c>
      <c r="M477" s="73" t="n">
        <f aca="false">IF((M441+SUM(N432:O432)+SUM(N462:O462)+SUM(N463:O463)+SUM(N461:O461))&lt;=0,9.99,MIN(9.99,(M472+SUM(N460:O460)+SUM(N456:O457)+MAX(0,MIN($I$20*AN_cible,Emprunt_max*M474)-M473))/(M441+SUM(N432:O432)+SUM(N462:O462)+SUM(N463:O463)+SUM(N461:O461))))</f>
        <v>3.59188918642577</v>
      </c>
      <c r="N477" s="73" t="n">
        <f aca="false">IF((N441+SUM(O432:O432)+SUM(O462:O462)+SUM(O463:O463)+SUM(O461:O461))&lt;=0,9.99,MIN(9.99,(N472+SUM(O460:O460)+SUM(O456:O457)+MAX(0,MIN($I$20*AN_cible,Emprunt_max*N474)-N473))/(N441+SUM(O432:O432)+SUM(O462:O462)+SUM(O463:O463)+SUM(O461:O461))))</f>
        <v>9.37539366278685</v>
      </c>
      <c r="O477" s="73" t="n">
        <f aca="false">9.99</f>
        <v>9.99</v>
      </c>
    </row>
    <row r="478" customFormat="false" ht="15" hidden="false" customHeight="false" outlineLevel="0" collapsed="false">
      <c r="B478" s="65" t="s">
        <v>1069</v>
      </c>
      <c r="C478" s="72" t="n">
        <f aca="false">(C444+C445+C446+C447+C452+C453)/C474</f>
        <v>1</v>
      </c>
      <c r="D478" s="72" t="n">
        <f aca="false">(D444+D445+D446+D447+D452+D453)/D474</f>
        <v>0.974216364221518</v>
      </c>
      <c r="E478" s="72" t="n">
        <f aca="false">(E444+E445+E446+E447+E452+E453)/E474</f>
        <v>0.971245710895024</v>
      </c>
      <c r="F478" s="72" t="n">
        <f aca="false">(F444+F445+F446+F447+F452+F453)/F474</f>
        <v>0.965176095798333</v>
      </c>
      <c r="G478" s="72" t="n">
        <f aca="false">(G444+G445+G446+G447+G452+G453)/G474</f>
        <v>0.953027150242235</v>
      </c>
      <c r="H478" s="72" t="n">
        <f aca="false">(H444+H445+H446+H447+H452+H453)/H474</f>
        <v>0.946437295632938</v>
      </c>
      <c r="I478" s="72" t="n">
        <f aca="false">(I444+I445+I446+I447+I452+I453)/I474</f>
        <v>0.924903804554944</v>
      </c>
      <c r="J478" s="72" t="n">
        <f aca="false">(J444+J445+J446+J447+J452+J453)/J474</f>
        <v>0.919444237483423</v>
      </c>
      <c r="K478" s="72" t="n">
        <f aca="false">(K444+K445+K446+K447+K452+K453)/K474</f>
        <v>0.896995009096459</v>
      </c>
      <c r="L478" s="72" t="n">
        <f aca="false">(L444+L445+L446+L447+L452+L453)/L474</f>
        <v>0.892671037042381</v>
      </c>
      <c r="M478" s="72" t="n">
        <f aca="false">(M444+M445+M446+M447+M452+M453)/M474</f>
        <v>0.869681272219042</v>
      </c>
      <c r="N478" s="72" t="n">
        <f aca="false">(N444+N445+N446+N447+N452+N453)/N474</f>
        <v>0.866427135902063</v>
      </c>
      <c r="O478" s="72" t="n">
        <f aca="false">(O444+O445+O446+O447+O452+O453)/O474</f>
        <v>0.844378442096551</v>
      </c>
    </row>
    <row r="479" customFormat="false" ht="15" hidden="false" customHeight="false" outlineLevel="0" collapsed="false">
      <c r="B479" s="65" t="s">
        <v>849</v>
      </c>
      <c r="C479" s="72" t="n">
        <f aca="false">(C474+C473)/C474</f>
        <v>1</v>
      </c>
      <c r="D479" s="72" t="n">
        <f aca="false">(D474+D473)/D474</f>
        <v>1</v>
      </c>
      <c r="E479" s="72" t="n">
        <f aca="false">(E474+E473)/E474</f>
        <v>1</v>
      </c>
      <c r="F479" s="72" t="n">
        <f aca="false">(F474+F473)/F474</f>
        <v>1</v>
      </c>
      <c r="G479" s="72" t="n">
        <f aca="false">(G474+G473)/G474</f>
        <v>1</v>
      </c>
      <c r="H479" s="72" t="n">
        <f aca="false">(H474+H473)/H474</f>
        <v>1</v>
      </c>
      <c r="I479" s="72" t="n">
        <f aca="false">(I474+I473)/I474</f>
        <v>1</v>
      </c>
      <c r="J479" s="72" t="n">
        <f aca="false">(J474+J473)/J474</f>
        <v>1</v>
      </c>
      <c r="K479" s="72" t="n">
        <f aca="false">(K474+K473)/K474</f>
        <v>1</v>
      </c>
      <c r="L479" s="72" t="n">
        <f aca="false">(L474+L473)/L474</f>
        <v>1</v>
      </c>
      <c r="M479" s="72" t="n">
        <f aca="false">(M474+M473)/M474</f>
        <v>1</v>
      </c>
      <c r="N479" s="72" t="n">
        <f aca="false">(N474+N473)/N474</f>
        <v>1</v>
      </c>
      <c r="O479" s="72" t="n">
        <f aca="false">(O474+O473)/O474</f>
        <v>1</v>
      </c>
    </row>
    <row r="480" customFormat="false" ht="15" hidden="false" customHeight="false" outlineLevel="0" collapsed="false">
      <c r="B480" s="65" t="s">
        <v>1070</v>
      </c>
      <c r="C480" s="72" t="n">
        <f aca="false">(C444+C445*MSIG_USD)/C474</f>
        <v>0.25</v>
      </c>
      <c r="D480" s="72" t="n">
        <f aca="false">(D444+D445*MSIG_USD)/D474</f>
        <v>0.218906013574584</v>
      </c>
      <c r="E480" s="72" t="n">
        <f aca="false">(E444+E445*MSIG_USD)/E474</f>
        <v>0.225776777926731</v>
      </c>
      <c r="F480" s="72" t="n">
        <f aca="false">(F444+F445*MSIG_USD)/F474</f>
        <v>0.237298845281013</v>
      </c>
      <c r="G480" s="72" t="n">
        <f aca="false">(G444+G445*MSIG_USD)/G474</f>
        <v>0.244038853215792</v>
      </c>
      <c r="H480" s="72" t="n">
        <f aca="false">(H444+H445*MSIG_USD)/H474</f>
        <v>0.255633087738606</v>
      </c>
      <c r="I480" s="72" t="n">
        <f aca="false">(I444+I445*MSIG_USD)/I474</f>
        <v>0.26215347833504</v>
      </c>
      <c r="J480" s="72" t="n">
        <f aca="false">(J444+J445*MSIG_USD)/J474</f>
        <v>0.273986213623502</v>
      </c>
      <c r="K480" s="72" t="n">
        <f aca="false">(K444+K445*MSIG_USD)/K474</f>
        <v>0.280373634751844</v>
      </c>
      <c r="L480" s="72" t="n">
        <f aca="false">(L444+L445*MSIG_USD)/L474</f>
        <v>0.292447237638554</v>
      </c>
      <c r="M480" s="72" t="n">
        <f aca="false">(M444+M445*MSIG_USD)/M474</f>
        <v>0.297965569957942</v>
      </c>
      <c r="N480" s="72" t="n">
        <f aca="false">(N444+N445*MSIG_USD)/N474</f>
        <v>0.310249862364574</v>
      </c>
      <c r="O480" s="72" t="n">
        <f aca="false">(O444+O445*MSIG_USD)/O474</f>
        <v>0.315573922612269</v>
      </c>
    </row>
    <row r="481" customFormat="false" ht="15" hidden="false" customHeight="false" outlineLevel="0" collapsed="false">
      <c r="B481" s="65" t="s">
        <v>1071</v>
      </c>
      <c r="C481" s="25"/>
      <c r="D481" s="65" t="n">
        <f aca="false">IF(AND($I$9&lt;0.5*Collecte_norm,IF(D425&lt;=$I$11,0,$I$10)&lt;0.5,IF(D425&lt;=4,$I$17,($I$18+$I$19)/2)&lt;0.7),1,0)</f>
        <v>0</v>
      </c>
      <c r="E481" s="65" t="n">
        <f aca="false">IF(AND($I$9&lt;0.5*Collecte_norm,IF(E425&lt;=$I$11,0,$I$10)&lt;0.5,IF(E425&lt;=4,$I$17,($I$18+$I$19)/2)&lt;0.7),1,0)</f>
        <v>0</v>
      </c>
      <c r="F481" s="65" t="n">
        <f aca="false">IF(AND($I$9&lt;0.5*Collecte_norm,IF(F425&lt;=$I$11,0,$I$10)&lt;0.5,IF(F425&lt;=4,$I$17,($I$18+$I$19)/2)&lt;0.7),1,0)</f>
        <v>0</v>
      </c>
      <c r="G481" s="65" t="n">
        <f aca="false">IF(AND($I$9&lt;0.5*Collecte_norm,IF(G425&lt;=$I$11,0,$I$10)&lt;0.5,IF(G425&lt;=4,$I$17,($I$18+$I$19)/2)&lt;0.7),1,0)</f>
        <v>0</v>
      </c>
      <c r="H481" s="65" t="n">
        <f aca="false">IF(AND($I$9&lt;0.5*Collecte_norm,IF(H425&lt;=$I$11,0,$I$10)&lt;0.5,IF(H425&lt;=4,$I$17,($I$18+$I$19)/2)&lt;0.7),1,0)</f>
        <v>0</v>
      </c>
      <c r="I481" s="65" t="n">
        <f aca="false">IF(AND($I$9&lt;0.5*Collecte_norm,IF(I425&lt;=$I$11,0,$I$10)&lt;0.5,IF(I425&lt;=4,$I$17,($I$18+$I$19)/2)&lt;0.7),1,0)</f>
        <v>0</v>
      </c>
      <c r="J481" s="65" t="n">
        <f aca="false">IF(AND($I$9&lt;0.5*Collecte_norm,IF(J425&lt;=$I$11,0,$I$10)&lt;0.5,IF(J425&lt;=4,$I$17,($I$18+$I$19)/2)&lt;0.7),1,0)</f>
        <v>0</v>
      </c>
      <c r="K481" s="65" t="n">
        <f aca="false">IF(AND($I$9&lt;0.5*Collecte_norm,IF(K425&lt;=$I$11,0,$I$10)&lt;0.5,IF(K425&lt;=4,$I$17,($I$18+$I$19)/2)&lt;0.7),1,0)</f>
        <v>0</v>
      </c>
      <c r="L481" s="65" t="n">
        <f aca="false">IF(AND($I$9&lt;0.5*Collecte_norm,IF(L425&lt;=$I$11,0,$I$10)&lt;0.5,IF(L425&lt;=4,$I$17,($I$18+$I$19)/2)&lt;0.7),1,0)</f>
        <v>0</v>
      </c>
      <c r="M481" s="65" t="n">
        <f aca="false">IF(AND($I$9&lt;0.5*Collecte_norm,IF(M425&lt;=$I$11,0,$I$10)&lt;0.5,IF(M425&lt;=4,$I$17,($I$18+$I$19)/2)&lt;0.7),1,0)</f>
        <v>0</v>
      </c>
      <c r="N481" s="65" t="n">
        <f aca="false">IF(AND($I$9&lt;0.5*Collecte_norm,IF(N425&lt;=$I$11,0,$I$10)&lt;0.5,IF(N425&lt;=4,$I$17,($I$18+$I$19)/2)&lt;0.7),1,0)</f>
        <v>0</v>
      </c>
      <c r="O481" s="65" t="n">
        <f aca="false">IF(AND($I$9&lt;0.5*Collecte_norm,IF(O425&lt;=$I$11,0,$I$10)&lt;0.5,IF(O425&lt;=4,$I$17,($I$18+$I$19)/2)&lt;0.7),1,0)</f>
        <v>0</v>
      </c>
    </row>
    <row r="482" customFormat="false" ht="15" hidden="false" customHeight="false" outlineLevel="0" collapsed="false">
      <c r="B482" s="76" t="s">
        <v>1072</v>
      </c>
      <c r="C482" s="76" t="n">
        <v>99</v>
      </c>
      <c r="D482" s="76" t="n">
        <f aca="false">IF(D442=1,D428,99)</f>
        <v>99</v>
      </c>
      <c r="E482" s="76" t="n">
        <f aca="false">IF(E442=1,E428,99)</f>
        <v>99</v>
      </c>
      <c r="F482" s="76" t="n">
        <f aca="false">IF(F442=1,F428,99)</f>
        <v>99</v>
      </c>
      <c r="G482" s="76" t="n">
        <f aca="false">IF(G442=1,G428,99)</f>
        <v>99</v>
      </c>
      <c r="H482" s="76" t="n">
        <f aca="false">IF(H442=1,H428,99)</f>
        <v>99</v>
      </c>
      <c r="I482" s="76" t="n">
        <f aca="false">IF(I442=1,I428,99)</f>
        <v>99</v>
      </c>
      <c r="J482" s="76" t="n">
        <f aca="false">IF(J442=1,J428,99)</f>
        <v>99</v>
      </c>
      <c r="K482" s="76" t="n">
        <f aca="false">IF(K442=1,K428,99)</f>
        <v>99</v>
      </c>
      <c r="L482" s="76" t="n">
        <f aca="false">IF(L442=1,L428,99)</f>
        <v>99</v>
      </c>
      <c r="M482" s="76" t="n">
        <f aca="false">IF(M442=1,M428,99)</f>
        <v>99</v>
      </c>
      <c r="N482" s="76" t="n">
        <f aca="false">IF(N442=1,N428,99)</f>
        <v>99</v>
      </c>
      <c r="O482" s="76" t="n">
        <f aca="false">IF(O442=1,O428,99)</f>
        <v>99</v>
      </c>
    </row>
    <row r="483" customFormat="false" ht="15" hidden="false" customHeight="false" outlineLevel="0" collapsed="false">
      <c r="B483" s="76" t="s">
        <v>1073</v>
      </c>
      <c r="C483" s="76" t="n">
        <v>99</v>
      </c>
      <c r="D483" s="76" t="n">
        <f aca="false">IF(AND(D427=1,D428&gt;MIN($D482:$O482),D441&lt;=0.000001),D428,99)</f>
        <v>99</v>
      </c>
      <c r="E483" s="76" t="n">
        <f aca="false">IF(AND(E427=1,E428&gt;MIN($D482:$O482),E441&lt;=0.000001),E428,99)</f>
        <v>99</v>
      </c>
      <c r="F483" s="76" t="n">
        <f aca="false">IF(AND(F427=1,F428&gt;MIN($D482:$O482),F441&lt;=0.000001),F428,99)</f>
        <v>99</v>
      </c>
      <c r="G483" s="76" t="n">
        <f aca="false">IF(AND(G427=1,G428&gt;MIN($D482:$O482),G441&lt;=0.000001),G428,99)</f>
        <v>99</v>
      </c>
      <c r="H483" s="76" t="n">
        <f aca="false">IF(AND(H427=1,H428&gt;MIN($D482:$O482),H441&lt;=0.000001),H428,99)</f>
        <v>99</v>
      </c>
      <c r="I483" s="76" t="n">
        <f aca="false">IF(AND(I427=1,I428&gt;MIN($D482:$O482),I441&lt;=0.000001),I428,99)</f>
        <v>99</v>
      </c>
      <c r="J483" s="76" t="n">
        <f aca="false">IF(AND(J427=1,J428&gt;MIN($D482:$O482),J441&lt;=0.000001),J428,99)</f>
        <v>99</v>
      </c>
      <c r="K483" s="76" t="n">
        <f aca="false">IF(AND(K427=1,K428&gt;MIN($D482:$O482),K441&lt;=0.000001),K428,99)</f>
        <v>99</v>
      </c>
      <c r="L483" s="76" t="n">
        <f aca="false">IF(AND(L427=1,L428&gt;MIN($D482:$O482),L441&lt;=0.000001),L428,99)</f>
        <v>99</v>
      </c>
      <c r="M483" s="76" t="n">
        <f aca="false">IF(AND(M427=1,M428&gt;MIN($D482:$O482),M441&lt;=0.000001),M428,99)</f>
        <v>99</v>
      </c>
      <c r="N483" s="76" t="n">
        <f aca="false">IF(AND(N427=1,N428&gt;MIN($D482:$O482),N441&lt;=0.000001),N428,99)</f>
        <v>99</v>
      </c>
      <c r="O483" s="76" t="n">
        <f aca="false">IF(AND(O427=1,O428&gt;MIN($D482:$O482),O441&lt;=0.000001),O428,99)</f>
        <v>99</v>
      </c>
    </row>
    <row r="484" customFormat="false" ht="15" hidden="false" customHeight="false" outlineLevel="0" collapsed="false">
      <c r="B484" s="76" t="s">
        <v>1074</v>
      </c>
      <c r="C484" s="76" t="n">
        <v>9999999</v>
      </c>
      <c r="D484" s="76" t="n">
        <f aca="false">IF(D439=1,D426,9999999)</f>
        <v>9999999</v>
      </c>
      <c r="E484" s="76" t="n">
        <f aca="false">IF(E439=1,E426,9999999)</f>
        <v>9999999</v>
      </c>
      <c r="F484" s="76" t="n">
        <f aca="false">IF(F439=1,F426,9999999)</f>
        <v>9999999</v>
      </c>
      <c r="G484" s="76" t="n">
        <f aca="false">IF(G439=1,G426,9999999)</f>
        <v>9999999</v>
      </c>
      <c r="H484" s="76" t="n">
        <f aca="false">IF(H439=1,H426,9999999)</f>
        <v>9999999</v>
      </c>
      <c r="I484" s="76" t="n">
        <f aca="false">IF(I439=1,I426,9999999)</f>
        <v>9999999</v>
      </c>
      <c r="J484" s="76" t="n">
        <f aca="false">IF(J439=1,J426,9999999)</f>
        <v>9999999</v>
      </c>
      <c r="K484" s="76" t="n">
        <f aca="false">IF(K439=1,K426,9999999)</f>
        <v>9999999</v>
      </c>
      <c r="L484" s="76" t="n">
        <f aca="false">IF(L439=1,L426,9999999)</f>
        <v>9999999</v>
      </c>
      <c r="M484" s="76" t="n">
        <f aca="false">IF(M439=1,M426,9999999)</f>
        <v>9999999</v>
      </c>
      <c r="N484" s="76" t="n">
        <f aca="false">IF(N439=1,N426,9999999)</f>
        <v>9999999</v>
      </c>
      <c r="O484" s="76" t="n">
        <f aca="false">IF(O439=1,O426,9999999)</f>
        <v>9999999</v>
      </c>
    </row>
    <row r="485" customFormat="false" ht="15" hidden="false" customHeight="false" outlineLevel="0" collapsed="false">
      <c r="B485" s="76" t="s">
        <v>1075</v>
      </c>
      <c r="C485" s="76" t="n">
        <v>9999999</v>
      </c>
      <c r="D485" s="76" t="n">
        <f aca="false">IF(D481=1,D426,9999999)</f>
        <v>9999999</v>
      </c>
      <c r="E485" s="76" t="n">
        <f aca="false">IF(E481=1,E426,9999999)</f>
        <v>9999999</v>
      </c>
      <c r="F485" s="76" t="n">
        <f aca="false">IF(F481=1,F426,9999999)</f>
        <v>9999999</v>
      </c>
      <c r="G485" s="76" t="n">
        <f aca="false">IF(G481=1,G426,9999999)</f>
        <v>9999999</v>
      </c>
      <c r="H485" s="76" t="n">
        <f aca="false">IF(H481=1,H426,9999999)</f>
        <v>9999999</v>
      </c>
      <c r="I485" s="76" t="n">
        <f aca="false">IF(I481=1,I426,9999999)</f>
        <v>9999999</v>
      </c>
      <c r="J485" s="76" t="n">
        <f aca="false">IF(J481=1,J426,9999999)</f>
        <v>9999999</v>
      </c>
      <c r="K485" s="76" t="n">
        <f aca="false">IF(K481=1,K426,9999999)</f>
        <v>9999999</v>
      </c>
      <c r="L485" s="76" t="n">
        <f aca="false">IF(L481=1,L426,9999999)</f>
        <v>9999999</v>
      </c>
      <c r="M485" s="76" t="n">
        <f aca="false">IF(M481=1,M426,9999999)</f>
        <v>9999999</v>
      </c>
      <c r="N485" s="76" t="n">
        <f aca="false">IF(N481=1,N426,9999999)</f>
        <v>9999999</v>
      </c>
      <c r="O485" s="76" t="n">
        <f aca="false">IF(O481=1,O426,9999999)</f>
        <v>9999999</v>
      </c>
    </row>
    <row r="490" customFormat="false" ht="15" hidden="false" customHeight="false" outlineLevel="0" collapsed="false">
      <c r="B490" s="45" t="str">
        <f aca="false">J$5</f>
        <v>Crise combinée : chocs de passif et d'actif simultanés</v>
      </c>
      <c r="C490" s="45" t="s">
        <v>55</v>
      </c>
      <c r="D490" s="45" t="n">
        <v>8</v>
      </c>
      <c r="E490" s="2"/>
      <c r="F490" s="2"/>
      <c r="G490" s="2"/>
      <c r="H490" s="2"/>
      <c r="I490" s="2"/>
      <c r="J490" s="2"/>
      <c r="K490" s="2"/>
      <c r="L490" s="2"/>
      <c r="M490" s="2"/>
      <c r="N490" s="2"/>
      <c r="O490" s="2"/>
    </row>
    <row r="491" customFormat="false" ht="15" hidden="false" customHeight="false" outlineLevel="0" collapsed="false">
      <c r="B491" s="65" t="s">
        <v>1019</v>
      </c>
      <c r="C491" s="65" t="n">
        <v>0</v>
      </c>
      <c r="D491" s="65" t="n">
        <v>1</v>
      </c>
      <c r="E491" s="65" t="n">
        <v>2</v>
      </c>
      <c r="F491" s="65" t="n">
        <v>3</v>
      </c>
      <c r="G491" s="65" t="n">
        <v>4</v>
      </c>
      <c r="H491" s="65" t="n">
        <v>5</v>
      </c>
      <c r="I491" s="65" t="n">
        <v>6</v>
      </c>
      <c r="J491" s="65" t="n">
        <v>7</v>
      </c>
      <c r="K491" s="65" t="n">
        <v>8</v>
      </c>
      <c r="L491" s="65" t="n">
        <v>9</v>
      </c>
      <c r="M491" s="65" t="n">
        <v>10</v>
      </c>
      <c r="N491" s="65" t="n">
        <v>11</v>
      </c>
      <c r="O491" s="65" t="n">
        <v>12</v>
      </c>
    </row>
    <row r="492" customFormat="false" ht="15" hidden="false" customHeight="false" outlineLevel="0" collapsed="false">
      <c r="B492" s="65" t="s">
        <v>209</v>
      </c>
      <c r="C492" s="71" t="n">
        <f aca="false">Date_depart</f>
        <v>47026</v>
      </c>
      <c r="D492" s="71" t="n">
        <f aca="false">EOMONTH(Date_depart,3*D491)</f>
        <v>47118</v>
      </c>
      <c r="E492" s="71" t="n">
        <f aca="false">EOMONTH(Date_depart,3*E491)</f>
        <v>47208</v>
      </c>
      <c r="F492" s="71" t="n">
        <f aca="false">EOMONTH(Date_depart,3*F491)</f>
        <v>47299</v>
      </c>
      <c r="G492" s="71" t="n">
        <f aca="false">EOMONTH(Date_depart,3*G491)</f>
        <v>47391</v>
      </c>
      <c r="H492" s="71" t="n">
        <f aca="false">EOMONTH(Date_depart,3*H491)</f>
        <v>47483</v>
      </c>
      <c r="I492" s="71" t="n">
        <f aca="false">EOMONTH(Date_depart,3*I491)</f>
        <v>47573</v>
      </c>
      <c r="J492" s="71" t="n">
        <f aca="false">EOMONTH(Date_depart,3*J491)</f>
        <v>47664</v>
      </c>
      <c r="K492" s="71" t="n">
        <f aca="false">EOMONTH(Date_depart,3*K491)</f>
        <v>47756</v>
      </c>
      <c r="L492" s="71" t="n">
        <f aca="false">EOMONTH(Date_depart,3*L491)</f>
        <v>47848</v>
      </c>
      <c r="M492" s="71" t="n">
        <f aca="false">EOMONTH(Date_depart,3*M491)</f>
        <v>47938</v>
      </c>
      <c r="N492" s="71" t="n">
        <f aca="false">EOMONTH(Date_depart,3*N491)</f>
        <v>48029</v>
      </c>
      <c r="O492" s="71" t="n">
        <f aca="false">EOMONTH(Date_depart,3*O491)</f>
        <v>48121</v>
      </c>
    </row>
    <row r="493" customFormat="false" ht="15" hidden="false" customHeight="false" outlineLevel="0" collapsed="false">
      <c r="B493" s="65" t="s">
        <v>1020</v>
      </c>
      <c r="C493" s="65" t="n">
        <v>0</v>
      </c>
      <c r="D493" s="65" t="n">
        <f aca="false">IF(OR(MONTH(D492)=6,MONTH(D492)=12),1,0)</f>
        <v>1</v>
      </c>
      <c r="E493" s="65" t="n">
        <f aca="false">IF(OR(MONTH(E492)=6,MONTH(E492)=12),1,0)</f>
        <v>0</v>
      </c>
      <c r="F493" s="65" t="n">
        <f aca="false">IF(OR(MONTH(F492)=6,MONTH(F492)=12),1,0)</f>
        <v>1</v>
      </c>
      <c r="G493" s="65" t="n">
        <f aca="false">IF(OR(MONTH(G492)=6,MONTH(G492)=12),1,0)</f>
        <v>0</v>
      </c>
      <c r="H493" s="65" t="n">
        <f aca="false">IF(OR(MONTH(H492)=6,MONTH(H492)=12),1,0)</f>
        <v>1</v>
      </c>
      <c r="I493" s="65" t="n">
        <f aca="false">IF(OR(MONTH(I492)=6,MONTH(I492)=12),1,0)</f>
        <v>0</v>
      </c>
      <c r="J493" s="65" t="n">
        <f aca="false">IF(OR(MONTH(J492)=6,MONTH(J492)=12),1,0)</f>
        <v>1</v>
      </c>
      <c r="K493" s="65" t="n">
        <f aca="false">IF(OR(MONTH(K492)=6,MONTH(K492)=12),1,0)</f>
        <v>0</v>
      </c>
      <c r="L493" s="65" t="n">
        <f aca="false">IF(OR(MONTH(L492)=6,MONTH(L492)=12),1,0)</f>
        <v>1</v>
      </c>
      <c r="M493" s="65" t="n">
        <f aca="false">IF(OR(MONTH(M492)=6,MONTH(M492)=12),1,0)</f>
        <v>0</v>
      </c>
      <c r="N493" s="65" t="n">
        <f aca="false">IF(OR(MONTH(N492)=6,MONTH(N492)=12),1,0)</f>
        <v>1</v>
      </c>
      <c r="O493" s="65" t="n">
        <f aca="false">IF(OR(MONTH(O492)=6,MONTH(O492)=12),1,0)</f>
        <v>0</v>
      </c>
    </row>
    <row r="494" customFormat="false" ht="15" hidden="false" customHeight="false" outlineLevel="0" collapsed="false">
      <c r="B494" s="65" t="s">
        <v>1021</v>
      </c>
      <c r="C494" s="65" t="n">
        <v>0</v>
      </c>
      <c r="D494" s="65" t="n">
        <f aca="false">C494+D493</f>
        <v>1</v>
      </c>
      <c r="E494" s="65" t="n">
        <f aca="false">D494+E493</f>
        <v>1</v>
      </c>
      <c r="F494" s="65" t="n">
        <f aca="false">E494+F493</f>
        <v>2</v>
      </c>
      <c r="G494" s="65" t="n">
        <f aca="false">F494+G493</f>
        <v>2</v>
      </c>
      <c r="H494" s="65" t="n">
        <f aca="false">G494+H493</f>
        <v>3</v>
      </c>
      <c r="I494" s="65" t="n">
        <f aca="false">H494+I493</f>
        <v>3</v>
      </c>
      <c r="J494" s="65" t="n">
        <f aca="false">I494+J493</f>
        <v>4</v>
      </c>
      <c r="K494" s="65" t="n">
        <f aca="false">J494+K493</f>
        <v>4</v>
      </c>
      <c r="L494" s="65" t="n">
        <f aca="false">K494+L493</f>
        <v>5</v>
      </c>
      <c r="M494" s="65" t="n">
        <f aca="false">L494+M493</f>
        <v>5</v>
      </c>
      <c r="N494" s="65" t="n">
        <f aca="false">M494+N493</f>
        <v>6</v>
      </c>
      <c r="O494" s="65" t="n">
        <f aca="false">N494+O493</f>
        <v>6</v>
      </c>
    </row>
    <row r="495" customFormat="false" ht="15" hidden="false" customHeight="false" outlineLevel="0" collapsed="false">
      <c r="B495" s="65" t="s">
        <v>1022</v>
      </c>
      <c r="C495" s="25"/>
      <c r="D495" s="72" t="n">
        <f aca="false">IF(D493=1,IF(C505=1,0,IF(D494=1,$J$6,IF(D494=2,$J$7,$J$8))),0)</f>
        <v>0.15</v>
      </c>
      <c r="E495" s="72" t="n">
        <f aca="false">IF(E493=1,IF(D505=1,0,IF(E494=1,$J$6,IF(E494=2,$J$7,$J$8))),0)</f>
        <v>0</v>
      </c>
      <c r="F495" s="72" t="n">
        <f aca="false">IF(F493=1,IF(E505=1,0,IF(F494=1,$J$6,IF(F494=2,$J$7,$J$8))),0)</f>
        <v>0.2</v>
      </c>
      <c r="G495" s="72" t="n">
        <f aca="false">IF(G493=1,IF(F505=1,0,IF(G494=1,$J$6,IF(G494=2,$J$7,$J$8))),0)</f>
        <v>0</v>
      </c>
      <c r="H495" s="72" t="n">
        <f aca="false">IF(H493=1,IF(G505=1,0,IF(H494=1,$J$6,IF(H494=2,$J$7,$J$8))),0)</f>
        <v>0</v>
      </c>
      <c r="I495" s="72" t="n">
        <f aca="false">IF(I493=1,IF(H505=1,0,IF(I494=1,$J$6,IF(I494=2,$J$7,$J$8))),0)</f>
        <v>0</v>
      </c>
      <c r="J495" s="72" t="n">
        <f aca="false">IF(J493=1,IF(I505=1,0,IF(J494=1,$J$6,IF(J494=2,$J$7,$J$8))),0)</f>
        <v>0</v>
      </c>
      <c r="K495" s="72" t="n">
        <f aca="false">IF(K493=1,IF(J505=1,0,IF(K494=1,$J$6,IF(K494=2,$J$7,$J$8))),0)</f>
        <v>0</v>
      </c>
      <c r="L495" s="72" t="n">
        <f aca="false">IF(L493=1,IF(K505=1,0,IF(L494=1,$J$6,IF(L494=2,$J$7,$J$8))),0)</f>
        <v>0</v>
      </c>
      <c r="M495" s="72" t="n">
        <f aca="false">IF(M493=1,IF(L505=1,0,IF(M494=1,$J$6,IF(M494=2,$J$7,$J$8))),0)</f>
        <v>0</v>
      </c>
      <c r="N495" s="72" t="n">
        <f aca="false">IF(N493=1,IF(M505=1,0,IF(N494=1,$J$6,IF(N494=2,$J$7,$J$8))),0)</f>
        <v>0</v>
      </c>
      <c r="O495" s="72" t="n">
        <f aca="false">IF(O493=1,IF(N505=1,0,IF(O494=1,$J$6,IF(O494=2,$J$7,$J$8))),0)</f>
        <v>0</v>
      </c>
    </row>
    <row r="496" customFormat="false" ht="15" hidden="false" customHeight="false" outlineLevel="0" collapsed="false">
      <c r="B496" s="65" t="s">
        <v>1023</v>
      </c>
      <c r="C496" s="25"/>
      <c r="D496" s="73" t="n">
        <f aca="false">C540</f>
        <v>50000000</v>
      </c>
      <c r="E496" s="73" t="n">
        <f aca="false">D540</f>
        <v>48240956.25</v>
      </c>
      <c r="F496" s="73" t="n">
        <f aca="false">E540</f>
        <v>49000657.8382813</v>
      </c>
      <c r="G496" s="73" t="n">
        <f aca="false">F540</f>
        <v>47332707.5743596</v>
      </c>
      <c r="H496" s="73" t="n">
        <f aca="false">G540</f>
        <v>48134634.7406724</v>
      </c>
      <c r="I496" s="73" t="n">
        <f aca="false">H540</f>
        <v>46306123.2030979</v>
      </c>
      <c r="J496" s="73" t="n">
        <f aca="false">I540</f>
        <v>47087353.855311</v>
      </c>
      <c r="K496" s="73" t="n">
        <f aca="false">J540</f>
        <v>45265683.9147868</v>
      </c>
      <c r="L496" s="73" t="n">
        <f aca="false">K540</f>
        <v>46025294.4377998</v>
      </c>
      <c r="M496" s="73" t="n">
        <f aca="false">L540</f>
        <v>46797616.5572729</v>
      </c>
      <c r="N496" s="73" t="n">
        <f aca="false">M540</f>
        <v>47582882.8295618</v>
      </c>
      <c r="O496" s="73" t="n">
        <f aca="false">N540</f>
        <v>48414720.375802</v>
      </c>
    </row>
    <row r="497" customFormat="false" ht="15" hidden="false" customHeight="false" outlineLevel="0" collapsed="false">
      <c r="B497" s="65" t="s">
        <v>177</v>
      </c>
      <c r="C497" s="25"/>
      <c r="D497" s="73" t="n">
        <f aca="false">IF(C505=1,0,$J$9*D496)</f>
        <v>0</v>
      </c>
      <c r="E497" s="73" t="n">
        <f aca="false">IF(D505=1,0,$J$9*E496)</f>
        <v>0</v>
      </c>
      <c r="F497" s="73" t="n">
        <f aca="false">IF(E505=1,0,$J$9*F496)</f>
        <v>0</v>
      </c>
      <c r="G497" s="73" t="n">
        <f aca="false">IF(F505=1,0,$J$9*G496)</f>
        <v>0</v>
      </c>
      <c r="H497" s="73" t="n">
        <f aca="false">IF(G505=1,0,$J$9*H496)</f>
        <v>0</v>
      </c>
      <c r="I497" s="73" t="n">
        <f aca="false">IF(H505=1,0,$J$9*I496)</f>
        <v>0</v>
      </c>
      <c r="J497" s="73" t="n">
        <f aca="false">IF(I505=1,0,$J$9*J496)</f>
        <v>0</v>
      </c>
      <c r="K497" s="73" t="n">
        <f aca="false">IF(J505=1,0,$J$9*K496)</f>
        <v>0</v>
      </c>
      <c r="L497" s="73" t="n">
        <f aca="false">IF(K505=1,0,$J$9*L496)</f>
        <v>0</v>
      </c>
      <c r="M497" s="73" t="n">
        <f aca="false">IF(L505=1,0,$J$9*M496)</f>
        <v>0</v>
      </c>
      <c r="N497" s="73" t="n">
        <f aca="false">IF(M505=1,0,$J$9*N496)</f>
        <v>0</v>
      </c>
      <c r="O497" s="73" t="n">
        <f aca="false">IF(N505=1,0,$J$9*O496)</f>
        <v>0</v>
      </c>
    </row>
    <row r="498" customFormat="false" ht="15" hidden="false" customHeight="false" outlineLevel="0" collapsed="false">
      <c r="B498" s="65" t="s">
        <v>1024</v>
      </c>
      <c r="C498" s="25"/>
      <c r="D498" s="73" t="n">
        <f aca="false">D495*D496</f>
        <v>7500000</v>
      </c>
      <c r="E498" s="73" t="n">
        <f aca="false">E495*E496</f>
        <v>0</v>
      </c>
      <c r="F498" s="73" t="n">
        <f aca="false">F495*F496</f>
        <v>9800131.56765625</v>
      </c>
      <c r="G498" s="73" t="n">
        <f aca="false">G495*G496</f>
        <v>0</v>
      </c>
      <c r="H498" s="73" t="n">
        <f aca="false">H495*H496</f>
        <v>0</v>
      </c>
      <c r="I498" s="73" t="n">
        <f aca="false">I495*I496</f>
        <v>0</v>
      </c>
      <c r="J498" s="73" t="n">
        <f aca="false">J495*J496</f>
        <v>0</v>
      </c>
      <c r="K498" s="73" t="n">
        <f aca="false">K495*K496</f>
        <v>0</v>
      </c>
      <c r="L498" s="73" t="n">
        <f aca="false">L495*L496</f>
        <v>0</v>
      </c>
      <c r="M498" s="73" t="n">
        <f aca="false">M495*M496</f>
        <v>0</v>
      </c>
      <c r="N498" s="73" t="n">
        <f aca="false">N495*N496</f>
        <v>0</v>
      </c>
      <c r="O498" s="73" t="n">
        <f aca="false">O495*O496</f>
        <v>0</v>
      </c>
    </row>
    <row r="499" customFormat="false" ht="15" hidden="false" customHeight="false" outlineLevel="0" collapsed="false">
      <c r="B499" s="65" t="s">
        <v>1025</v>
      </c>
      <c r="C499" s="25"/>
      <c r="D499" s="73" t="n">
        <f aca="false">C507</f>
        <v>0</v>
      </c>
      <c r="E499" s="73" t="n">
        <f aca="false">D507</f>
        <v>5000000</v>
      </c>
      <c r="F499" s="73" t="n">
        <f aca="false">E507</f>
        <v>5000000</v>
      </c>
      <c r="G499" s="73" t="n">
        <f aca="false">F507</f>
        <v>12350098.6757422</v>
      </c>
      <c r="H499" s="73" t="n">
        <f aca="false">G507</f>
        <v>12350098.6757422</v>
      </c>
      <c r="I499" s="73" t="n">
        <f aca="false">H507</f>
        <v>9943366.93870857</v>
      </c>
      <c r="J499" s="73" t="n">
        <f aca="false">I507</f>
        <v>9943366.93870857</v>
      </c>
      <c r="K499" s="73" t="n">
        <f aca="false">J507</f>
        <v>7588999.24594302</v>
      </c>
      <c r="L499" s="73" t="n">
        <f aca="false">K507</f>
        <v>7588999.24594302</v>
      </c>
      <c r="M499" s="73" t="n">
        <f aca="false">L507</f>
        <v>7588999.24594302</v>
      </c>
      <c r="N499" s="73" t="n">
        <f aca="false">M507</f>
        <v>7588999.24594302</v>
      </c>
      <c r="O499" s="73" t="n">
        <f aca="false">N507</f>
        <v>7588999.24594302</v>
      </c>
    </row>
    <row r="500" customFormat="false" ht="15" hidden="false" customHeight="false" outlineLevel="0" collapsed="false">
      <c r="B500" s="65" t="s">
        <v>1026</v>
      </c>
      <c r="C500" s="25"/>
      <c r="D500" s="73" t="n">
        <f aca="false">D498+D499</f>
        <v>7500000</v>
      </c>
      <c r="E500" s="73" t="n">
        <f aca="false">E498+E499</f>
        <v>5000000</v>
      </c>
      <c r="F500" s="73" t="n">
        <f aca="false">F498+F499</f>
        <v>14800131.5676563</v>
      </c>
      <c r="G500" s="73" t="n">
        <f aca="false">G498+G499</f>
        <v>12350098.6757422</v>
      </c>
      <c r="H500" s="73" t="n">
        <f aca="false">H498+H499</f>
        <v>12350098.6757422</v>
      </c>
      <c r="I500" s="73" t="n">
        <f aca="false">I498+I499</f>
        <v>9943366.93870857</v>
      </c>
      <c r="J500" s="73" t="n">
        <f aca="false">J498+J499</f>
        <v>9943366.93870857</v>
      </c>
      <c r="K500" s="73" t="n">
        <f aca="false">K498+K499</f>
        <v>7588999.24594302</v>
      </c>
      <c r="L500" s="73" t="n">
        <f aca="false">L498+L499</f>
        <v>7588999.24594302</v>
      </c>
      <c r="M500" s="73" t="n">
        <f aca="false">M498+M499</f>
        <v>7588999.24594302</v>
      </c>
      <c r="N500" s="73" t="n">
        <f aca="false">N498+N499</f>
        <v>7588999.24594302</v>
      </c>
      <c r="O500" s="73" t="n">
        <f aca="false">O498+O499</f>
        <v>7588999.24594302</v>
      </c>
    </row>
    <row r="501" customFormat="false" ht="15" hidden="false" customHeight="false" outlineLevel="0" collapsed="false">
      <c r="B501" s="65" t="s">
        <v>1027</v>
      </c>
      <c r="C501" s="25"/>
      <c r="D501" s="73" t="n">
        <f aca="false">IF($J$21=1,Gate*D496+D497,D500)</f>
        <v>2500000</v>
      </c>
      <c r="E501" s="73" t="n">
        <f aca="false">IF($J$21=1,Gate*E496+E497,E500)</f>
        <v>2412047.8125</v>
      </c>
      <c r="F501" s="73" t="n">
        <f aca="false">IF($J$21=1,Gate*F496+F497,F500)</f>
        <v>2450032.89191406</v>
      </c>
      <c r="G501" s="73" t="n">
        <f aca="false">IF($J$21=1,Gate*G496+G497,G500)</f>
        <v>2366635.37871798</v>
      </c>
      <c r="H501" s="73" t="n">
        <f aca="false">IF($J$21=1,Gate*H496+H497,H500)</f>
        <v>2406731.73703362</v>
      </c>
      <c r="I501" s="73" t="n">
        <f aca="false">IF($J$21=1,Gate*I496+I497,I500)</f>
        <v>2315306.1601549</v>
      </c>
      <c r="J501" s="73" t="n">
        <f aca="false">IF($J$21=1,Gate*J496+J497,J500)</f>
        <v>2354367.69276555</v>
      </c>
      <c r="K501" s="73" t="n">
        <f aca="false">IF($J$21=1,Gate*K496+K497,K500)</f>
        <v>2263284.19573934</v>
      </c>
      <c r="L501" s="73" t="n">
        <f aca="false">IF($J$21=1,Gate*L496+L497,L500)</f>
        <v>2301264.72188999</v>
      </c>
      <c r="M501" s="73" t="n">
        <f aca="false">IF($J$21=1,Gate*M496+M497,M500)</f>
        <v>2339880.82786365</v>
      </c>
      <c r="N501" s="73" t="n">
        <f aca="false">IF($J$21=1,Gate*N496+N497,N500)</f>
        <v>2379144.14147809</v>
      </c>
      <c r="O501" s="73" t="n">
        <f aca="false">IF($J$21=1,Gate*O496+O497,O500)</f>
        <v>2420736.0187901</v>
      </c>
    </row>
    <row r="502" customFormat="false" ht="15" hidden="false" customHeight="false" outlineLevel="0" collapsed="false">
      <c r="B502" s="65" t="s">
        <v>1028</v>
      </c>
      <c r="C502" s="25"/>
      <c r="D502" s="73" t="n">
        <f aca="false">IF(D493=1,MIN(D500,D501),0)</f>
        <v>2500000</v>
      </c>
      <c r="E502" s="73" t="n">
        <f aca="false">IF(E493=1,MIN(E500,E501),0)</f>
        <v>0</v>
      </c>
      <c r="F502" s="73" t="n">
        <f aca="false">IF(F493=1,MIN(F500,F501),0)</f>
        <v>2450032.89191406</v>
      </c>
      <c r="G502" s="73" t="n">
        <f aca="false">IF(G493=1,MIN(G500,G501),0)</f>
        <v>0</v>
      </c>
      <c r="H502" s="73" t="n">
        <f aca="false">IF(H493=1,MIN(H500,H501),0)</f>
        <v>2406731.73703362</v>
      </c>
      <c r="I502" s="73" t="n">
        <f aca="false">IF(I493=1,MIN(I500,I501),0)</f>
        <v>0</v>
      </c>
      <c r="J502" s="73" t="n">
        <f aca="false">IF(J493=1,MIN(J500,J501),0)</f>
        <v>2354367.69276555</v>
      </c>
      <c r="K502" s="73" t="n">
        <f aca="false">IF(K493=1,MIN(K500,K501),0)</f>
        <v>0</v>
      </c>
      <c r="L502" s="73" t="n">
        <f aca="false">IF(L493=1,MIN(L500,L501),0)</f>
        <v>2301264.72188999</v>
      </c>
      <c r="M502" s="73" t="n">
        <f aca="false">IF(M493=1,MIN(M500,M501),0)</f>
        <v>0</v>
      </c>
      <c r="N502" s="73" t="n">
        <f aca="false">IF(N493=1,MIN(N500,N501),0)</f>
        <v>2379144.14147809</v>
      </c>
      <c r="O502" s="73" t="n">
        <f aca="false">IF(O493=1,MIN(O500,O501),0)</f>
        <v>0</v>
      </c>
    </row>
    <row r="503" customFormat="false" ht="15" hidden="false" customHeight="false" outlineLevel="0" collapsed="false">
      <c r="B503" s="65" t="s">
        <v>1029</v>
      </c>
      <c r="C503" s="25"/>
      <c r="D503" s="73" t="n">
        <f aca="false">MAX(0,D531+D522+D523-Poche_min_exec*D496-D502-SUM(E528:F528)+MAX(0,MIN($J$20*AN_cible,Emprunt_max*D496)-C539))</f>
        <v>0</v>
      </c>
      <c r="E503" s="73" t="n">
        <f aca="false">MAX(0,E531+E522+E523-Poche_min_exec*E496-E502-SUM(F528:G528)+MAX(0,MIN($J$20*AN_cible,Emprunt_max*E496)-D539))</f>
        <v>0</v>
      </c>
      <c r="F503" s="73" t="n">
        <f aca="false">MAX(0,F531+F522+F523-Poche_min_exec*F496-F502-SUM(G528:H528)+MAX(0,MIN($J$20*AN_cible,Emprunt_max*F496)-E539))</f>
        <v>0</v>
      </c>
      <c r="G503" s="73" t="n">
        <f aca="false">MAX(0,G531+G522+G523-Poche_min_exec*G496-G502-SUM(H528:I528)+MAX(0,MIN($J$20*AN_cible,Emprunt_max*G496)-F539))</f>
        <v>0</v>
      </c>
      <c r="H503" s="73" t="n">
        <f aca="false">MAX(0,H531+H522+H523-Poche_min_exec*H496-H502-SUM(I528:J528)+MAX(0,MIN($J$20*AN_cible,Emprunt_max*H496)-G539))</f>
        <v>0</v>
      </c>
      <c r="I503" s="73" t="n">
        <f aca="false">MAX(0,I531+I522+I523-Poche_min_exec*I496-I502-SUM(J528:K528)+MAX(0,MIN($J$20*AN_cible,Emprunt_max*I496)-H539))</f>
        <v>0</v>
      </c>
      <c r="J503" s="73" t="n">
        <f aca="false">MAX(0,J531+J522+J523-Poche_min_exec*J496-J502-SUM(K528:L528)+MAX(0,MIN($J$20*AN_cible,Emprunt_max*J496)-I539))</f>
        <v>0</v>
      </c>
      <c r="K503" s="73" t="n">
        <f aca="false">MAX(0,K531+K522+K523-Poche_min_exec*K496-K502-SUM(L528:M528)+MAX(0,MIN($J$20*AN_cible,Emprunt_max*K496)-J539))</f>
        <v>0</v>
      </c>
      <c r="L503" s="73" t="n">
        <f aca="false">MAX(0,L531+L522+L523-Poche_min_exec*L496-L502-SUM(M528:N528)+MAX(0,MIN($J$20*AN_cible,Emprunt_max*L496)-K539))</f>
        <v>0</v>
      </c>
      <c r="M503" s="73" t="n">
        <f aca="false">MAX(0,M531+M522+M523-Poche_min_exec*M496-M502-SUM(N528:O528)+MAX(0,MIN($J$20*AN_cible,Emprunt_max*M496)-L539))</f>
        <v>0</v>
      </c>
      <c r="N503" s="73" t="n">
        <f aca="false">MAX(0,N531+N522+N523-Poche_min_exec*N496-N502-SUM(O528:O528)+MAX(0,MIN($J$20*AN_cible,Emprunt_max*N496)-M539))</f>
        <v>0</v>
      </c>
      <c r="O503" s="73" t="n">
        <f aca="false">MAX(0,O531+O522+O523-Poche_min_exec*O496-O502-0+MAX(0,MIN($J$20*AN_cible,Emprunt_max*O496)-N539))</f>
        <v>0</v>
      </c>
    </row>
    <row r="504" customFormat="false" ht="15" hidden="false" customHeight="false" outlineLevel="0" collapsed="false">
      <c r="B504" s="65" t="s">
        <v>1030</v>
      </c>
      <c r="C504" s="25"/>
      <c r="D504" s="73" t="n">
        <f aca="false">IF(AND(D493=1,$J$21=1,$J$22=1),MIN(D500-D502,D503),0)</f>
        <v>0</v>
      </c>
      <c r="E504" s="73" t="n">
        <f aca="false">IF(AND(E493=1,$J$21=1,$J$22=1),MIN(E500-E502,E503),0)</f>
        <v>0</v>
      </c>
      <c r="F504" s="73" t="n">
        <f aca="false">IF(AND(F493=1,$J$21=1,$J$22=1),MIN(F500-F502,F503),0)</f>
        <v>0</v>
      </c>
      <c r="G504" s="73" t="n">
        <f aca="false">IF(AND(G493=1,$J$21=1,$J$22=1),MIN(G500-G502,G503),0)</f>
        <v>0</v>
      </c>
      <c r="H504" s="73" t="n">
        <f aca="false">IF(AND(H493=1,$J$21=1,$J$22=1),MIN(H500-H502,H503),0)</f>
        <v>0</v>
      </c>
      <c r="I504" s="73" t="n">
        <f aca="false">IF(AND(I493=1,$J$21=1,$J$22=1),MIN(I500-I502,I503),0)</f>
        <v>0</v>
      </c>
      <c r="J504" s="73" t="n">
        <f aca="false">IF(AND(J493=1,$J$21=1,$J$22=1),MIN(J500-J502,J503),0)</f>
        <v>0</v>
      </c>
      <c r="K504" s="73" t="n">
        <f aca="false">IF(AND(K493=1,$J$21=1,$J$22=1),MIN(K500-K502,K503),0)</f>
        <v>0</v>
      </c>
      <c r="L504" s="73" t="n">
        <f aca="false">IF(AND(L493=1,$J$21=1,$J$22=1),MIN(L500-L502,L503),0)</f>
        <v>0</v>
      </c>
      <c r="M504" s="73" t="n">
        <f aca="false">IF(AND(M493=1,$J$21=1,$J$22=1),MIN(M500-M502,M503),0)</f>
        <v>0</v>
      </c>
      <c r="N504" s="73" t="n">
        <f aca="false">IF(AND(N493=1,$J$21=1,$J$22=1),MIN(N500-N502,N503),0)</f>
        <v>0</v>
      </c>
      <c r="O504" s="73" t="n">
        <f aca="false">IF(AND(O493=1,$J$21=1,$J$22=1),MIN(O500-O502,O503),0)</f>
        <v>0</v>
      </c>
    </row>
    <row r="505" customFormat="false" ht="15" hidden="false" customHeight="false" outlineLevel="0" collapsed="false">
      <c r="B505" s="65" t="s">
        <v>1031</v>
      </c>
      <c r="C505" s="65" t="n">
        <v>0</v>
      </c>
      <c r="D505" s="65" t="n">
        <f aca="false">IF(C505=1,1,IF(AND(D493=1,$J$21=1,C509&gt;=Gate_dates,D500-D502-D504&gt;0.000001),1,0))</f>
        <v>0</v>
      </c>
      <c r="E505" s="65" t="n">
        <f aca="false">IF(D505=1,1,IF(AND(E493=1,$J$21=1,D509&gt;=Gate_dates,E500-E502-E504&gt;0.000001),1,0))</f>
        <v>0</v>
      </c>
      <c r="F505" s="65" t="n">
        <f aca="false">IF(E505=1,1,IF(AND(F493=1,$J$21=1,E509&gt;=Gate_dates,F500-F502-F504&gt;0.000001),1,0))</f>
        <v>0</v>
      </c>
      <c r="G505" s="65" t="n">
        <f aca="false">IF(F505=1,1,IF(AND(G493=1,$J$21=1,F509&gt;=Gate_dates,G500-G502-G504&gt;0.000001),1,0))</f>
        <v>0</v>
      </c>
      <c r="H505" s="65" t="n">
        <f aca="false">IF(G505=1,1,IF(AND(H493=1,$J$21=1,G509&gt;=Gate_dates,H500-H502-H504&gt;0.000001),1,0))</f>
        <v>0</v>
      </c>
      <c r="I505" s="65" t="n">
        <f aca="false">IF(H505=1,1,IF(AND(I493=1,$J$21=1,H509&gt;=Gate_dates,I500-I502-I504&gt;0.000001),1,0))</f>
        <v>0</v>
      </c>
      <c r="J505" s="65" t="n">
        <f aca="false">IF(I505=1,1,IF(AND(J493=1,$J$21=1,I509&gt;=Gate_dates,J500-J502-J504&gt;0.000001),1,0))</f>
        <v>0</v>
      </c>
      <c r="K505" s="65" t="n">
        <f aca="false">IF(J505=1,1,IF(AND(K493=1,$J$21=1,J509&gt;=Gate_dates,K500-K502-K504&gt;0.000001),1,0))</f>
        <v>0</v>
      </c>
      <c r="L505" s="65" t="n">
        <f aca="false">IF(K505=1,1,IF(AND(L493=1,$J$21=1,K509&gt;=Gate_dates,L500-L502-L504&gt;0.000001),1,0))</f>
        <v>1</v>
      </c>
      <c r="M505" s="65" t="n">
        <f aca="false">IF(L505=1,1,IF(AND(M493=1,$J$21=1,L509&gt;=Gate_dates,M500-M502-M504&gt;0.000001),1,0))</f>
        <v>1</v>
      </c>
      <c r="N505" s="65" t="n">
        <f aca="false">IF(M505=1,1,IF(AND(N493=1,$J$21=1,M509&gt;=Gate_dates,N500-N502-N504&gt;0.000001),1,0))</f>
        <v>1</v>
      </c>
      <c r="O505" s="65" t="n">
        <f aca="false">IF(N505=1,1,IF(AND(O493=1,$J$21=1,N509&gt;=Gate_dates,O500-O502-O504&gt;0.000001),1,0))</f>
        <v>1</v>
      </c>
    </row>
    <row r="506" customFormat="false" ht="15" hidden="false" customHeight="false" outlineLevel="0" collapsed="false">
      <c r="B506" s="65" t="s">
        <v>1032</v>
      </c>
      <c r="C506" s="25"/>
      <c r="D506" s="73" t="n">
        <f aca="false">IF(D505=1,0,D502+D504)</f>
        <v>2500000</v>
      </c>
      <c r="E506" s="73" t="n">
        <f aca="false">IF(E505=1,0,E502+E504)</f>
        <v>0</v>
      </c>
      <c r="F506" s="73" t="n">
        <f aca="false">IF(F505=1,0,F502+F504)</f>
        <v>2450032.89191406</v>
      </c>
      <c r="G506" s="73" t="n">
        <f aca="false">IF(G505=1,0,G502+G504)</f>
        <v>0</v>
      </c>
      <c r="H506" s="73" t="n">
        <f aca="false">IF(H505=1,0,H502+H504)</f>
        <v>2406731.73703362</v>
      </c>
      <c r="I506" s="73" t="n">
        <f aca="false">IF(I505=1,0,I502+I504)</f>
        <v>0</v>
      </c>
      <c r="J506" s="73" t="n">
        <f aca="false">IF(J505=1,0,J502+J504)</f>
        <v>2354367.69276555</v>
      </c>
      <c r="K506" s="73" t="n">
        <f aca="false">IF(K505=1,0,K502+K504)</f>
        <v>0</v>
      </c>
      <c r="L506" s="73" t="n">
        <f aca="false">IF(L505=1,0,L502+L504)</f>
        <v>0</v>
      </c>
      <c r="M506" s="73" t="n">
        <f aca="false">IF(M505=1,0,M502+M504)</f>
        <v>0</v>
      </c>
      <c r="N506" s="73" t="n">
        <f aca="false">IF(N505=1,0,N502+N504)</f>
        <v>0</v>
      </c>
      <c r="O506" s="73" t="n">
        <f aca="false">IF(O505=1,0,O502+O504)</f>
        <v>0</v>
      </c>
    </row>
    <row r="507" customFormat="false" ht="15" hidden="false" customHeight="false" outlineLevel="0" collapsed="false">
      <c r="B507" s="65" t="s">
        <v>1033</v>
      </c>
      <c r="C507" s="73" t="n">
        <v>0</v>
      </c>
      <c r="D507" s="73" t="n">
        <f aca="false">D500-D506</f>
        <v>5000000</v>
      </c>
      <c r="E507" s="73" t="n">
        <f aca="false">E500-E506</f>
        <v>5000000</v>
      </c>
      <c r="F507" s="73" t="n">
        <f aca="false">F500-F506</f>
        <v>12350098.6757422</v>
      </c>
      <c r="G507" s="73" t="n">
        <f aca="false">G500-G506</f>
        <v>12350098.6757422</v>
      </c>
      <c r="H507" s="73" t="n">
        <f aca="false">H500-H506</f>
        <v>9943366.93870857</v>
      </c>
      <c r="I507" s="73" t="n">
        <f aca="false">I500-I506</f>
        <v>9943366.93870857</v>
      </c>
      <c r="J507" s="73" t="n">
        <f aca="false">J500-J506</f>
        <v>7588999.24594302</v>
      </c>
      <c r="K507" s="73" t="n">
        <f aca="false">K500-K506</f>
        <v>7588999.24594302</v>
      </c>
      <c r="L507" s="73" t="n">
        <f aca="false">L500-L506</f>
        <v>7588999.24594302</v>
      </c>
      <c r="M507" s="73" t="n">
        <f aca="false">M500-M506</f>
        <v>7588999.24594302</v>
      </c>
      <c r="N507" s="73" t="n">
        <f aca="false">N500-N506</f>
        <v>7588999.24594302</v>
      </c>
      <c r="O507" s="73" t="n">
        <f aca="false">O500-O506</f>
        <v>7588999.24594302</v>
      </c>
    </row>
    <row r="508" customFormat="false" ht="15" hidden="false" customHeight="false" outlineLevel="0" collapsed="false">
      <c r="B508" s="65" t="s">
        <v>1034</v>
      </c>
      <c r="C508" s="25"/>
      <c r="D508" s="65" t="n">
        <f aca="false">IF(AND(D493=1,D505=0,D507&gt;0.000001),1,0)</f>
        <v>1</v>
      </c>
      <c r="E508" s="65" t="n">
        <f aca="false">IF(AND(E493=1,E505=0,E507&gt;0.000001),1,0)</f>
        <v>0</v>
      </c>
      <c r="F508" s="65" t="n">
        <f aca="false">IF(AND(F493=1,F505=0,F507&gt;0.000001),1,0)</f>
        <v>1</v>
      </c>
      <c r="G508" s="65" t="n">
        <f aca="false">IF(AND(G493=1,G505=0,G507&gt;0.000001),1,0)</f>
        <v>0</v>
      </c>
      <c r="H508" s="65" t="n">
        <f aca="false">IF(AND(H493=1,H505=0,H507&gt;0.000001),1,0)</f>
        <v>1</v>
      </c>
      <c r="I508" s="65" t="n">
        <f aca="false">IF(AND(I493=1,I505=0,I507&gt;0.000001),1,0)</f>
        <v>0</v>
      </c>
      <c r="J508" s="65" t="n">
        <f aca="false">IF(AND(J493=1,J505=0,J507&gt;0.000001),1,0)</f>
        <v>1</v>
      </c>
      <c r="K508" s="65" t="n">
        <f aca="false">IF(AND(K493=1,K505=0,K507&gt;0.000001),1,0)</f>
        <v>0</v>
      </c>
      <c r="L508" s="65" t="n">
        <f aca="false">IF(AND(L493=1,L505=0,L507&gt;0.000001),1,0)</f>
        <v>0</v>
      </c>
      <c r="M508" s="65" t="n">
        <f aca="false">IF(AND(M493=1,M505=0,M507&gt;0.000001),1,0)</f>
        <v>0</v>
      </c>
      <c r="N508" s="65" t="n">
        <f aca="false">IF(AND(N493=1,N505=0,N507&gt;0.000001),1,0)</f>
        <v>0</v>
      </c>
      <c r="O508" s="65" t="n">
        <f aca="false">IF(AND(O493=1,O505=0,O507&gt;0.000001),1,0)</f>
        <v>0</v>
      </c>
    </row>
    <row r="509" customFormat="false" ht="15" hidden="false" customHeight="false" outlineLevel="0" collapsed="false">
      <c r="B509" s="65" t="s">
        <v>843</v>
      </c>
      <c r="C509" s="65" t="n">
        <v>0</v>
      </c>
      <c r="D509" s="65" t="n">
        <f aca="false">IF(D493=1,IF(D508=1,C509+1,0),C509)</f>
        <v>1</v>
      </c>
      <c r="E509" s="65" t="n">
        <f aca="false">IF(E493=1,IF(E508=1,D509+1,0),D509)</f>
        <v>1</v>
      </c>
      <c r="F509" s="65" t="n">
        <f aca="false">IF(F493=1,IF(F508=1,E509+1,0),E509)</f>
        <v>2</v>
      </c>
      <c r="G509" s="65" t="n">
        <f aca="false">IF(G493=1,IF(G508=1,F509+1,0),F509)</f>
        <v>2</v>
      </c>
      <c r="H509" s="65" t="n">
        <f aca="false">IF(H493=1,IF(H508=1,G509+1,0),G509)</f>
        <v>3</v>
      </c>
      <c r="I509" s="65" t="n">
        <f aca="false">IF(I493=1,IF(I508=1,H509+1,0),H509)</f>
        <v>3</v>
      </c>
      <c r="J509" s="65" t="n">
        <f aca="false">IF(J493=1,IF(J508=1,I509+1,0),I509)</f>
        <v>4</v>
      </c>
      <c r="K509" s="65" t="n">
        <f aca="false">IF(K493=1,IF(K508=1,J509+1,0),J509)</f>
        <v>4</v>
      </c>
      <c r="L509" s="65" t="n">
        <f aca="false">IF(L493=1,IF(L508=1,K509+1,0),K509)</f>
        <v>0</v>
      </c>
      <c r="M509" s="65" t="n">
        <f aca="false">IF(M493=1,IF(M508=1,L509+1,0),L509)</f>
        <v>0</v>
      </c>
      <c r="N509" s="65" t="n">
        <f aca="false">IF(N493=1,IF(N508=1,M509+1,0),M509)</f>
        <v>0</v>
      </c>
      <c r="O509" s="65" t="n">
        <f aca="false">IF(O493=1,IF(O508=1,N509+1,0),N509)</f>
        <v>0</v>
      </c>
    </row>
    <row r="510" customFormat="false" ht="15" hidden="false" customHeight="false" outlineLevel="0" collapsed="false">
      <c r="B510" s="65" t="s">
        <v>1035</v>
      </c>
      <c r="C510" s="73" t="n">
        <f aca="false">AN_cible*Ws_MAPIF</f>
        <v>12500000</v>
      </c>
      <c r="D510" s="73" t="n">
        <f aca="false">C510*(1+Rend_MAPIF/4)*IF(D491=1,(1-(Cap_MAPIF*$J$15+(1-Cap_MAPIF)*$J$16))*(1+1*$J$14),1)+D520-D514-D535*IF((C510+C511+C512+C513)&gt;0,C510/(C510+C511+C512+C513),0)</f>
        <v>13346562.5</v>
      </c>
      <c r="E510" s="73" t="n">
        <f aca="false">D510*(1+Rend_MAPIF/4)*IF(E491=1,(1-(Cap_MAPIF*$J$15+(1-Cap_MAPIF)*$J$16))*(1+1*$J$14),1)+E520-E514-E535*IF((D510+D511+D512+D513)&gt;0,D510/(D510+D511+D512+D513),0)</f>
        <v>14212363.1328125</v>
      </c>
      <c r="F510" s="73" t="n">
        <f aca="false">E510*(1+Rend_MAPIF/4)*IF(F491=1,(1-(Cap_MAPIF*$J$15+(1-Cap_MAPIF)*$J$16))*(1+1*$J$14),1)+F520-F514-F535*IF((E510+E511+E512+E513)&gt;0,E510/(E510+E511+E512+E513),0)</f>
        <v>15097839.0850057</v>
      </c>
      <c r="G510" s="73" t="n">
        <f aca="false">F510*(1+Rend_MAPIF/4)*IF(G491=1,(1-(Cap_MAPIF*$J$15+(1-Cap_MAPIF)*$J$16))*(1+1*$J$14),1)+G520-G514-G535*IF((F510+F511+F512+F513)&gt;0,F510/(F510+F511+F512+F513),0)</f>
        <v>16003437.4782124</v>
      </c>
      <c r="H510" s="73" t="n">
        <f aca="false">G510*(1+Rend_MAPIF/4)*IF(H491=1,(1-(Cap_MAPIF*$J$15+(1-Cap_MAPIF)*$J$16))*(1+1*$J$14),1)+H520-H514-H535*IF((G510+G511+G512+G513)&gt;0,G510/(G510+G511+G512+G513),0)</f>
        <v>15744826.2890185</v>
      </c>
      <c r="I510" s="73" t="n">
        <f aca="false">H510*(1+Rend_MAPIF/4)*IF(I491=1,(1-(Cap_MAPIF*$J$15+(1-Cap_MAPIF)*$J$16))*(1+1*$J$14),1)+I520-I514-I535*IF((H510+H511+H512+H513)&gt;0,H510/(H510+H511+H512+H513),0)</f>
        <v>16252739.4896176</v>
      </c>
      <c r="J510" s="73" t="n">
        <f aca="false">I510*(1+Rend_MAPIF/4)*IF(J491=1,(1-(Cap_MAPIF*$J$15+(1-Cap_MAPIF)*$J$16))*(1+1*$J$14),1)+J520-J514-J535*IF((I510+I511+I512+I513)&gt;0,I510/(I510+I511+I512+I513),0)</f>
        <v>15863915.1392447</v>
      </c>
      <c r="K510" s="73" t="n">
        <f aca="false">J510*(1+Rend_MAPIF/4)*IF(K491=1,(1-(Cap_MAPIF*$J$15+(1-Cap_MAPIF)*$J$16))*(1+1*$J$14),1)+K520-K514-K535*IF((J510+J511+J512+J513)&gt;0,J510/(J510+J511+J512+J513),0)</f>
        <v>16363134.9053684</v>
      </c>
      <c r="L510" s="73" t="n">
        <f aca="false">K510*(1+Rend_MAPIF/4)*IF(L491=1,(1-(Cap_MAPIF*$J$15+(1-Cap_MAPIF)*$J$16))*(1+1*$J$14),1)+L520-L514-L535*IF((K510+K511+K512+K513)&gt;0,K510/(K510+K511+K512+K513),0)</f>
        <v>16868326.5757616</v>
      </c>
      <c r="M510" s="73" t="n">
        <f aca="false">L510*(1+Rend_MAPIF/4)*IF(M491=1,(1-(Cap_MAPIF*$J$15+(1-Cap_MAPIF)*$J$16))*(1+1*$J$14),1)+M520-M514-M535*IF((L510+L511+L512+L513)&gt;0,L510/(L510+L511+L512+L513),0)</f>
        <v>17379659.4099779</v>
      </c>
      <c r="N510" s="73" t="n">
        <f aca="false">M510*(1+Rend_MAPIF/4)*IF(N491=1,(1-(Cap_MAPIF*$J$15+(1-Cap_MAPIF)*$J$16))*(1+1*$J$14),1)+N520-N514-N535*IF((M510+M511+M512+M513)&gt;0,M510/(M510+M511+M512+M513),0)</f>
        <v>17644264.7244948</v>
      </c>
      <c r="O510" s="73" t="n">
        <f aca="false">N510*(1+Rend_MAPIF/4)*IF(O491=1,(1-(Cap_MAPIF*$J$15+(1-Cap_MAPIF)*$J$16))*(1+1*$J$14),1)+O520-O514-O535*IF((N510+N511+N512+N513)&gt;0,N510/(N510+N511+N512+N513),0)</f>
        <v>17912898.6549252</v>
      </c>
    </row>
    <row r="511" customFormat="false" ht="15" hidden="false" customHeight="false" outlineLevel="0" collapsed="false">
      <c r="B511" s="65" t="s">
        <v>1036</v>
      </c>
      <c r="C511" s="73" t="n">
        <f aca="false">AN_cible*Ws_MSIG</f>
        <v>5500000</v>
      </c>
      <c r="D511" s="73" t="n">
        <f aca="false">C511*(1+Rend_MSIG/4)*IF(D491=1,(1-(Cap_MSIG*$J$15+(1-Cap_MSIG)*$J$16))*(1+MSIG_USD*$J$14),1)+D521-D515-D535*IF((C510+C511+C512+C513)&gt;0,C511/(C510+C511+C512+C513),0)</f>
        <v>5994487.5</v>
      </c>
      <c r="E511" s="73" t="n">
        <f aca="false">D511*(1+Rend_MSIG/4)*IF(E491=1,(1-(Cap_MSIG*$J$15+(1-Cap_MSIG)*$J$16))*(1+MSIG_USD*$J$14),1)+E521-E515-E535*IF((D510+D511+D512+D513)&gt;0,D511/(D510+D511+D512+D513),0)</f>
        <v>6499717.7409375</v>
      </c>
      <c r="F511" s="73" t="n">
        <f aca="false">E511*(1+Rend_MSIG/4)*IF(F491=1,(1-(Cap_MSIG*$J$15+(1-Cap_MSIG)*$J$16))*(1+MSIG_USD*$J$14),1)+F521-F515-F535*IF((E510+E511+E512+E513)&gt;0,E511/(E510+E511+E512+E513),0)</f>
        <v>7015924.10885937</v>
      </c>
      <c r="G511" s="73" t="n">
        <f aca="false">F511*(1+Rend_MSIG/4)*IF(G491=1,(1-(Cap_MSIG*$J$15+(1-Cap_MSIG)*$J$16))*(1+MSIG_USD*$J$14),1)+G521-G515-G535*IF((F510+F511+F512+F513)&gt;0,F511/(F510+F511+F512+F513),0)</f>
        <v>7543345.06012434</v>
      </c>
      <c r="H511" s="73" t="n">
        <f aca="false">G511*(1+Rend_MSIG/4)*IF(H491=1,(1-(Cap_MSIG*$J$15+(1-Cap_MSIG)*$J$16))*(1+MSIG_USD*$J$14),1)+H521-H515-H535*IF((G510+G511+G512+G513)&gt;0,G511/(G510+G511+G512+G513),0)</f>
        <v>7477714.95841796</v>
      </c>
      <c r="I511" s="73" t="n">
        <f aca="false">H511*(1+Rend_MSIG/4)*IF(I491=1,(1-(Cap_MSIG*$J$15+(1-Cap_MSIG)*$J$16))*(1+MSIG_USD*$J$14),1)+I521-I515-I535*IF((H510+H511+H512+H513)&gt;0,H511/(H510+H511+H512+H513),0)</f>
        <v>7774014.77386378</v>
      </c>
      <c r="J511" s="73" t="n">
        <f aca="false">I511*(1+Rend_MSIG/4)*IF(J491=1,(1-(Cap_MSIG*$J$15+(1-Cap_MSIG)*$J$16))*(1+MSIG_USD*$J$14),1)+J521-J515-J535*IF((I510+I511+I512+I513)&gt;0,I511/(I510+I511+I512+I513),0)</f>
        <v>7641170.56957109</v>
      </c>
      <c r="K511" s="73" t="n">
        <f aca="false">J511*(1+Rend_MSIG/4)*IF(K491=1,(1-(Cap_MSIG*$J$15+(1-Cap_MSIG)*$J$16))*(1+MSIG_USD*$J$14),1)+K521-K515-K535*IF((J510+J511+J512+J513)&gt;0,J511/(J510+J511+J512+J513),0)</f>
        <v>7933810.85929754</v>
      </c>
      <c r="L511" s="73" t="n">
        <f aca="false">K511*(1+Rend_MSIG/4)*IF(L491=1,(1-(Cap_MSIG*$J$15+(1-Cap_MSIG)*$J$16))*(1+MSIG_USD*$J$14),1)+L521-L515-L535*IF((K510+K511+K512+K513)&gt;0,K511/(K510+K511+K512+K513),0)</f>
        <v>8229084.36914028</v>
      </c>
      <c r="M511" s="73" t="n">
        <f aca="false">L511*(1+Rend_MSIG/4)*IF(M491=1,(1-(Cap_MSIG*$J$15+(1-Cap_MSIG)*$J$16))*(1+MSIG_USD*$J$14),1)+M521-M515-M535*IF((L510+L511+L512+L513)&gt;0,L511/(L510+L511+L512+L513),0)</f>
        <v>8527077.86189474</v>
      </c>
      <c r="N511" s="73" t="n">
        <f aca="false">M511*(1+Rend_MSIG/4)*IF(N491=1,(1-(Cap_MSIG*$J$15+(1-Cap_MSIG)*$J$16))*(1+MSIG_USD*$J$14),1)+N521-N515-N535*IF((M510+M511+M512+M513)&gt;0,M511/(M510+M511+M512+M513),0)</f>
        <v>8637716.69715282</v>
      </c>
      <c r="O511" s="73" t="n">
        <f aca="false">N511*(1+Rend_MSIG/4)*IF(O491=1,(1-(Cap_MSIG*$J$15+(1-Cap_MSIG)*$J$16))*(1+MSIG_USD*$J$14),1)+O521-O515-O535*IF((N510+N511+N512+N513)&gt;0,N511/(N510+N511+N512+N513),0)</f>
        <v>8749791.07129838</v>
      </c>
    </row>
    <row r="512" customFormat="false" ht="15" hidden="false" customHeight="false" outlineLevel="0" collapsed="false">
      <c r="B512" s="65" t="s">
        <v>1037</v>
      </c>
      <c r="C512" s="73" t="n">
        <f aca="false">AN_cible*Ws_PG</f>
        <v>12250000</v>
      </c>
      <c r="D512" s="73" t="n">
        <f aca="false">C512*(1+Rend_PG/4)*IF(D491=1,(1-(Cap_PG*$J$15+(1-Cap_PG)*$J$16))*(1+0*$J$14),1)-D516-D532*IF((D522+D523)&gt;0,D522/(D522+D523),0)+D537/2-D535*IF((C510+C511+C512+C513)&gt;0,C512/(C510+C511+C512+C513),0)</f>
        <v>12256431.25</v>
      </c>
      <c r="E512" s="73" t="n">
        <f aca="false">D512*(1+Rend_PG/4)*IF(E491=1,(1-(Cap_PG*$J$15+(1-Cap_PG)*$J$16))*(1+0*$J$14),1)-E516-E532*IF((E522+E523)&gt;0,E522/(E522+E523),0)+E537/2-E535*IF((D510+D511+D512+D513)&gt;0,D512/(D510+D511+D512+D513),0)</f>
        <v>12262865.8764063</v>
      </c>
      <c r="F512" s="73" t="n">
        <f aca="false">E512*(1+Rend_PG/4)*IF(F491=1,(1-(Cap_PG*$J$15+(1-Cap_PG)*$J$16))*(1+0*$J$14),1)-F516-F532*IF((F522+F523)&gt;0,F522/(F522+F523),0)+F537/2-F535*IF((E510+E511+E512+E513)&gt;0,E512/(E510+E511+E512+E513),0)</f>
        <v>12269303.8809914</v>
      </c>
      <c r="G512" s="73" t="n">
        <f aca="false">F512*(1+Rend_PG/4)*IF(G491=1,(1-(Cap_PG*$J$15+(1-Cap_PG)*$J$16))*(1+0*$J$14),1)-G516-G532*IF((G522+G523)&gt;0,G522/(G522+G523),0)+G537/2-G535*IF((F510+F511+F512+F513)&gt;0,F512/(F510+F511+F512+F513),0)</f>
        <v>12275745.2655289</v>
      </c>
      <c r="H512" s="73" t="n">
        <f aca="false">G512*(1+Rend_PG/4)*IF(H491=1,(1-(Cap_PG*$J$15+(1-Cap_PG)*$J$16))*(1+0*$J$14),1)-H516-H532*IF((H522+H523)&gt;0,H522/(H522+H523),0)+H537/2-H535*IF((G510+G511+G512+G513)&gt;0,G512/(G510+G511+G512+G513),0)</f>
        <v>11578578.7682038</v>
      </c>
      <c r="I512" s="73" t="n">
        <f aca="false">H512*(1+Rend_PG/4)*IF(I491=1,(1-(Cap_PG*$J$15+(1-Cap_PG)*$J$16))*(1+0*$J$14),1)-I516-I532*IF((I522+I523)&gt;0,I522/(I522+I523),0)+I537/2-I535*IF((H510+H511+H512+H513)&gt;0,H512/(H510+H511+H512+H513),0)</f>
        <v>11477170.175696</v>
      </c>
      <c r="J512" s="73" t="n">
        <f aca="false">I512*(1+Rend_PG/4)*IF(J491=1,(1-(Cap_PG*$J$15+(1-Cap_PG)*$J$16))*(1+0*$J$14),1)-J516-J532*IF((J522+J523)&gt;0,J522/(J522+J523),0)+J537/2-J535*IF((I510+I511+I512+I513)&gt;0,I512/(I510+I511+I512+I513),0)</f>
        <v>10740374.2699565</v>
      </c>
      <c r="K512" s="73" t="n">
        <f aca="false">J512*(1+Rend_PG/4)*IF(K491=1,(1-(Cap_PG*$J$15+(1-Cap_PG)*$J$16))*(1+0*$J$14),1)-K516-K532*IF((K522+K523)&gt;0,K522/(K522+K523),0)+K537/2-K535*IF((J510+J511+J512+J513)&gt;0,J512/(J510+J511+J512+J513),0)</f>
        <v>10639740.5584807</v>
      </c>
      <c r="L512" s="73" t="n">
        <f aca="false">K512*(1+Rend_PG/4)*IF(L491=1,(1-(Cap_PG*$J$15+(1-Cap_PG)*$J$16))*(1+0*$J$14),1)-L516-L532*IF((L522+L523)&gt;0,L522/(L522+L523),0)+L537/2-L535*IF((K510+K511+K512+K513)&gt;0,K512/(K510+K511+K512+K513),0)</f>
        <v>10541391.0681506</v>
      </c>
      <c r="M512" s="73" t="n">
        <f aca="false">L512*(1+Rend_PG/4)*IF(M491=1,(1-(Cap_PG*$J$15+(1-Cap_PG)*$J$16))*(1+0*$J$14),1)-M516-M532*IF((M522+M523)&gt;0,M522/(M522+M523),0)+M537/2-M535*IF((L510+L511+L512+L513)&gt;0,L512/(L510+L511+L512+L513),0)</f>
        <v>10445276.5509256</v>
      </c>
      <c r="N512" s="73" t="n">
        <f aca="false">M512*(1+Rend_PG/4)*IF(N491=1,(1-(Cap_PG*$J$15+(1-Cap_PG)*$J$16))*(1+0*$J$14),1)-N516-N532*IF((N522+N523)&gt;0,N522/(N522+N523),0)+N537/2-N535*IF((M510+M511+M512+M513)&gt;0,M512/(M510+M511+M512+M513),0)</f>
        <v>10424647.1297375</v>
      </c>
      <c r="O512" s="73" t="n">
        <f aca="false">N512*(1+Rend_PG/4)*IF(O491=1,(1-(Cap_PG*$J$15+(1-Cap_PG)*$J$16))*(1+0*$J$14),1)-O516-O532*IF((O522+O523)&gt;0,O522/(O522+O523),0)+O537/2-O535*IF((N510+N511+N512+N513)&gt;0,N512/(N510+N511+N512+N513),0)</f>
        <v>10404058.4516562</v>
      </c>
    </row>
    <row r="513" customFormat="false" ht="15" hidden="false" customHeight="false" outlineLevel="0" collapsed="false">
      <c r="B513" s="65" t="s">
        <v>1038</v>
      </c>
      <c r="C513" s="73" t="n">
        <f aca="false">AN_cible*Ws_ARES</f>
        <v>12250000</v>
      </c>
      <c r="D513" s="73" t="n">
        <f aca="false">C513*(1+Rend_ARES/4)*IF(D491=1,(1-(Cap_ARES*$J$15+(1-Cap_ARES)*$J$16))*(1+0*$J$14),1)-D517-D532*IF((D522+D523)&gt;0,D523/(D522+D523),0)/(1-IF(D491&lt;=Deduc_trim,Deduc_ares,0))+D537/2-D535*IF((C510+C511+C512+C513)&gt;0,C513/(C510+C511+C512+C513),0)</f>
        <v>12186912.5</v>
      </c>
      <c r="E513" s="73" t="n">
        <f aca="false">D513*(1+Rend_ARES/4)*IF(E491=1,(1-(Cap_ARES*$J$15+(1-Cap_ARES)*$J$16))*(1+0*$J$14),1)-E517-E532*IF((E522+E523)&gt;0,E523/(E522+E523),0)/(1-IF(E491&lt;=Deduc_trim,Deduc_ares,0))+E537/2-E535*IF((D510+D511+D512+D513)&gt;0,D513/(D510+D511+D512+D513),0)</f>
        <v>12124149.900625</v>
      </c>
      <c r="F513" s="73" t="n">
        <f aca="false">E513*(1+Rend_ARES/4)*IF(F491=1,(1-(Cap_ARES*$J$15+(1-Cap_ARES)*$J$16))*(1+0*$J$14),1)-F517-F532*IF((F522+F523)&gt;0,F523/(F522+F523),0)/(1-IF(F491&lt;=Deduc_trim,Deduc_ares,0))+F537/2-F535*IF((E510+E511+E512+E513)&gt;0,E513/(E510+E511+E512+E513),0)</f>
        <v>12061710.5286368</v>
      </c>
      <c r="G513" s="73" t="n">
        <f aca="false">F513*(1+Rend_ARES/4)*IF(G491=1,(1-(Cap_ARES*$J$15+(1-Cap_ARES)*$J$16))*(1+0*$J$14),1)-G517-G532*IF((G522+G523)&gt;0,G523/(G522+G523),0)/(1-IF(G491&lt;=Deduc_trim,Deduc_ares,0))+G537/2-G535*IF((F510+F511+F512+F513)&gt;0,F513/(F510+F511+F512+F513),0)</f>
        <v>11999592.7194143</v>
      </c>
      <c r="H513" s="73" t="n">
        <f aca="false">G513*(1+Rend_ARES/4)*IF(H491=1,(1-(Cap_ARES*$J$15+(1-Cap_ARES)*$J$16))*(1+0*$J$14),1)-H517-H532*IF((H522+H523)&gt;0,H523/(H522+H523),0)/(1-IF(H491&lt;=Deduc_trim,Deduc_ares,0))+H537/2-H535*IF((G510+G511+G512+G513)&gt;0,G513/(G510+G511+G512+G513),0)</f>
        <v>11505003.1874577</v>
      </c>
      <c r="I513" s="73" t="n">
        <f aca="false">H513*(1+Rend_ARES/4)*IF(I491=1,(1-(Cap_ARES*$J$15+(1-Cap_ARES)*$J$16))*(1+0*$J$14),1)-I517-I532*IF((I522+I523)&gt;0,I523/(I522+I523),0)/(1-IF(I491&lt;=Deduc_trim,Deduc_ares,0))+I537/2-I535*IF((H510+H511+H512+H513)&gt;0,H513/(H510+H511+H512+H513),0)</f>
        <v>11583429.4161336</v>
      </c>
      <c r="J513" s="73" t="n">
        <f aca="false">I513*(1+Rend_ARES/4)*IF(J491=1,(1-(Cap_ARES*$J$15+(1-Cap_ARES)*$J$16))*(1+0*$J$14),1)-J517-J532*IF((J522+J523)&gt;0,J523/(J522+J523),0)/(1-IF(J491&lt;=Deduc_trim,Deduc_ares,0))+J537/2-J535*IF((I510+I511+I512+I513)&gt;0,I513/(I510+I511+I512+I513),0)</f>
        <v>11020223.9360145</v>
      </c>
      <c r="K513" s="73" t="n">
        <f aca="false">J513*(1+Rend_ARES/4)*IF(K491=1,(1-(Cap_ARES*$J$15+(1-Cap_ARES)*$J$16))*(1+0*$J$14),1)-K517-K532*IF((K522+K523)&gt;0,K523/(K522+K523),0)/(1-IF(K491&lt;=Deduc_trim,Deduc_ares,0))+K537/2-K535*IF((J510+J511+J512+J513)&gt;0,J513/(J510+J511+J512+J513),0)</f>
        <v>11088608.1146532</v>
      </c>
      <c r="L513" s="73" t="n">
        <f aca="false">K513*(1+Rend_ARES/4)*IF(L491=1,(1-(Cap_ARES*$J$15+(1-Cap_ARES)*$J$16))*(1+0*$J$14),1)-L517-L532*IF((L522+L523)&gt;0,L523/(L522+L523),0)/(1-IF(L491&lt;=Deduc_trim,Deduc_ares,0))+L537/2-L535*IF((K510+K511+K512+K513)&gt;0,K513/(K510+K511+K512+K513),0)</f>
        <v>11158814.5442204</v>
      </c>
      <c r="M513" s="73" t="n">
        <f aca="false">L513*(1+Rend_ARES/4)*IF(M491=1,(1-(Cap_ARES*$J$15+(1-Cap_ARES)*$J$16))*(1+0*$J$14),1)-M517-M532*IF((M522+M523)&gt;0,M523/(M522+M523),0)/(1-IF(M491&lt;=Deduc_trim,Deduc_ares,0))+M537/2-M535*IF((L510+L511+L512+L513)&gt;0,L513/(L510+L511+L512+L513),0)</f>
        <v>11230869.0067636</v>
      </c>
      <c r="N513" s="73" t="n">
        <f aca="false">M513*(1+Rend_ARES/4)*IF(N491=1,(1-(Cap_ARES*$J$15+(1-Cap_ARES)*$J$16))*(1+0*$J$14),1)-N517-N532*IF((N522+N523)&gt;0,N523/(N522+N523),0)/(1-IF(N491&lt;=Deduc_trim,Deduc_ares,0))+N537/2-N535*IF((M510+M511+M512+M513)&gt;0,M513/(M510+M511+M512+M513),0)</f>
        <v>11383608.8252556</v>
      </c>
      <c r="O513" s="73" t="n">
        <f aca="false">N513*(1+Rend_ARES/4)*IF(O491=1,(1-(Cap_ARES*$J$15+(1-Cap_ARES)*$J$16))*(1+0*$J$14),1)-O517-O532*IF((O522+O523)&gt;0,O523/(O522+O523),0)/(1-IF(O491&lt;=Deduc_trim,Deduc_ares,0))+O537/2-O535*IF((N510+N511+N512+N513)&gt;0,N513/(N510+N511+N512+N513),0)</f>
        <v>11538425.9052791</v>
      </c>
    </row>
    <row r="514" customFormat="false" ht="15" hidden="false" customHeight="false" outlineLevel="0" collapsed="false">
      <c r="B514" s="65" t="s">
        <v>1039</v>
      </c>
      <c r="C514" s="25"/>
      <c r="D514" s="73" t="n">
        <f aca="false">C510*Dist_MAPIF/4*IF(D491&lt;=$J$11,0,$J$10)</f>
        <v>0</v>
      </c>
      <c r="E514" s="73" t="n">
        <f aca="false">D510*Dist_MAPIF/4*IF(E491&lt;=$J$11,0,$J$10)</f>
        <v>0</v>
      </c>
      <c r="F514" s="73" t="n">
        <f aca="false">E510*Dist_MAPIF/4*IF(F491&lt;=$J$11,0,$J$10)</f>
        <v>0</v>
      </c>
      <c r="G514" s="73" t="n">
        <f aca="false">F510*Dist_MAPIF/4*IF(G491&lt;=$J$11,0,$J$10)</f>
        <v>0</v>
      </c>
      <c r="H514" s="73" t="n">
        <f aca="false">G510*Dist_MAPIF/4*IF(H491&lt;=$J$11,0,$J$10)</f>
        <v>120025.781086593</v>
      </c>
      <c r="I514" s="73" t="n">
        <f aca="false">H510*Dist_MAPIF/4*IF(I491&lt;=$J$11,0,$J$10)</f>
        <v>118086.197167638</v>
      </c>
      <c r="J514" s="73" t="n">
        <f aca="false">I510*Dist_MAPIF/4*IF(J491&lt;=$J$11,0,$J$10)</f>
        <v>121895.546172132</v>
      </c>
      <c r="K514" s="73" t="n">
        <f aca="false">J510*Dist_MAPIF/4*IF(K491&lt;=$J$11,0,$J$10)</f>
        <v>118979.363544335</v>
      </c>
      <c r="L514" s="73" t="n">
        <f aca="false">K510*Dist_MAPIF/4*IF(L491&lt;=$J$11,0,$J$10)</f>
        <v>122723.511790263</v>
      </c>
      <c r="M514" s="73" t="n">
        <f aca="false">L510*Dist_MAPIF/4*IF(M491&lt;=$J$11,0,$J$10)</f>
        <v>126512.449318212</v>
      </c>
      <c r="N514" s="73" t="n">
        <f aca="false">M510*Dist_MAPIF/4*IF(N491&lt;=$J$11,0,$J$10)</f>
        <v>130347.445574834</v>
      </c>
      <c r="O514" s="73" t="n">
        <f aca="false">N510*Dist_MAPIF/4*IF(O491&lt;=$J$11,0,$J$10)</f>
        <v>132331.985433711</v>
      </c>
    </row>
    <row r="515" customFormat="false" ht="15" hidden="false" customHeight="false" outlineLevel="0" collapsed="false">
      <c r="B515" s="65" t="s">
        <v>1040</v>
      </c>
      <c r="C515" s="25"/>
      <c r="D515" s="73" t="n">
        <f aca="false">C511*Dist_MSIG/4*IF(D491&lt;=$J$11,0,$J$10)</f>
        <v>0</v>
      </c>
      <c r="E515" s="73" t="n">
        <f aca="false">D511*Dist_MSIG/4*IF(E491&lt;=$J$11,0,$J$10)</f>
        <v>0</v>
      </c>
      <c r="F515" s="73" t="n">
        <f aca="false">E511*Dist_MSIG/4*IF(F491&lt;=$J$11,0,$J$10)</f>
        <v>0</v>
      </c>
      <c r="G515" s="73" t="n">
        <f aca="false">F511*Dist_MSIG/4*IF(G491&lt;=$J$11,0,$J$10)</f>
        <v>0</v>
      </c>
      <c r="H515" s="73" t="n">
        <f aca="false">G511*Dist_MSIG/4*IF(H491&lt;=$J$11,0,$J$10)</f>
        <v>66004.269276088</v>
      </c>
      <c r="I515" s="73" t="n">
        <f aca="false">H511*Dist_MSIG/4*IF(I491&lt;=$J$11,0,$J$10)</f>
        <v>65430.0058861571</v>
      </c>
      <c r="J515" s="73" t="n">
        <f aca="false">I511*Dist_MSIG/4*IF(J491&lt;=$J$11,0,$J$10)</f>
        <v>68022.6292713081</v>
      </c>
      <c r="K515" s="73" t="n">
        <f aca="false">J511*Dist_MSIG/4*IF(K491&lt;=$J$11,0,$J$10)</f>
        <v>66860.2424837471</v>
      </c>
      <c r="L515" s="73" t="n">
        <f aca="false">K511*Dist_MSIG/4*IF(L491&lt;=$J$11,0,$J$10)</f>
        <v>69420.8450188535</v>
      </c>
      <c r="M515" s="73" t="n">
        <f aca="false">L511*Dist_MSIG/4*IF(M491&lt;=$J$11,0,$J$10)</f>
        <v>72004.4882299775</v>
      </c>
      <c r="N515" s="73" t="n">
        <f aca="false">M511*Dist_MSIG/4*IF(N491&lt;=$J$11,0,$J$10)</f>
        <v>74611.931291579</v>
      </c>
      <c r="O515" s="73" t="n">
        <f aca="false">N511*Dist_MSIG/4*IF(O491&lt;=$J$11,0,$J$10)</f>
        <v>75580.0211000872</v>
      </c>
    </row>
    <row r="516" customFormat="false" ht="15" hidden="false" customHeight="false" outlineLevel="0" collapsed="false">
      <c r="B516" s="65" t="s">
        <v>1041</v>
      </c>
      <c r="C516" s="25"/>
      <c r="D516" s="73" t="n">
        <f aca="false">C512*Dist_PG/4*IF(D491&lt;=$J$11,0,$J$10)</f>
        <v>0</v>
      </c>
      <c r="E516" s="73" t="n">
        <f aca="false">D512*Dist_PG/4*IF(E491&lt;=$J$11,0,$J$10)</f>
        <v>0</v>
      </c>
      <c r="F516" s="73" t="n">
        <f aca="false">E512*Dist_PG/4*IF(F491&lt;=$J$11,0,$J$10)</f>
        <v>0</v>
      </c>
      <c r="G516" s="73" t="n">
        <f aca="false">F512*Dist_PG/4*IF(G491&lt;=$J$11,0,$J$10)</f>
        <v>0</v>
      </c>
      <c r="H516" s="73" t="n">
        <f aca="false">G512*Dist_PG/4*IF(H491&lt;=$J$11,0,$J$10)</f>
        <v>30689.3631638222</v>
      </c>
      <c r="I516" s="73" t="n">
        <f aca="false">H512*Dist_PG/4*IF(I491&lt;=$J$11,0,$J$10)</f>
        <v>28946.4469205096</v>
      </c>
      <c r="J516" s="73" t="n">
        <f aca="false">I512*Dist_PG/4*IF(J491&lt;=$J$11,0,$J$10)</f>
        <v>28692.92543924</v>
      </c>
      <c r="K516" s="73" t="n">
        <f aca="false">J512*Dist_PG/4*IF(K491&lt;=$J$11,0,$J$10)</f>
        <v>26850.9356748914</v>
      </c>
      <c r="L516" s="73" t="n">
        <f aca="false">K512*Dist_PG/4*IF(L491&lt;=$J$11,0,$J$10)</f>
        <v>26599.3513962016</v>
      </c>
      <c r="M516" s="73" t="n">
        <f aca="false">L512*Dist_PG/4*IF(M491&lt;=$J$11,0,$J$10)</f>
        <v>26353.4776703765</v>
      </c>
      <c r="N516" s="73" t="n">
        <f aca="false">M512*Dist_PG/4*IF(N491&lt;=$J$11,0,$J$10)</f>
        <v>26113.1913773139</v>
      </c>
      <c r="O516" s="73" t="n">
        <f aca="false">N512*Dist_PG/4*IF(O491&lt;=$J$11,0,$J$10)</f>
        <v>26061.6178243437</v>
      </c>
    </row>
    <row r="517" customFormat="false" ht="15" hidden="false" customHeight="false" outlineLevel="0" collapsed="false">
      <c r="B517" s="65" t="s">
        <v>1042</v>
      </c>
      <c r="C517" s="25"/>
      <c r="D517" s="73" t="n">
        <f aca="false">C513*Dist_ARES/4*IF(D491&lt;=$J$11,0,$J$10)</f>
        <v>0</v>
      </c>
      <c r="E517" s="73" t="n">
        <f aca="false">D513*Dist_ARES/4*IF(E491&lt;=$J$11,0,$J$10)</f>
        <v>0</v>
      </c>
      <c r="F517" s="73" t="n">
        <f aca="false">E513*Dist_ARES/4*IF(F491&lt;=$J$11,0,$J$10)</f>
        <v>0</v>
      </c>
      <c r="G517" s="73" t="n">
        <f aca="false">F513*Dist_ARES/4*IF(G491&lt;=$J$11,0,$J$10)</f>
        <v>0</v>
      </c>
      <c r="H517" s="73" t="n">
        <f aca="false">G513*Dist_ARES/4*IF(H491&lt;=$J$11,0,$J$10)</f>
        <v>74997.4544963394</v>
      </c>
      <c r="I517" s="73" t="n">
        <f aca="false">H513*Dist_ARES/4*IF(I491&lt;=$J$11,0,$J$10)</f>
        <v>71906.2699216105</v>
      </c>
      <c r="J517" s="73" t="n">
        <f aca="false">I513*Dist_ARES/4*IF(J491&lt;=$J$11,0,$J$10)</f>
        <v>72396.4338508352</v>
      </c>
      <c r="K517" s="73" t="n">
        <f aca="false">J513*Dist_ARES/4*IF(K491&lt;=$J$11,0,$J$10)</f>
        <v>68876.3996000908</v>
      </c>
      <c r="L517" s="73" t="n">
        <f aca="false">K513*Dist_ARES/4*IF(L491&lt;=$J$11,0,$J$10)</f>
        <v>69303.8007165826</v>
      </c>
      <c r="M517" s="73" t="n">
        <f aca="false">L513*Dist_ARES/4*IF(M491&lt;=$J$11,0,$J$10)</f>
        <v>69742.5909013775</v>
      </c>
      <c r="N517" s="73" t="n">
        <f aca="false">M513*Dist_ARES/4*IF(N491&lt;=$J$11,0,$J$10)</f>
        <v>70192.9312922727</v>
      </c>
      <c r="O517" s="73" t="n">
        <f aca="false">N513*Dist_ARES/4*IF(O491&lt;=$J$11,0,$J$10)</f>
        <v>71147.5551578476</v>
      </c>
    </row>
    <row r="518" customFormat="false" ht="15" hidden="false" customHeight="false" outlineLevel="0" collapsed="false">
      <c r="B518" s="65" t="s">
        <v>1043</v>
      </c>
      <c r="C518" s="73" t="n">
        <f aca="false">AN_cible*$J$12*Part_MAPIF_NA</f>
        <v>4500000</v>
      </c>
      <c r="D518" s="73" t="n">
        <f aca="false">C518*IF(D491=1,1+$J$14,1)-D520</f>
        <v>3937500</v>
      </c>
      <c r="E518" s="73" t="n">
        <f aca="false">D518*IF(E491=1,1+$J$14,1)-E520</f>
        <v>3375000</v>
      </c>
      <c r="F518" s="73" t="n">
        <f aca="false">E518*IF(F491=1,1+$J$14,1)-F520</f>
        <v>2812500</v>
      </c>
      <c r="G518" s="73" t="n">
        <f aca="false">F518*IF(G491=1,1+$J$14,1)-G520</f>
        <v>2250000</v>
      </c>
      <c r="H518" s="73" t="n">
        <f aca="false">G518*IF(H491=1,1+$J$14,1)-H520</f>
        <v>1875000</v>
      </c>
      <c r="I518" s="73" t="n">
        <f aca="false">H518*IF(I491=1,1+$J$14,1)-I520</f>
        <v>1500000</v>
      </c>
      <c r="J518" s="73" t="n">
        <f aca="false">I518*IF(J491=1,1+$J$14,1)-J520</f>
        <v>1125000</v>
      </c>
      <c r="K518" s="73" t="n">
        <f aca="false">J518*IF(K491=1,1+$J$14,1)-K520</f>
        <v>750000</v>
      </c>
      <c r="L518" s="73" t="n">
        <f aca="false">K518*IF(L491=1,1+$J$14,1)-L520</f>
        <v>375000</v>
      </c>
      <c r="M518" s="73" t="n">
        <f aca="false">L518*IF(M491=1,1+$J$14,1)-M520</f>
        <v>0</v>
      </c>
      <c r="N518" s="73" t="n">
        <f aca="false">M518*IF(N491=1,1+$J$14,1)-N520</f>
        <v>0</v>
      </c>
      <c r="O518" s="73" t="n">
        <f aca="false">N518*IF(O491=1,1+$J$14,1)-O520</f>
        <v>0</v>
      </c>
    </row>
    <row r="519" customFormat="false" ht="15" hidden="false" customHeight="false" outlineLevel="0" collapsed="false">
      <c r="B519" s="65" t="s">
        <v>1044</v>
      </c>
      <c r="C519" s="73" t="n">
        <f aca="false">AN_cible*$J$12*(1-Part_MAPIF_NA)</f>
        <v>3000000</v>
      </c>
      <c r="D519" s="73" t="n">
        <f aca="false">C519*IF(D491=1,1+MSIG_USD*$J$14,1)-D521</f>
        <v>2625000</v>
      </c>
      <c r="E519" s="73" t="n">
        <f aca="false">D519*IF(E491=1,1+MSIG_USD*$J$14,1)-E521</f>
        <v>2250000</v>
      </c>
      <c r="F519" s="73" t="n">
        <f aca="false">E519*IF(F491=1,1+MSIG_USD*$J$14,1)-F521</f>
        <v>1875000</v>
      </c>
      <c r="G519" s="73" t="n">
        <f aca="false">F519*IF(G491=1,1+MSIG_USD*$J$14,1)-G521</f>
        <v>1500000</v>
      </c>
      <c r="H519" s="73" t="n">
        <f aca="false">G519*IF(H491=1,1+MSIG_USD*$J$14,1)-H521</f>
        <v>1250000</v>
      </c>
      <c r="I519" s="73" t="n">
        <f aca="false">H519*IF(I491=1,1+MSIG_USD*$J$14,1)-I521</f>
        <v>1000000</v>
      </c>
      <c r="J519" s="73" t="n">
        <f aca="false">I519*IF(J491=1,1+MSIG_USD*$J$14,1)-J521</f>
        <v>750000</v>
      </c>
      <c r="K519" s="73" t="n">
        <f aca="false">J519*IF(K491=1,1+MSIG_USD*$J$14,1)-K521</f>
        <v>500000</v>
      </c>
      <c r="L519" s="73" t="n">
        <f aca="false">K519*IF(L491=1,1+MSIG_USD*$J$14,1)-L521</f>
        <v>250000</v>
      </c>
      <c r="M519" s="73" t="n">
        <f aca="false">L519*IF(M491=1,1+MSIG_USD*$J$14,1)-M521</f>
        <v>0</v>
      </c>
      <c r="N519" s="73" t="n">
        <f aca="false">M519*IF(N491=1,1+MSIG_USD*$J$14,1)-N521</f>
        <v>0</v>
      </c>
      <c r="O519" s="73" t="n">
        <f aca="false">N519*IF(O491=1,1+MSIG_USD*$J$14,1)-O521</f>
        <v>0</v>
      </c>
    </row>
    <row r="520" customFormat="false" ht="15" hidden="false" customHeight="false" outlineLevel="0" collapsed="false">
      <c r="B520" s="65" t="s">
        <v>1045</v>
      </c>
      <c r="C520" s="25"/>
      <c r="D520" s="73" t="n">
        <f aca="false">MIN(C518*IF(D491=1,1+$J$14,1),$C518*(1+$J$14)*IF(D491&lt;=4,$J$13/4,Appels_base))</f>
        <v>562500</v>
      </c>
      <c r="E520" s="73" t="n">
        <f aca="false">MIN(D518*IF(E491=1,1+$J$14,1),$C518*(1+$J$14)*IF(E491&lt;=4,$J$13/4,Appels_base))</f>
        <v>562500</v>
      </c>
      <c r="F520" s="73" t="n">
        <f aca="false">MIN(E518*IF(F491=1,1+$J$14,1),$C518*(1+$J$14)*IF(F491&lt;=4,$J$13/4,Appels_base))</f>
        <v>562500</v>
      </c>
      <c r="G520" s="73" t="n">
        <f aca="false">MIN(F518*IF(G491=1,1+$J$14,1),$C518*(1+$J$14)*IF(G491&lt;=4,$J$13/4,Appels_base))</f>
        <v>562500</v>
      </c>
      <c r="H520" s="73" t="n">
        <f aca="false">MIN(G518*IF(H491=1,1+$J$14,1),$C518*(1+$J$14)*IF(H491&lt;=4,$J$13/4,Appels_base))</f>
        <v>375000</v>
      </c>
      <c r="I520" s="73" t="n">
        <f aca="false">MIN(H518*IF(I491=1,1+$J$14,1),$C518*(1+$J$14)*IF(I491&lt;=4,$J$13/4,Appels_base))</f>
        <v>375000</v>
      </c>
      <c r="J520" s="73" t="n">
        <f aca="false">MIN(I518*IF(J491=1,1+$J$14,1),$C518*(1+$J$14)*IF(J491&lt;=4,$J$13/4,Appels_base))</f>
        <v>375000</v>
      </c>
      <c r="K520" s="73" t="n">
        <f aca="false">MIN(J518*IF(K491=1,1+$J$14,1),$C518*(1+$J$14)*IF(K491&lt;=4,$J$13/4,Appels_base))</f>
        <v>375000</v>
      </c>
      <c r="L520" s="73" t="n">
        <f aca="false">MIN(K518*IF(L491=1,1+$J$14,1),$C518*(1+$J$14)*IF(L491&lt;=4,$J$13/4,Appels_base))</f>
        <v>375000</v>
      </c>
      <c r="M520" s="73" t="n">
        <f aca="false">MIN(L518*IF(M491=1,1+$J$14,1),$C518*(1+$J$14)*IF(M491&lt;=4,$J$13/4,Appels_base))</f>
        <v>375000</v>
      </c>
      <c r="N520" s="73" t="n">
        <f aca="false">MIN(M518*IF(N491=1,1+$J$14,1),$C518*(1+$J$14)*IF(N491&lt;=4,$J$13/4,Appels_base))</f>
        <v>0</v>
      </c>
      <c r="O520" s="73" t="n">
        <f aca="false">MIN(N518*IF(O491=1,1+$J$14,1),$C518*(1+$J$14)*IF(O491&lt;=4,$J$13/4,Appels_base))</f>
        <v>0</v>
      </c>
    </row>
    <row r="521" customFormat="false" ht="15" hidden="false" customHeight="false" outlineLevel="0" collapsed="false">
      <c r="B521" s="65" t="s">
        <v>1046</v>
      </c>
      <c r="C521" s="25"/>
      <c r="D521" s="73" t="n">
        <f aca="false">MIN(C519*IF(D491=1,1+MSIG_USD*$J$14,1),$C519*(1+MSIG_USD*$J$14)*IF(D491&lt;=4,$J$13/4,Appels_base))</f>
        <v>375000</v>
      </c>
      <c r="E521" s="73" t="n">
        <f aca="false">MIN(D519*IF(E491=1,1+MSIG_USD*$J$14,1),$C519*(1+MSIG_USD*$J$14)*IF(E491&lt;=4,$J$13/4,Appels_base))</f>
        <v>375000</v>
      </c>
      <c r="F521" s="73" t="n">
        <f aca="false">MIN(E519*IF(F491=1,1+MSIG_USD*$J$14,1),$C519*(1+MSIG_USD*$J$14)*IF(F491&lt;=4,$J$13/4,Appels_base))</f>
        <v>375000</v>
      </c>
      <c r="G521" s="73" t="n">
        <f aca="false">MIN(F519*IF(G491=1,1+MSIG_USD*$J$14,1),$C519*(1+MSIG_USD*$J$14)*IF(G491&lt;=4,$J$13/4,Appels_base))</f>
        <v>375000</v>
      </c>
      <c r="H521" s="73" t="n">
        <f aca="false">MIN(G519*IF(H491=1,1+MSIG_USD*$J$14,1),$C519*(1+MSIG_USD*$J$14)*IF(H491&lt;=4,$J$13/4,Appels_base))</f>
        <v>250000</v>
      </c>
      <c r="I521" s="73" t="n">
        <f aca="false">MIN(H519*IF(I491=1,1+MSIG_USD*$J$14,1),$C519*(1+MSIG_USD*$J$14)*IF(I491&lt;=4,$J$13/4,Appels_base))</f>
        <v>250000</v>
      </c>
      <c r="J521" s="73" t="n">
        <f aca="false">MIN(I519*IF(J491=1,1+MSIG_USD*$J$14,1),$C519*(1+MSIG_USD*$J$14)*IF(J491&lt;=4,$J$13/4,Appels_base))</f>
        <v>250000</v>
      </c>
      <c r="K521" s="73" t="n">
        <f aca="false">MIN(J519*IF(K491=1,1+MSIG_USD*$J$14,1),$C519*(1+MSIG_USD*$J$14)*IF(K491&lt;=4,$J$13/4,Appels_base))</f>
        <v>250000</v>
      </c>
      <c r="L521" s="73" t="n">
        <f aca="false">MIN(K519*IF(L491=1,1+MSIG_USD*$J$14,1),$C519*(1+MSIG_USD*$J$14)*IF(L491&lt;=4,$J$13/4,Appels_base))</f>
        <v>250000</v>
      </c>
      <c r="M521" s="73" t="n">
        <f aca="false">MIN(L519*IF(M491=1,1+MSIG_USD*$J$14,1),$C519*(1+MSIG_USD*$J$14)*IF(M491&lt;=4,$J$13/4,Appels_base))</f>
        <v>250000</v>
      </c>
      <c r="N521" s="73" t="n">
        <f aca="false">MIN(M519*IF(N491=1,1+MSIG_USD*$J$14,1),$C519*(1+MSIG_USD*$J$14)*IF(N491&lt;=4,$J$13/4,Appels_base))</f>
        <v>0</v>
      </c>
      <c r="O521" s="73" t="n">
        <f aca="false">MIN(N519*IF(O491=1,1+MSIG_USD*$J$14,1),$C519*(1+MSIG_USD*$J$14)*IF(O491&lt;=4,$J$13/4,Appels_base))</f>
        <v>0</v>
      </c>
    </row>
    <row r="522" customFormat="false" ht="15" hidden="false" customHeight="false" outlineLevel="0" collapsed="false">
      <c r="B522" s="65" t="s">
        <v>1047</v>
      </c>
      <c r="C522" s="25"/>
      <c r="D522" s="73" t="n">
        <f aca="false">C512*Capacite_evg*IF(D491&lt;=4,$J$17,$J$18)</f>
        <v>306250</v>
      </c>
      <c r="E522" s="73" t="n">
        <f aca="false">D512*Capacite_evg*IF(E491&lt;=4,$J$17,$J$18)</f>
        <v>306410.78125</v>
      </c>
      <c r="F522" s="73" t="n">
        <f aca="false">E512*Capacite_evg*IF(F491&lt;=4,$J$17,$J$18)</f>
        <v>306571.646910156</v>
      </c>
      <c r="G522" s="73" t="n">
        <f aca="false">F512*Capacite_evg*IF(G491&lt;=4,$J$17,$J$18)</f>
        <v>306732.597024784</v>
      </c>
      <c r="H522" s="73" t="n">
        <f aca="false">G512*Capacite_evg*IF(H491&lt;=4,$J$17,$J$18)</f>
        <v>306893.631638222</v>
      </c>
      <c r="I522" s="73" t="n">
        <f aca="false">H512*Capacite_evg*IF(I491&lt;=4,$J$17,$J$18)</f>
        <v>289464.469205096</v>
      </c>
      <c r="J522" s="73" t="n">
        <f aca="false">I512*Capacite_evg*IF(J491&lt;=4,$J$17,$J$18)</f>
        <v>286929.2543924</v>
      </c>
      <c r="K522" s="73" t="n">
        <f aca="false">J512*Capacite_evg*IF(K491&lt;=4,$J$17,$J$18)</f>
        <v>268509.356748914</v>
      </c>
      <c r="L522" s="73" t="n">
        <f aca="false">K512*Capacite_evg*IF(L491&lt;=4,$J$17,$J$18)</f>
        <v>265993.513962016</v>
      </c>
      <c r="M522" s="73" t="n">
        <f aca="false">L512*Capacite_evg*IF(M491&lt;=4,$J$17,$J$18)</f>
        <v>263534.776703765</v>
      </c>
      <c r="N522" s="73" t="n">
        <f aca="false">M512*Capacite_evg*IF(N491&lt;=4,$J$17,$J$18)</f>
        <v>261131.913773139</v>
      </c>
      <c r="O522" s="73" t="n">
        <f aca="false">N512*Capacite_evg*IF(O491&lt;=4,$J$17,$J$18)</f>
        <v>260616.178243437</v>
      </c>
    </row>
    <row r="523" customFormat="false" ht="15" hidden="false" customHeight="false" outlineLevel="0" collapsed="false">
      <c r="B523" s="65" t="s">
        <v>1048</v>
      </c>
      <c r="C523" s="25"/>
      <c r="D523" s="73" t="n">
        <f aca="false">C513*Capacite_evg*IF(D491&lt;=4,$J$17,$J$19)*(1-IF(D491&lt;=Deduc_trim,Deduc_ares,0))</f>
        <v>290937.5</v>
      </c>
      <c r="E523" s="73" t="n">
        <f aca="false">D513*Capacite_evg*IF(E491&lt;=4,$J$17,$J$19)*(1-IF(E491&lt;=Deduc_trim,Deduc_ares,0))</f>
        <v>289439.171875</v>
      </c>
      <c r="F523" s="73" t="n">
        <f aca="false">E513*Capacite_evg*IF(F491&lt;=4,$J$17,$J$19)*(1-IF(F491&lt;=Deduc_trim,Deduc_ares,0))</f>
        <v>287948.560139844</v>
      </c>
      <c r="G523" s="73" t="n">
        <f aca="false">F513*Capacite_evg*IF(G491&lt;=4,$J$17,$J$19)*(1-IF(G491&lt;=Deduc_trim,Deduc_ares,0))</f>
        <v>286465.625055124</v>
      </c>
      <c r="H523" s="73" t="n">
        <f aca="false">G513*Capacite_evg*IF(H491&lt;=4,$J$17,$J$19)*(1-IF(H491&lt;=Deduc_trim,Deduc_ares,0))</f>
        <v>0</v>
      </c>
      <c r="I523" s="73" t="n">
        <f aca="false">H513*Capacite_evg*IF(I491&lt;=4,$J$17,$J$19)*(1-IF(I491&lt;=Deduc_trim,Deduc_ares,0))</f>
        <v>0</v>
      </c>
      <c r="J523" s="73" t="n">
        <f aca="false">I513*Capacite_evg*IF(J491&lt;=4,$J$17,$J$19)*(1-IF(J491&lt;=Deduc_trim,Deduc_ares,0))</f>
        <v>0</v>
      </c>
      <c r="K523" s="73" t="n">
        <f aca="false">J513*Capacite_evg*IF(K491&lt;=4,$J$17,$J$19)*(1-IF(K491&lt;=Deduc_trim,Deduc_ares,0))</f>
        <v>0</v>
      </c>
      <c r="L523" s="73" t="n">
        <f aca="false">K513*Capacite_evg*IF(L491&lt;=4,$J$17,$J$19)*(1-IF(L491&lt;=Deduc_trim,Deduc_ares,0))</f>
        <v>0</v>
      </c>
      <c r="M523" s="73" t="n">
        <f aca="false">L513*Capacite_evg*IF(M491&lt;=4,$J$17,$J$19)*(1-IF(M491&lt;=Deduc_trim,Deduc_ares,0))</f>
        <v>0</v>
      </c>
      <c r="N523" s="73" t="n">
        <f aca="false">M513*Capacite_evg*IF(N491&lt;=4,$J$17,$J$19)*(1-IF(N491&lt;=Deduc_trim,Deduc_ares,0))</f>
        <v>0</v>
      </c>
      <c r="O523" s="73" t="n">
        <f aca="false">N513*Capacite_evg*IF(O491&lt;=4,$J$17,$J$19)*(1-IF(O491&lt;=Deduc_trim,Deduc_ares,0))</f>
        <v>0</v>
      </c>
    </row>
    <row r="524" customFormat="false" ht="15" hidden="false" customHeight="false" outlineLevel="0" collapsed="false">
      <c r="B524" s="65" t="s">
        <v>1049</v>
      </c>
      <c r="C524" s="25"/>
      <c r="D524" s="73" t="n">
        <f aca="false">C538</f>
        <v>7500000</v>
      </c>
      <c r="E524" s="73" t="n">
        <f aca="false">D538</f>
        <v>4456562.5</v>
      </c>
      <c r="F524" s="73" t="n">
        <f aca="false">E538</f>
        <v>3901561.1875</v>
      </c>
      <c r="G524" s="73" t="n">
        <f aca="false">F538</f>
        <v>887929.970866406</v>
      </c>
      <c r="H524" s="73" t="n">
        <f aca="false">G538</f>
        <v>312514.217392431</v>
      </c>
      <c r="I524" s="73" t="n">
        <f aca="false">H538</f>
        <v>0</v>
      </c>
      <c r="J524" s="73" t="n">
        <f aca="false">I538</f>
        <v>0</v>
      </c>
      <c r="K524" s="73" t="n">
        <f aca="false">J538</f>
        <v>0</v>
      </c>
      <c r="L524" s="73" t="n">
        <f aca="false">K538</f>
        <v>0</v>
      </c>
      <c r="M524" s="73" t="n">
        <f aca="false">L538</f>
        <v>0</v>
      </c>
      <c r="N524" s="73" t="n">
        <f aca="false">M538</f>
        <v>0</v>
      </c>
      <c r="O524" s="73" t="n">
        <f aca="false">N538</f>
        <v>324482.999161329</v>
      </c>
    </row>
    <row r="525" customFormat="false" ht="15" hidden="false" customHeight="false" outlineLevel="0" collapsed="false">
      <c r="B525" s="65" t="s">
        <v>1050</v>
      </c>
      <c r="C525" s="25"/>
      <c r="D525" s="73" t="n">
        <f aca="false">D524*Taux_treso/4</f>
        <v>46875</v>
      </c>
      <c r="E525" s="73" t="n">
        <f aca="false">E524*Taux_treso/4</f>
        <v>27853.515625</v>
      </c>
      <c r="F525" s="73" t="n">
        <f aca="false">F524*Taux_treso/4</f>
        <v>24384.757421875</v>
      </c>
      <c r="G525" s="73" t="n">
        <f aca="false">G524*Taux_treso/4</f>
        <v>5549.56231791504</v>
      </c>
      <c r="H525" s="73" t="n">
        <f aca="false">H524*Taux_treso/4</f>
        <v>1953.21385870269</v>
      </c>
      <c r="I525" s="73" t="n">
        <f aca="false">I524*Taux_treso/4</f>
        <v>0</v>
      </c>
      <c r="J525" s="73" t="n">
        <f aca="false">J524*Taux_treso/4</f>
        <v>0</v>
      </c>
      <c r="K525" s="73" t="n">
        <f aca="false">K524*Taux_treso/4</f>
        <v>0</v>
      </c>
      <c r="L525" s="73" t="n">
        <f aca="false">L524*Taux_treso/4</f>
        <v>0</v>
      </c>
      <c r="M525" s="73" t="n">
        <f aca="false">M524*Taux_treso/4</f>
        <v>0</v>
      </c>
      <c r="N525" s="73" t="n">
        <f aca="false">N524*Taux_treso/4</f>
        <v>0</v>
      </c>
      <c r="O525" s="73" t="n">
        <f aca="false">O524*Taux_treso/4</f>
        <v>2028.01874475831</v>
      </c>
    </row>
    <row r="526" customFormat="false" ht="15" hidden="false" customHeight="false" outlineLevel="0" collapsed="false">
      <c r="B526" s="65" t="s">
        <v>1051</v>
      </c>
      <c r="C526" s="25"/>
      <c r="D526" s="73" t="n">
        <f aca="false">SUM(D514:D517)</f>
        <v>0</v>
      </c>
      <c r="E526" s="73" t="n">
        <f aca="false">SUM(E514:E517)</f>
        <v>0</v>
      </c>
      <c r="F526" s="73" t="n">
        <f aca="false">SUM(F514:F517)</f>
        <v>0</v>
      </c>
      <c r="G526" s="73" t="n">
        <f aca="false">SUM(G514:G517)</f>
        <v>0</v>
      </c>
      <c r="H526" s="73" t="n">
        <f aca="false">SUM(H514:H517)</f>
        <v>291716.868022843</v>
      </c>
      <c r="I526" s="73" t="n">
        <f aca="false">SUM(I514:I517)</f>
        <v>284368.919895916</v>
      </c>
      <c r="J526" s="73" t="n">
        <f aca="false">SUM(J514:J517)</f>
        <v>291007.534733515</v>
      </c>
      <c r="K526" s="73" t="n">
        <f aca="false">SUM(K514:K517)</f>
        <v>281566.941303064</v>
      </c>
      <c r="L526" s="73" t="n">
        <f aca="false">SUM(L514:L517)</f>
        <v>288047.508921901</v>
      </c>
      <c r="M526" s="73" t="n">
        <f aca="false">SUM(M514:M517)</f>
        <v>294613.006119944</v>
      </c>
      <c r="N526" s="73" t="n">
        <f aca="false">SUM(N514:N517)</f>
        <v>301265.499536</v>
      </c>
      <c r="O526" s="73" t="n">
        <f aca="false">SUM(O514:O517)</f>
        <v>305121.179515989</v>
      </c>
    </row>
    <row r="527" customFormat="false" ht="15" hidden="false" customHeight="false" outlineLevel="0" collapsed="false">
      <c r="B527" s="65" t="s">
        <v>1052</v>
      </c>
      <c r="C527" s="25"/>
      <c r="D527" s="73" t="n">
        <f aca="false">IF(AND(Distrib_tension=1,OR(D499&gt;0.000001,C541&lt;Liq_min,C505=1)),0,MIN(Dist_porteurs/4*Part_d*D496,D526))</f>
        <v>0</v>
      </c>
      <c r="E527" s="73" t="n">
        <f aca="false">IF(AND(Distrib_tension=1,OR(E499&gt;0.000001,D541&lt;Liq_min,D505=1)),0,MIN(Dist_porteurs/4*Part_d*E496,E526))</f>
        <v>0</v>
      </c>
      <c r="F527" s="73" t="n">
        <f aca="false">IF(AND(Distrib_tension=1,OR(F499&gt;0.000001,E541&lt;Liq_min,E505=1)),0,MIN(Dist_porteurs/4*Part_d*F496,F526))</f>
        <v>0</v>
      </c>
      <c r="G527" s="73" t="n">
        <f aca="false">IF(AND(Distrib_tension=1,OR(G499&gt;0.000001,F541&lt;Liq_min,F505=1)),0,MIN(Dist_porteurs/4*Part_d*G496,G526))</f>
        <v>0</v>
      </c>
      <c r="H527" s="73" t="n">
        <f aca="false">IF(AND(Distrib_tension=1,OR(H499&gt;0.000001,G541&lt;Liq_min,G505=1)),0,MIN(Dist_porteurs/4*Part_d*H496,H526))</f>
        <v>0</v>
      </c>
      <c r="I527" s="73" t="n">
        <f aca="false">IF(AND(Distrib_tension=1,OR(I499&gt;0.000001,H541&lt;Liq_min,H505=1)),0,MIN(Dist_porteurs/4*Part_d*I496,I526))</f>
        <v>0</v>
      </c>
      <c r="J527" s="73" t="n">
        <f aca="false">IF(AND(Distrib_tension=1,OR(J499&gt;0.000001,I541&lt;Liq_min,I505=1)),0,MIN(Dist_porteurs/4*Part_d*J496,J526))</f>
        <v>0</v>
      </c>
      <c r="K527" s="73" t="n">
        <f aca="false">IF(AND(Distrib_tension=1,OR(K499&gt;0.000001,J541&lt;Liq_min,J505=1)),0,MIN(Dist_porteurs/4*Part_d*K496,K526))</f>
        <v>0</v>
      </c>
      <c r="L527" s="73" t="n">
        <f aca="false">IF(AND(Distrib_tension=1,OR(L499&gt;0.000001,K541&lt;Liq_min,K505=1)),0,MIN(Dist_porteurs/4*Part_d*L496,L526))</f>
        <v>0</v>
      </c>
      <c r="M527" s="73" t="n">
        <f aca="false">IF(AND(Distrib_tension=1,OR(M499&gt;0.000001,L541&lt;Liq_min,L505=1)),0,MIN(Dist_porteurs/4*Part_d*M496,M526))</f>
        <v>0</v>
      </c>
      <c r="N527" s="73" t="n">
        <f aca="false">IF(AND(Distrib_tension=1,OR(N499&gt;0.000001,M541&lt;Liq_min,M505=1)),0,MIN(Dist_porteurs/4*Part_d*N496,N526))</f>
        <v>0</v>
      </c>
      <c r="O527" s="73" t="n">
        <f aca="false">IF(AND(Distrib_tension=1,OR(O499&gt;0.000001,N541&lt;Liq_min,N505=1)),0,MIN(Dist_porteurs/4*Part_d*O496,O526))</f>
        <v>0</v>
      </c>
    </row>
    <row r="528" customFormat="false" ht="15" hidden="false" customHeight="false" outlineLevel="0" collapsed="false">
      <c r="B528" s="65" t="s">
        <v>1053</v>
      </c>
      <c r="C528" s="25"/>
      <c r="D528" s="73" t="n">
        <f aca="false">D520+D521</f>
        <v>937500</v>
      </c>
      <c r="E528" s="73" t="n">
        <f aca="false">E520+E521</f>
        <v>937500</v>
      </c>
      <c r="F528" s="73" t="n">
        <f aca="false">F520+F521</f>
        <v>937500</v>
      </c>
      <c r="G528" s="73" t="n">
        <f aca="false">G520+G521</f>
        <v>937500</v>
      </c>
      <c r="H528" s="73" t="n">
        <f aca="false">H520+H521</f>
        <v>625000</v>
      </c>
      <c r="I528" s="73" t="n">
        <f aca="false">I520+I521</f>
        <v>625000</v>
      </c>
      <c r="J528" s="73" t="n">
        <f aca="false">J520+J521</f>
        <v>625000</v>
      </c>
      <c r="K528" s="73" t="n">
        <f aca="false">K520+K521</f>
        <v>625000</v>
      </c>
      <c r="L528" s="73" t="n">
        <f aca="false">L520+L521</f>
        <v>625000</v>
      </c>
      <c r="M528" s="73" t="n">
        <f aca="false">M520+M521</f>
        <v>625000</v>
      </c>
      <c r="N528" s="73" t="n">
        <f aca="false">N520+N521</f>
        <v>0</v>
      </c>
      <c r="O528" s="73" t="n">
        <f aca="false">O520+O521</f>
        <v>0</v>
      </c>
    </row>
    <row r="529" customFormat="false" ht="15" hidden="false" customHeight="false" outlineLevel="0" collapsed="false">
      <c r="B529" s="65" t="s">
        <v>1054</v>
      </c>
      <c r="C529" s="25"/>
      <c r="D529" s="73" t="n">
        <f aca="false">D496*Frais_an/4</f>
        <v>250000</v>
      </c>
      <c r="E529" s="73" t="n">
        <f aca="false">E496*Frais_an/4</f>
        <v>241204.78125</v>
      </c>
      <c r="F529" s="73" t="n">
        <f aca="false">F496*Frais_an/4</f>
        <v>245003.289191406</v>
      </c>
      <c r="G529" s="73" t="n">
        <f aca="false">G496*Frais_an/4</f>
        <v>236663.537871798</v>
      </c>
      <c r="H529" s="73" t="n">
        <f aca="false">H496*Frais_an/4</f>
        <v>240673.173703362</v>
      </c>
      <c r="I529" s="73" t="n">
        <f aca="false">I496*Frais_an/4</f>
        <v>231530.61601549</v>
      </c>
      <c r="J529" s="73" t="n">
        <f aca="false">J496*Frais_an/4</f>
        <v>235436.769276555</v>
      </c>
      <c r="K529" s="73" t="n">
        <f aca="false">K496*Frais_an/4</f>
        <v>226328.419573934</v>
      </c>
      <c r="L529" s="73" t="n">
        <f aca="false">L496*Frais_an/4</f>
        <v>230126.472188999</v>
      </c>
      <c r="M529" s="73" t="n">
        <f aca="false">M496*Frais_an/4</f>
        <v>233988.082786365</v>
      </c>
      <c r="N529" s="73" t="n">
        <f aca="false">N496*Frais_an/4</f>
        <v>237914.414147809</v>
      </c>
      <c r="O529" s="73" t="n">
        <f aca="false">O496*Frais_an/4</f>
        <v>242073.60187901</v>
      </c>
    </row>
    <row r="530" customFormat="false" ht="15" hidden="false" customHeight="false" outlineLevel="0" collapsed="false">
      <c r="B530" s="65" t="s">
        <v>1055</v>
      </c>
      <c r="C530" s="25"/>
      <c r="D530" s="73" t="n">
        <f aca="false">C539*Taux_emprunt/4</f>
        <v>0</v>
      </c>
      <c r="E530" s="73" t="n">
        <f aca="false">D539*Taux_emprunt/4</f>
        <v>0</v>
      </c>
      <c r="F530" s="73" t="n">
        <f aca="false">E539*Taux_emprunt/4</f>
        <v>0</v>
      </c>
      <c r="G530" s="73" t="n">
        <f aca="false">F539*Taux_emprunt/4</f>
        <v>0</v>
      </c>
      <c r="H530" s="73" t="n">
        <f aca="false">G539*Taux_emprunt/4</f>
        <v>0</v>
      </c>
      <c r="I530" s="73" t="n">
        <f aca="false">H539*Taux_emprunt/4</f>
        <v>0</v>
      </c>
      <c r="J530" s="73" t="n">
        <f aca="false">I539*Taux_emprunt/4</f>
        <v>0</v>
      </c>
      <c r="K530" s="73" t="n">
        <f aca="false">J539*Taux_emprunt/4</f>
        <v>0</v>
      </c>
      <c r="L530" s="73" t="n">
        <f aca="false">K539*Taux_emprunt/4</f>
        <v>0</v>
      </c>
      <c r="M530" s="73" t="n">
        <f aca="false">L539*Taux_emprunt/4</f>
        <v>0</v>
      </c>
      <c r="N530" s="73" t="n">
        <f aca="false">M539*Taux_emprunt/4</f>
        <v>0</v>
      </c>
      <c r="O530" s="73" t="n">
        <f aca="false">N539*Taux_emprunt/4</f>
        <v>0</v>
      </c>
    </row>
    <row r="531" customFormat="false" ht="15" hidden="false" customHeight="false" outlineLevel="0" collapsed="false">
      <c r="B531" s="65" t="s">
        <v>1056</v>
      </c>
      <c r="C531" s="25"/>
      <c r="D531" s="73" t="n">
        <f aca="false">D524+D525+D526-D527+D497-D528-D529-D530</f>
        <v>6359375</v>
      </c>
      <c r="E531" s="73" t="n">
        <f aca="false">E524+E525+E526-E527+E497-E528-E529-E530</f>
        <v>3305711.234375</v>
      </c>
      <c r="F531" s="73" t="n">
        <f aca="false">F524+F525+F526-F527+F497-F528-F529-F530</f>
        <v>2743442.65573047</v>
      </c>
      <c r="G531" s="73" t="n">
        <f aca="false">G524+G525+G526-G527+G497-G528-G529-G530</f>
        <v>-280684.004687477</v>
      </c>
      <c r="H531" s="73" t="n">
        <f aca="false">H524+H525+H526-H527+H497-H528-H529-H530</f>
        <v>-259488.874429386</v>
      </c>
      <c r="I531" s="73" t="n">
        <f aca="false">I524+I525+I526-I527+I497-I528-I529-I530</f>
        <v>-572161.696119574</v>
      </c>
      <c r="J531" s="73" t="n">
        <f aca="false">J524+J525+J526-J527+J497-J528-J529-J530</f>
        <v>-569429.23454304</v>
      </c>
      <c r="K531" s="73" t="n">
        <f aca="false">K524+K525+K526-K527+K497-K528-K529-K530</f>
        <v>-569761.47827087</v>
      </c>
      <c r="L531" s="73" t="n">
        <f aca="false">L524+L525+L526-L527+L497-L528-L529-L530</f>
        <v>-567078.963267098</v>
      </c>
      <c r="M531" s="73" t="n">
        <f aca="false">M524+M525+M526-M527+M497-M528-M529-M530</f>
        <v>-564375.076666421</v>
      </c>
      <c r="N531" s="73" t="n">
        <f aca="false">N524+N525+N526-N527+N497-N528-N529-N530</f>
        <v>63351.0853881906</v>
      </c>
      <c r="O531" s="73" t="n">
        <f aca="false">O524+O525+O526-O527+O497-O528-O529-O530</f>
        <v>389558.595543067</v>
      </c>
    </row>
    <row r="532" customFormat="false" ht="15" hidden="false" customHeight="false" outlineLevel="0" collapsed="false">
      <c r="B532" s="65" t="s">
        <v>1057</v>
      </c>
      <c r="C532" s="25"/>
      <c r="D532" s="73" t="n">
        <f aca="false">MIN(D522+D523,MAX(0,Liq_cible*D496-(D531-D506)))</f>
        <v>597187.5</v>
      </c>
      <c r="E532" s="73" t="n">
        <f aca="false">MIN(E522+E523,MAX(0,Liq_cible*E496-(E531-E506)))</f>
        <v>595849.953125</v>
      </c>
      <c r="F532" s="73" t="n">
        <f aca="false">MIN(F522+F523,MAX(0,Liq_cible*F496-(F531-F506)))</f>
        <v>594520.20705</v>
      </c>
      <c r="G532" s="73" t="n">
        <f aca="false">MIN(G522+G523,MAX(0,Liq_cible*G496-(G531-G506)))</f>
        <v>593198.222079908</v>
      </c>
      <c r="H532" s="73" t="n">
        <f aca="false">MIN(H522+H523,MAX(0,Liq_cible*H496-(H531-H506)))</f>
        <v>306893.631638222</v>
      </c>
      <c r="I532" s="73" t="n">
        <f aca="false">MIN(I522+I523,MAX(0,Liq_cible*I496-(I531-I506)))</f>
        <v>289464.469205096</v>
      </c>
      <c r="J532" s="73" t="n">
        <f aca="false">MIN(J522+J523,MAX(0,Liq_cible*J496-(J531-J506)))</f>
        <v>286929.2543924</v>
      </c>
      <c r="K532" s="73" t="n">
        <f aca="false">MIN(K522+K523,MAX(0,Liq_cible*K496-(K531-K506)))</f>
        <v>268509.356748914</v>
      </c>
      <c r="L532" s="73" t="n">
        <f aca="false">MIN(L522+L523,MAX(0,Liq_cible*L496-(L531-L506)))</f>
        <v>265993.513962016</v>
      </c>
      <c r="M532" s="73" t="n">
        <f aca="false">MIN(M522+M523,MAX(0,Liq_cible*M496-(M531-M506)))</f>
        <v>263534.776703765</v>
      </c>
      <c r="N532" s="73" t="n">
        <f aca="false">MIN(N522+N523,MAX(0,Liq_cible*N496-(N531-N506)))</f>
        <v>261131.913773139</v>
      </c>
      <c r="O532" s="73" t="n">
        <f aca="false">MIN(O522+O523,MAX(0,Liq_cible*O496-(O531-O506)))</f>
        <v>260616.178243437</v>
      </c>
    </row>
    <row r="533" customFormat="false" ht="15" hidden="false" customHeight="false" outlineLevel="0" collapsed="false">
      <c r="B533" s="65" t="s">
        <v>1058</v>
      </c>
      <c r="C533" s="25"/>
      <c r="D533" s="73" t="n">
        <f aca="false">D531-D506+D532</f>
        <v>4456562.5</v>
      </c>
      <c r="E533" s="73" t="n">
        <f aca="false">E531-E506+E532</f>
        <v>3901561.1875</v>
      </c>
      <c r="F533" s="73" t="n">
        <f aca="false">F531-F506+F532</f>
        <v>887929.970866406</v>
      </c>
      <c r="G533" s="73" t="n">
        <f aca="false">G531-G506+G532</f>
        <v>312514.217392431</v>
      </c>
      <c r="H533" s="73" t="n">
        <f aca="false">H531-H506+H532</f>
        <v>-2359326.97982478</v>
      </c>
      <c r="I533" s="73" t="n">
        <f aca="false">I531-I506+I532</f>
        <v>-282697.226914478</v>
      </c>
      <c r="J533" s="73" t="n">
        <f aca="false">J531-J506+J532</f>
        <v>-2636867.67291619</v>
      </c>
      <c r="K533" s="73" t="n">
        <f aca="false">K531-K506+K532</f>
        <v>-301252.121521956</v>
      </c>
      <c r="L533" s="73" t="n">
        <f aca="false">L531-L506+L532</f>
        <v>-301085.449305082</v>
      </c>
      <c r="M533" s="73" t="n">
        <f aca="false">M531-M506+M532</f>
        <v>-300840.299962656</v>
      </c>
      <c r="N533" s="73" t="n">
        <f aca="false">N531-N506+N532</f>
        <v>324482.999161329</v>
      </c>
      <c r="O533" s="73" t="n">
        <f aca="false">O531-O506+O532</f>
        <v>650174.773786504</v>
      </c>
    </row>
    <row r="534" customFormat="false" ht="15" hidden="false" customHeight="false" outlineLevel="0" collapsed="false">
      <c r="B534" s="65" t="s">
        <v>1059</v>
      </c>
      <c r="C534" s="25"/>
      <c r="D534" s="73" t="n">
        <f aca="false">MIN(MAX(0,MIN($J$20*AN_cible,Emprunt_max*D496)-C539),MAX(0,IF($J$20&gt;0,Poche_min_exec*D496,0)-D533))-IF(D533&gt;Liq_cible*D496,MIN(C539,D533-Liq_cible*D496),0)</f>
        <v>0</v>
      </c>
      <c r="E534" s="73" t="n">
        <f aca="false">MIN(MAX(0,MIN($J$20*AN_cible,Emprunt_max*E496)-D539),MAX(0,IF($J$20&gt;0,Poche_min_exec*E496,0)-E533))-IF(E533&gt;Liq_cible*E496,MIN(D539,E533-Liq_cible*E496),0)</f>
        <v>0</v>
      </c>
      <c r="F534" s="73" t="n">
        <f aca="false">MIN(MAX(0,MIN($J$20*AN_cible,Emprunt_max*F496)-E539),MAX(0,IF($J$20&gt;0,Poche_min_exec*F496,0)-F533))-IF(F533&gt;Liq_cible*F496,MIN(E539,F533-Liq_cible*F496),0)</f>
        <v>0</v>
      </c>
      <c r="G534" s="73" t="n">
        <f aca="false">MIN(MAX(0,MIN($J$20*AN_cible,Emprunt_max*G496)-F539),MAX(0,IF($J$20&gt;0,Poche_min_exec*G496,0)-G533))-IF(G533&gt;Liq_cible*G496,MIN(F539,G533-Liq_cible*G496),0)</f>
        <v>0</v>
      </c>
      <c r="H534" s="73" t="n">
        <f aca="false">MIN(MAX(0,MIN($J$20*AN_cible,Emprunt_max*H496)-G539),MAX(0,IF($J$20&gt;0,Poche_min_exec*H496,0)-H533))-IF(H533&gt;Liq_cible*H496,MIN(G539,H533-Liq_cible*H496),0)</f>
        <v>0</v>
      </c>
      <c r="I534" s="73" t="n">
        <f aca="false">MIN(MAX(0,MIN($J$20*AN_cible,Emprunt_max*I496)-H539),MAX(0,IF($J$20&gt;0,Poche_min_exec*I496,0)-I533))-IF(I533&gt;Liq_cible*I496,MIN(H539,I533-Liq_cible*I496),0)</f>
        <v>0</v>
      </c>
      <c r="J534" s="73" t="n">
        <f aca="false">MIN(MAX(0,MIN($J$20*AN_cible,Emprunt_max*J496)-I539),MAX(0,IF($J$20&gt;0,Poche_min_exec*J496,0)-J533))-IF(J533&gt;Liq_cible*J496,MIN(I539,J533-Liq_cible*J496),0)</f>
        <v>0</v>
      </c>
      <c r="K534" s="73" t="n">
        <f aca="false">MIN(MAX(0,MIN($J$20*AN_cible,Emprunt_max*K496)-J539),MAX(0,IF($J$20&gt;0,Poche_min_exec*K496,0)-K533))-IF(K533&gt;Liq_cible*K496,MIN(J539,K533-Liq_cible*K496),0)</f>
        <v>0</v>
      </c>
      <c r="L534" s="73" t="n">
        <f aca="false">MIN(MAX(0,MIN($J$20*AN_cible,Emprunt_max*L496)-K539),MAX(0,IF($J$20&gt;0,Poche_min_exec*L496,0)-L533))-IF(L533&gt;Liq_cible*L496,MIN(K539,L533-Liq_cible*L496),0)</f>
        <v>0</v>
      </c>
      <c r="M534" s="73" t="n">
        <f aca="false">MIN(MAX(0,MIN($J$20*AN_cible,Emprunt_max*M496)-L539),MAX(0,IF($J$20&gt;0,Poche_min_exec*M496,0)-M533))-IF(M533&gt;Liq_cible*M496,MIN(L539,M533-Liq_cible*M496),0)</f>
        <v>0</v>
      </c>
      <c r="N534" s="73" t="n">
        <f aca="false">MIN(MAX(0,MIN($J$20*AN_cible,Emprunt_max*N496)-M539),MAX(0,IF($J$20&gt;0,Poche_min_exec*N496,0)-N533))-IF(N533&gt;Liq_cible*N496,MIN(M539,N533-Liq_cible*N496),0)</f>
        <v>0</v>
      </c>
      <c r="O534" s="73" t="n">
        <f aca="false">MIN(MAX(0,MIN($J$20*AN_cible,Emprunt_max*O496)-N539),MAX(0,IF($J$20&gt;0,Poche_min_exec*O496,0)-O533))-IF(O533&gt;Liq_cible*O496,MIN(N539,O533-Liq_cible*O496),0)</f>
        <v>0</v>
      </c>
    </row>
    <row r="535" customFormat="false" ht="15" hidden="false" customHeight="false" outlineLevel="0" collapsed="false">
      <c r="B535" s="65" t="s">
        <v>1060</v>
      </c>
      <c r="C535" s="25"/>
      <c r="D535" s="73" t="n">
        <f aca="false">MIN((C510+C511+C512+C513),MAX(0,-(D533+D534))/(1-Decote))</f>
        <v>0</v>
      </c>
      <c r="E535" s="73" t="n">
        <f aca="false">MIN((D510+D511+D512+D513),MAX(0,-(E533+E534))/(1-Decote))</f>
        <v>0</v>
      </c>
      <c r="F535" s="73" t="n">
        <f aca="false">MIN((E510+E511+E512+E513),MAX(0,-(F533+F534))/(1-Decote))</f>
        <v>0</v>
      </c>
      <c r="G535" s="73" t="n">
        <f aca="false">MIN((F510+F511+F512+F513),MAX(0,-(G533+G534))/(1-Decote))</f>
        <v>0</v>
      </c>
      <c r="H535" s="73" t="n">
        <f aca="false">MIN((G510+G511+G512+G513),MAX(0,-(H533+H534))/(1-Decote))</f>
        <v>2621474.42202754</v>
      </c>
      <c r="I535" s="73" t="n">
        <f aca="false">MIN((H510+H511+H512+H513),MAX(0,-(I533+I534))/(1-Decote))</f>
        <v>314108.029904976</v>
      </c>
      <c r="J535" s="73" t="n">
        <f aca="false">MIN((I510+I511+I512+I513),MAX(0,-(J533+J534))/(1-Decote))</f>
        <v>2929852.96990688</v>
      </c>
      <c r="K535" s="73" t="n">
        <f aca="false">MIN((J510+J511+J512+J513),MAX(0,-(K533+K534))/(1-Decote))</f>
        <v>334724.57946884</v>
      </c>
      <c r="L535" s="73" t="n">
        <f aca="false">MIN((K510+K511+K512+K513),MAX(0,-(L533+L534))/(1-Decote))</f>
        <v>334539.388116758</v>
      </c>
      <c r="M535" s="73" t="n">
        <f aca="false">MIN((L510+L511+L512+L513),MAX(0,-(M533+M534))/(1-Decote))</f>
        <v>334266.999958506</v>
      </c>
      <c r="N535" s="73" t="n">
        <f aca="false">MIN((M510+M511+M512+M513),MAX(0,-(N533+N534))/(1-Decote))</f>
        <v>0</v>
      </c>
      <c r="O535" s="73" t="n">
        <f aca="false">MIN((N510+N511+N512+N513),MAX(0,-(O533+O534))/(1-Decote))</f>
        <v>0</v>
      </c>
    </row>
    <row r="536" customFormat="false" ht="15" hidden="false" customHeight="false" outlineLevel="0" collapsed="false">
      <c r="B536" s="65" t="s">
        <v>1061</v>
      </c>
      <c r="C536" s="25"/>
      <c r="D536" s="73" t="n">
        <f aca="false">D535*Decote</f>
        <v>0</v>
      </c>
      <c r="E536" s="73" t="n">
        <f aca="false">E535*Decote</f>
        <v>0</v>
      </c>
      <c r="F536" s="73" t="n">
        <f aca="false">F535*Decote</f>
        <v>0</v>
      </c>
      <c r="G536" s="73" t="n">
        <f aca="false">G535*Decote</f>
        <v>0</v>
      </c>
      <c r="H536" s="73" t="n">
        <f aca="false">H535*Decote</f>
        <v>262147.442202754</v>
      </c>
      <c r="I536" s="73" t="n">
        <f aca="false">I535*Decote</f>
        <v>31410.8029904976</v>
      </c>
      <c r="J536" s="73" t="n">
        <f aca="false">J535*Decote</f>
        <v>292985.296990688</v>
      </c>
      <c r="K536" s="73" t="n">
        <f aca="false">K535*Decote</f>
        <v>33472.457946884</v>
      </c>
      <c r="L536" s="73" t="n">
        <f aca="false">L535*Decote</f>
        <v>33453.9388116758</v>
      </c>
      <c r="M536" s="73" t="n">
        <f aca="false">M535*Decote</f>
        <v>33426.6999958506</v>
      </c>
      <c r="N536" s="73" t="n">
        <f aca="false">N535*Decote</f>
        <v>0</v>
      </c>
      <c r="O536" s="73" t="n">
        <f aca="false">O535*Decote</f>
        <v>0</v>
      </c>
    </row>
    <row r="537" customFormat="false" ht="15" hidden="false" customHeight="false" outlineLevel="0" collapsed="false">
      <c r="B537" s="65" t="s">
        <v>1062</v>
      </c>
      <c r="C537" s="25"/>
      <c r="D537" s="73" t="n">
        <f aca="false">IF(AND(D507&lt;0.000001,C539+D534&lt;0.000001),MAX(0,D533+D534-Seuil_reinv*D496),0)</f>
        <v>0</v>
      </c>
      <c r="E537" s="73" t="n">
        <f aca="false">IF(AND(E507&lt;0.000001,D539+E534&lt;0.000001),MAX(0,E533+E534-Seuil_reinv*E496),0)</f>
        <v>0</v>
      </c>
      <c r="F537" s="73" t="n">
        <f aca="false">IF(AND(F507&lt;0.000001,E539+F534&lt;0.000001),MAX(0,F533+F534-Seuil_reinv*F496),0)</f>
        <v>0</v>
      </c>
      <c r="G537" s="73" t="n">
        <f aca="false">IF(AND(G507&lt;0.000001,F539+G534&lt;0.000001),MAX(0,G533+G534-Seuil_reinv*G496),0)</f>
        <v>0</v>
      </c>
      <c r="H537" s="73" t="n">
        <f aca="false">IF(AND(H507&lt;0.000001,G539+H534&lt;0.000001),MAX(0,H533+H534-Seuil_reinv*H496),0)</f>
        <v>0</v>
      </c>
      <c r="I537" s="73" t="n">
        <f aca="false">IF(AND(I507&lt;0.000001,H539+I534&lt;0.000001),MAX(0,I533+I534-Seuil_reinv*I496),0)</f>
        <v>0</v>
      </c>
      <c r="J537" s="73" t="n">
        <f aca="false">IF(AND(J507&lt;0.000001,I539+J534&lt;0.000001),MAX(0,J533+J534-Seuil_reinv*J496),0)</f>
        <v>0</v>
      </c>
      <c r="K537" s="73" t="n">
        <f aca="false">IF(AND(K507&lt;0.000001,J539+K534&lt;0.000001),MAX(0,K533+K534-Seuil_reinv*K496),0)</f>
        <v>0</v>
      </c>
      <c r="L537" s="73" t="n">
        <f aca="false">IF(AND(L507&lt;0.000001,K539+L534&lt;0.000001),MAX(0,L533+L534-Seuil_reinv*L496),0)</f>
        <v>0</v>
      </c>
      <c r="M537" s="73" t="n">
        <f aca="false">IF(AND(M507&lt;0.000001,L539+M534&lt;0.000001),MAX(0,M533+M534-Seuil_reinv*M496),0)</f>
        <v>0</v>
      </c>
      <c r="N537" s="73" t="n">
        <f aca="false">IF(AND(N507&lt;0.000001,M539+N534&lt;0.000001),MAX(0,N533+N534-Seuil_reinv*N496),0)</f>
        <v>0</v>
      </c>
      <c r="O537" s="73" t="n">
        <f aca="false">IF(AND(O507&lt;0.000001,N539+O534&lt;0.000001),MAX(0,O533+O534-Seuil_reinv*O496),0)</f>
        <v>0</v>
      </c>
    </row>
    <row r="538" customFormat="false" ht="15" hidden="false" customHeight="false" outlineLevel="0" collapsed="false">
      <c r="B538" s="65" t="s">
        <v>1063</v>
      </c>
      <c r="C538" s="73" t="n">
        <f aca="false">AN_cible*Ws_LIQ</f>
        <v>7500000</v>
      </c>
      <c r="D538" s="73" t="n">
        <f aca="false">D533+D534+D535-D536-D537</f>
        <v>4456562.5</v>
      </c>
      <c r="E538" s="73" t="n">
        <f aca="false">E533+E534+E535-E536-E537</f>
        <v>3901561.1875</v>
      </c>
      <c r="F538" s="73" t="n">
        <f aca="false">F533+F534+F535-F536-F537</f>
        <v>887929.970866406</v>
      </c>
      <c r="G538" s="73" t="n">
        <f aca="false">G533+G534+G535-G536-G537</f>
        <v>312514.217392431</v>
      </c>
      <c r="H538" s="73" t="n">
        <f aca="false">H533+H534+H535-H536-H537</f>
        <v>0</v>
      </c>
      <c r="I538" s="73" t="n">
        <f aca="false">I533+I534+I535-I536-I537</f>
        <v>0</v>
      </c>
      <c r="J538" s="73" t="n">
        <f aca="false">J533+J534+J535-J536-J537</f>
        <v>0</v>
      </c>
      <c r="K538" s="73" t="n">
        <f aca="false">K533+K534+K535-K536-K537</f>
        <v>0</v>
      </c>
      <c r="L538" s="73" t="n">
        <f aca="false">L533+L534+L535-L536-L537</f>
        <v>0</v>
      </c>
      <c r="M538" s="73" t="n">
        <f aca="false">M533+M534+M535-M536-M537</f>
        <v>0</v>
      </c>
      <c r="N538" s="73" t="n">
        <f aca="false">N533+N534+N535-N536-N537</f>
        <v>324482.999161329</v>
      </c>
      <c r="O538" s="73" t="n">
        <f aca="false">O533+O534+O535-O536-O537</f>
        <v>650174.773786504</v>
      </c>
    </row>
    <row r="539" customFormat="false" ht="15" hidden="false" customHeight="false" outlineLevel="0" collapsed="false">
      <c r="B539" s="65" t="s">
        <v>1064</v>
      </c>
      <c r="C539" s="73" t="n">
        <v>0</v>
      </c>
      <c r="D539" s="73" t="n">
        <f aca="false">C539+D534</f>
        <v>0</v>
      </c>
      <c r="E539" s="73" t="n">
        <f aca="false">D539+E534</f>
        <v>0</v>
      </c>
      <c r="F539" s="73" t="n">
        <f aca="false">E539+F534</f>
        <v>0</v>
      </c>
      <c r="G539" s="73" t="n">
        <f aca="false">F539+G534</f>
        <v>0</v>
      </c>
      <c r="H539" s="73" t="n">
        <f aca="false">G539+H534</f>
        <v>0</v>
      </c>
      <c r="I539" s="73" t="n">
        <f aca="false">H539+I534</f>
        <v>0</v>
      </c>
      <c r="J539" s="73" t="n">
        <f aca="false">I539+J534</f>
        <v>0</v>
      </c>
      <c r="K539" s="73" t="n">
        <f aca="false">J539+K534</f>
        <v>0</v>
      </c>
      <c r="L539" s="73" t="n">
        <f aca="false">K539+L534</f>
        <v>0</v>
      </c>
      <c r="M539" s="73" t="n">
        <f aca="false">L539+M534</f>
        <v>0</v>
      </c>
      <c r="N539" s="73" t="n">
        <f aca="false">M539+N534</f>
        <v>0</v>
      </c>
      <c r="O539" s="73" t="n">
        <f aca="false">N539+O534</f>
        <v>0</v>
      </c>
    </row>
    <row r="540" customFormat="false" ht="15" hidden="false" customHeight="false" outlineLevel="0" collapsed="false">
      <c r="B540" s="74" t="s">
        <v>1065</v>
      </c>
      <c r="C540" s="73" t="n">
        <f aca="false">C510+C511+C512+C513+C538-C539</f>
        <v>50000000</v>
      </c>
      <c r="D540" s="73" t="n">
        <f aca="false">D510+D511+D512+D513+D538-D539</f>
        <v>48240956.25</v>
      </c>
      <c r="E540" s="73" t="n">
        <f aca="false">E510+E511+E512+E513+E538-E539</f>
        <v>49000657.8382813</v>
      </c>
      <c r="F540" s="73" t="n">
        <f aca="false">F510+F511+F512+F513+F538-F539</f>
        <v>47332707.5743596</v>
      </c>
      <c r="G540" s="73" t="n">
        <f aca="false">G510+G511+G512+G513+G538-G539</f>
        <v>48134634.7406724</v>
      </c>
      <c r="H540" s="73" t="n">
        <f aca="false">H510+H511+H512+H513+H538-H539</f>
        <v>46306123.2030979</v>
      </c>
      <c r="I540" s="73" t="n">
        <f aca="false">I510+I511+I512+I513+I538-I539</f>
        <v>47087353.855311</v>
      </c>
      <c r="J540" s="73" t="n">
        <f aca="false">J510+J511+J512+J513+J538-J539</f>
        <v>45265683.9147868</v>
      </c>
      <c r="K540" s="73" t="n">
        <f aca="false">K510+K511+K512+K513+K538-K539</f>
        <v>46025294.4377998</v>
      </c>
      <c r="L540" s="73" t="n">
        <f aca="false">L510+L511+L512+L513+L538-L539</f>
        <v>46797616.5572729</v>
      </c>
      <c r="M540" s="73" t="n">
        <f aca="false">M510+M511+M512+M513+M538-M539</f>
        <v>47582882.8295618</v>
      </c>
      <c r="N540" s="73" t="n">
        <f aca="false">N510+N511+N512+N513+N538-N539</f>
        <v>48414720.375802</v>
      </c>
      <c r="O540" s="73" t="n">
        <f aca="false">O510+O511+O512+O513+O538-O539</f>
        <v>49255348.8569454</v>
      </c>
    </row>
    <row r="541" customFormat="false" ht="15" hidden="false" customHeight="false" outlineLevel="0" collapsed="false">
      <c r="B541" s="65" t="s">
        <v>1066</v>
      </c>
      <c r="C541" s="72" t="n">
        <f aca="false">IF((C540+C539)&gt;0,C538/(C540+C539),0)</f>
        <v>0.15</v>
      </c>
      <c r="D541" s="72" t="n">
        <f aca="false">IF((D540+D539)&gt;0,D538/(D540+D539),0)</f>
        <v>0.092381305148776</v>
      </c>
      <c r="E541" s="72" t="n">
        <f aca="false">IF((E540+E539)&gt;0,E538/(E540+E539),0)</f>
        <v>0.0796226287487093</v>
      </c>
      <c r="F541" s="72" t="n">
        <f aca="false">IF((F540+F539)&gt;0,F538/(F540+F539),0)</f>
        <v>0.018759331894789</v>
      </c>
      <c r="G541" s="72" t="n">
        <f aca="false">IF((G540+G539)&gt;0,G538/(G540+G539),0)</f>
        <v>0.00649250210531597</v>
      </c>
      <c r="H541" s="72" t="n">
        <f aca="false">IF((H540+H539)&gt;0,H538/(H540+H539),0)</f>
        <v>0</v>
      </c>
      <c r="I541" s="72" t="n">
        <f aca="false">IF((I540+I539)&gt;0,I538/(I540+I539),0)</f>
        <v>0</v>
      </c>
      <c r="J541" s="72" t="n">
        <f aca="false">IF((J540+J539)&gt;0,J538/(J540+J539),0)</f>
        <v>0</v>
      </c>
      <c r="K541" s="72" t="n">
        <f aca="false">IF((K540+K539)&gt;0,K538/(K540+K539),0)</f>
        <v>0</v>
      </c>
      <c r="L541" s="72" t="n">
        <f aca="false">IF((L540+L539)&gt;0,L538/(L540+L539),0)</f>
        <v>0</v>
      </c>
      <c r="M541" s="72" t="n">
        <f aca="false">IF((M540+M539)&gt;0,M538/(M540+M539),0)</f>
        <v>0</v>
      </c>
      <c r="N541" s="72" t="n">
        <f aca="false">IF((N540+N539)&gt;0,N538/(N540+N539),0)</f>
        <v>0.00670215580390934</v>
      </c>
      <c r="O541" s="72" t="n">
        <f aca="false">IF((O540+O539)&gt;0,O538/(O540+O539),0)</f>
        <v>0.0132000846380123</v>
      </c>
    </row>
    <row r="542" customFormat="false" ht="15" hidden="false" customHeight="false" outlineLevel="0" collapsed="false">
      <c r="B542" s="65" t="s">
        <v>1067</v>
      </c>
      <c r="C542" s="72" t="n">
        <f aca="false">0</f>
        <v>0</v>
      </c>
      <c r="D542" s="72" t="n">
        <f aca="false">IF(D540&gt;0,D507/D540,0)</f>
        <v>0.103646369986706</v>
      </c>
      <c r="E542" s="72" t="n">
        <f aca="false">IF(E540&gt;0,E507/E540,0)</f>
        <v>0.102039446419305</v>
      </c>
      <c r="F542" s="72" t="n">
        <f aca="false">IF(F540&gt;0,F507/F540,0)</f>
        <v>0.260921027100345</v>
      </c>
      <c r="G542" s="72" t="n">
        <f aca="false">IF(G540&gt;0,G507/G540,0)</f>
        <v>0.256574060284843</v>
      </c>
      <c r="H542" s="72" t="n">
        <f aca="false">IF(H540&gt;0,H507/H540,0)</f>
        <v>0.21473114678802</v>
      </c>
      <c r="I542" s="72" t="n">
        <f aca="false">IF(I540&gt;0,I507/I540,0)</f>
        <v>0.211168522428811</v>
      </c>
      <c r="J542" s="72" t="n">
        <f aca="false">IF(J540&gt;0,J507/J540,0)</f>
        <v>0.167654580459436</v>
      </c>
      <c r="K542" s="72" t="n">
        <f aca="false">IF(K540&gt;0,K507/K540,0)</f>
        <v>0.164887576247862</v>
      </c>
      <c r="L542" s="72" t="n">
        <f aca="false">IF(L540&gt;0,L507/L540,0)</f>
        <v>0.16216636239701</v>
      </c>
      <c r="M542" s="72" t="n">
        <f aca="false">IF(M540&gt;0,M507/M540,0)</f>
        <v>0.159490110616589</v>
      </c>
      <c r="N542" s="72" t="n">
        <f aca="false">IF(N540&gt;0,N507/N540,0)</f>
        <v>0.156749831188451</v>
      </c>
      <c r="O542" s="72" t="n">
        <f aca="false">IF(O540&gt;0,O507/O540,0)</f>
        <v>0.154074621783395</v>
      </c>
    </row>
    <row r="543" customFormat="false" ht="15" hidden="false" customHeight="false" outlineLevel="0" collapsed="false">
      <c r="B543" s="65" t="s">
        <v>1068</v>
      </c>
      <c r="C543" s="75" t="n">
        <f aca="false">IF((C507+SUM(D498:G498)+SUM(D528:G528)+SUM(D529:G529)+SUM(D527:G527))&lt;=0,9.99,MIN(9.99,(C538+SUM(D526:G526)+SUM(D522:G523)+MAX(0,MIN($J$20*AN_cible,Emprunt_max*C540)-C539))/(C507+SUM(D498:G498)+SUM(D528:G528)+SUM(D529:G529)+SUM(D527:G527))))</f>
        <v>0.448656152991721</v>
      </c>
      <c r="D543" s="73" t="n">
        <f aca="false">IF((D507+SUM(E498:H498)+SUM(E528:H528)+SUM(E529:H529)+SUM(E527:H527))&lt;=0,9.99,MIN(9.99,(D538+SUM(E526:H526)+SUM(E522:H523)+MAX(0,MIN($J$20*AN_cible,Emprunt_max*D540)-D539))/(D507+SUM(E498:H498)+SUM(E528:H528)+SUM(E529:H529)+SUM(E527:H527))))</f>
        <v>0.356162625527498</v>
      </c>
      <c r="E543" s="73" t="n">
        <f aca="false">IF((E507+SUM(F498:I498)+SUM(F528:I528)+SUM(F529:I529)+SUM(F527:I527))&lt;=0,9.99,MIN(9.99,(E538+SUM(F526:I526)+SUM(F522:I523)+MAX(0,MIN($J$20*AN_cible,Emprunt_max*E540)-E539))/(E507+SUM(F498:I498)+SUM(F528:I528)+SUM(F529:I529)+SUM(F527:I527))))</f>
        <v>0.331676613213882</v>
      </c>
      <c r="F543" s="73" t="n">
        <f aca="false">IF((F507+SUM(G498:J498)+SUM(G528:J528)+SUM(G529:J529)+SUM(G527:J527))&lt;=0,9.99,MIN(9.99,(F538+SUM(G526:J526)+SUM(G522:J523)+MAX(0,MIN($J$20*AN_cible,Emprunt_max*F540)-F539))/(F507+SUM(G498:J498)+SUM(G528:J528)+SUM(G529:J529)+SUM(G527:J527))))</f>
        <v>0.20062881836784</v>
      </c>
      <c r="G543" s="73" t="n">
        <f aca="false">IF((G507+SUM(H498:K498)+SUM(H528:K528)+SUM(H529:K529)+SUM(H527:K527))&lt;=0,9.99,MIN(9.99,(G538+SUM(H526:K526)+SUM(H522:K523)+MAX(0,MIN($J$20*AN_cible,Emprunt_max*G540)-G539))/(G507+SUM(H498:K498)+SUM(H528:K528)+SUM(H529:K529)+SUM(H527:K527))))</f>
        <v>0.165544855138697</v>
      </c>
      <c r="H543" s="73" t="n">
        <f aca="false">IF((H507+SUM(I498:L498)+SUM(I528:L528)+SUM(I529:L529)+SUM(I527:L527))&lt;=0,9.99,MIN(9.99,(H538+SUM(I526:L526)+SUM(I522:L523)+MAX(0,MIN($J$20*AN_cible,Emprunt_max*H540)-H539))/(H507+SUM(I498:L498)+SUM(I528:L528)+SUM(I529:L529)+SUM(I527:L527))))</f>
        <v>0.168768091031348</v>
      </c>
      <c r="I543" s="73" t="n">
        <f aca="false">IF((I507+SUM(J498:M498)+SUM(J528:M528)+SUM(J529:M529)+SUM(J527:M527))&lt;=0,9.99,MIN(9.99,(I538+SUM(J526:M526)+SUM(J522:M523)+MAX(0,MIN($J$20*AN_cible,Emprunt_max*I540)-I539))/(I507+SUM(J498:M498)+SUM(J528:M528)+SUM(J529:M529)+SUM(J527:M527))))</f>
        <v>0.167563808648405</v>
      </c>
      <c r="J543" s="73" t="n">
        <f aca="false">IF((J507+SUM(K498:N498)+SUM(K528:N528)+SUM(K529:N529)+SUM(K527:N527))&lt;=0,9.99,MIN(9.99,(J538+SUM(K526:N526)+SUM(K522:N523)+MAX(0,MIN($J$20*AN_cible,Emprunt_max*J540)-J539))/(J507+SUM(K498:N498)+SUM(K528:N528)+SUM(K529:N529)+SUM(K527:N527))))</f>
        <v>0.214067183727455</v>
      </c>
      <c r="K543" s="73" t="n">
        <f aca="false">IF((K507+SUM(L498:O498)+SUM(L528:O528)+SUM(L529:O529)+SUM(L527:O527))&lt;=0,9.99,MIN(9.99,(K538+SUM(L526:O526)+SUM(L522:O523)+MAX(0,MIN($J$20*AN_cible,Emprunt_max*K540)-K539))/(K507+SUM(L498:O498)+SUM(L528:O528)+SUM(L529:O529)+SUM(L527:O527))))</f>
        <v>0.228999311128067</v>
      </c>
      <c r="L543" s="73" t="n">
        <f aca="false">IF((L507+SUM(M498:O498)+SUM(M528:O528)+SUM(M529:O529)+SUM(M527:O527))&lt;=0,9.99,MIN(9.99,(L538+SUM(M526:O526)+SUM(M522:O523)+MAX(0,MIN($J$20*AN_cible,Emprunt_max*L540)-L539))/(L507+SUM(M498:O498)+SUM(M528:O528)+SUM(M529:O529)+SUM(M527:O527))))</f>
        <v>0.188876255676793</v>
      </c>
      <c r="M543" s="73" t="n">
        <f aca="false">IF((M507+SUM(N498:O498)+SUM(N528:O528)+SUM(N529:O529)+SUM(N527:O527))&lt;=0,9.99,MIN(9.99,(M538+SUM(N526:O526)+SUM(N522:O523)+MAX(0,MIN($J$20*AN_cible,Emprunt_max*M540)-M539))/(M507+SUM(N498:O498)+SUM(N528:O528)+SUM(N529:O529)+SUM(N527:O527))))</f>
        <v>0.139811197420723</v>
      </c>
      <c r="N543" s="73" t="n">
        <f aca="false">IF((N507+SUM(O498:O498)+SUM(O528:O528)+SUM(O529:O529)+SUM(O527:O527))&lt;=0,9.99,MIN(9.99,(N538+SUM(O526:O526)+SUM(O522:O523)+MAX(0,MIN($J$20*AN_cible,Emprunt_max*N540)-N539))/(N507+SUM(O498:O498)+SUM(O528:O528)+SUM(O529:O529)+SUM(O527:O527))))</f>
        <v>0.11367795629284</v>
      </c>
      <c r="O543" s="73" t="n">
        <f aca="false">9.99</f>
        <v>9.99</v>
      </c>
    </row>
    <row r="544" customFormat="false" ht="15" hidden="false" customHeight="false" outlineLevel="0" collapsed="false">
      <c r="B544" s="65" t="s">
        <v>1069</v>
      </c>
      <c r="C544" s="72" t="n">
        <f aca="false">(C510+C511+C512+C513+C518+C519)/C540</f>
        <v>1</v>
      </c>
      <c r="D544" s="72" t="n">
        <f aca="false">(D510+D511+D512+D513+D518+D519)/D540</f>
        <v>1.04365455545878</v>
      </c>
      <c r="E544" s="72" t="n">
        <f aca="false">(E510+E511+E512+E513+E518+E519)/E540</f>
        <v>1.03517174847301</v>
      </c>
      <c r="F544" s="72" t="n">
        <f aca="false">(F510+F511+F512+F513+F518+F519)/F540</f>
        <v>1.08027366748806</v>
      </c>
      <c r="G544" s="72" t="n">
        <f aca="false">(G510+G511+G512+G513+G518+G519)/G540</f>
        <v>1.07141397875204</v>
      </c>
      <c r="H544" s="72" t="n">
        <f aca="false">(H510+H511+H512+H513+H518+H519)/H540</f>
        <v>1.06748567541044</v>
      </c>
      <c r="I544" s="72" t="n">
        <f aca="false">(I510+I511+I512+I513+I518+I519)/I540</f>
        <v>1.05309281145171</v>
      </c>
      <c r="J544" s="72" t="n">
        <f aca="false">(J510+J511+J512+J513+J518+J519)/J540</f>
        <v>1.04142210694374</v>
      </c>
      <c r="K544" s="72" t="n">
        <f aca="false">(K510+K511+K512+K513+K518+K519)/K540</f>
        <v>1.02715897888908</v>
      </c>
      <c r="L544" s="72" t="n">
        <f aca="false">(L510+L511+L512+L513+L518+L519)/L540</f>
        <v>1.01335538102106</v>
      </c>
      <c r="M544" s="72" t="n">
        <f aca="false">(M510+M511+M512+M513+M518+M519)/M540</f>
        <v>1</v>
      </c>
      <c r="N544" s="72" t="n">
        <f aca="false">(N510+N511+N512+N513+N518+N519)/N540</f>
        <v>0.993297844196091</v>
      </c>
      <c r="O544" s="72" t="n">
        <f aca="false">(O510+O511+O512+O513+O518+O519)/O540</f>
        <v>0.986799915361988</v>
      </c>
    </row>
    <row r="545" customFormat="false" ht="15" hidden="false" customHeight="false" outlineLevel="0" collapsed="false">
      <c r="B545" s="65" t="s">
        <v>849</v>
      </c>
      <c r="C545" s="72" t="n">
        <f aca="false">(C540+C539)/C540</f>
        <v>1</v>
      </c>
      <c r="D545" s="72" t="n">
        <f aca="false">(D540+D539)/D540</f>
        <v>1</v>
      </c>
      <c r="E545" s="72" t="n">
        <f aca="false">(E540+E539)/E540</f>
        <v>1</v>
      </c>
      <c r="F545" s="72" t="n">
        <f aca="false">(F540+F539)/F540</f>
        <v>1</v>
      </c>
      <c r="G545" s="72" t="n">
        <f aca="false">(G540+G539)/G540</f>
        <v>1</v>
      </c>
      <c r="H545" s="72" t="n">
        <f aca="false">(H540+H539)/H540</f>
        <v>1</v>
      </c>
      <c r="I545" s="72" t="n">
        <f aca="false">(I540+I539)/I540</f>
        <v>1</v>
      </c>
      <c r="J545" s="72" t="n">
        <f aca="false">(J540+J539)/J540</f>
        <v>1</v>
      </c>
      <c r="K545" s="72" t="n">
        <f aca="false">(K540+K539)/K540</f>
        <v>1</v>
      </c>
      <c r="L545" s="72" t="n">
        <f aca="false">(L540+L539)/L540</f>
        <v>1</v>
      </c>
      <c r="M545" s="72" t="n">
        <f aca="false">(M540+M539)/M540</f>
        <v>1</v>
      </c>
      <c r="N545" s="72" t="n">
        <f aca="false">(N540+N539)/N540</f>
        <v>1</v>
      </c>
      <c r="O545" s="72" t="n">
        <f aca="false">(O540+O539)/O540</f>
        <v>1</v>
      </c>
    </row>
    <row r="546" customFormat="false" ht="15" hidden="false" customHeight="false" outlineLevel="0" collapsed="false">
      <c r="B546" s="65" t="s">
        <v>1070</v>
      </c>
      <c r="C546" s="72" t="n">
        <f aca="false">(C510+C511*MSIG_USD)/C540</f>
        <v>0.25</v>
      </c>
      <c r="D546" s="72" t="n">
        <f aca="false">(D510+D511*MSIG_USD)/D540</f>
        <v>0.276664550985139</v>
      </c>
      <c r="E546" s="72" t="n">
        <f aca="false">(E510+E511*MSIG_USD)/E540</f>
        <v>0.290044333276466</v>
      </c>
      <c r="F546" s="72" t="n">
        <f aca="false">(F510+F511*MSIG_USD)/F540</f>
        <v>0.318972648274705</v>
      </c>
      <c r="G546" s="72" t="n">
        <f aca="false">(G510+G511*MSIG_USD)/G540</f>
        <v>0.332472398812865</v>
      </c>
      <c r="H546" s="72" t="n">
        <f aca="false">(H510+H511*MSIG_USD)/H540</f>
        <v>0.340016075627016</v>
      </c>
      <c r="I546" s="72" t="n">
        <f aca="false">(I510+I511*MSIG_USD)/I540</f>
        <v>0.345161453318414</v>
      </c>
      <c r="J546" s="72" t="n">
        <f aca="false">(J510+J511*MSIG_USD)/J540</f>
        <v>0.350462287703609</v>
      </c>
      <c r="K546" s="72" t="n">
        <f aca="false">(K510+K511*MSIG_USD)/K540</f>
        <v>0.355524828363284</v>
      </c>
      <c r="L546" s="72" t="n">
        <f aca="false">(L510+L511*MSIG_USD)/L540</f>
        <v>0.360452685771239</v>
      </c>
      <c r="M546" s="72" t="n">
        <f aca="false">(M510+M511*MSIG_USD)/M540</f>
        <v>0.365250240768943</v>
      </c>
      <c r="N546" s="72" t="n">
        <f aca="false">(N510+N511*MSIG_USD)/N540</f>
        <v>0.364440083254379</v>
      </c>
      <c r="O546" s="72" t="n">
        <f aca="false">(O510+O511*MSIG_USD)/O540</f>
        <v>0.363674180989977</v>
      </c>
    </row>
    <row r="547" customFormat="false" ht="15" hidden="false" customHeight="false" outlineLevel="0" collapsed="false">
      <c r="B547" s="65" t="s">
        <v>1071</v>
      </c>
      <c r="C547" s="25"/>
      <c r="D547" s="65" t="n">
        <f aca="false">IF(AND($J$9&lt;0.5*Collecte_norm,IF(D491&lt;=$J$11,0,$J$10)&lt;0.5,IF(D491&lt;=4,$J$17,($J$18+$J$19)/2)&lt;0.7),1,0)</f>
        <v>1</v>
      </c>
      <c r="E547" s="65" t="n">
        <f aca="false">IF(AND($J$9&lt;0.5*Collecte_norm,IF(E491&lt;=$J$11,0,$J$10)&lt;0.5,IF(E491&lt;=4,$J$17,($J$18+$J$19)/2)&lt;0.7),1,0)</f>
        <v>1</v>
      </c>
      <c r="F547" s="65" t="n">
        <f aca="false">IF(AND($J$9&lt;0.5*Collecte_norm,IF(F491&lt;=$J$11,0,$J$10)&lt;0.5,IF(F491&lt;=4,$J$17,($J$18+$J$19)/2)&lt;0.7),1,0)</f>
        <v>1</v>
      </c>
      <c r="G547" s="65" t="n">
        <f aca="false">IF(AND($J$9&lt;0.5*Collecte_norm,IF(G491&lt;=$J$11,0,$J$10)&lt;0.5,IF(G491&lt;=4,$J$17,($J$18+$J$19)/2)&lt;0.7),1,0)</f>
        <v>1</v>
      </c>
      <c r="H547" s="65" t="n">
        <f aca="false">IF(AND($J$9&lt;0.5*Collecte_norm,IF(H491&lt;=$J$11,0,$J$10)&lt;0.5,IF(H491&lt;=4,$J$17,($J$18+$J$19)/2)&lt;0.7),1,0)</f>
        <v>0</v>
      </c>
      <c r="I547" s="65" t="n">
        <f aca="false">IF(AND($J$9&lt;0.5*Collecte_norm,IF(I491&lt;=$J$11,0,$J$10)&lt;0.5,IF(I491&lt;=4,$J$17,($J$18+$J$19)/2)&lt;0.7),1,0)</f>
        <v>0</v>
      </c>
      <c r="J547" s="65" t="n">
        <f aca="false">IF(AND($J$9&lt;0.5*Collecte_norm,IF(J491&lt;=$J$11,0,$J$10)&lt;0.5,IF(J491&lt;=4,$J$17,($J$18+$J$19)/2)&lt;0.7),1,0)</f>
        <v>0</v>
      </c>
      <c r="K547" s="65" t="n">
        <f aca="false">IF(AND($J$9&lt;0.5*Collecte_norm,IF(K491&lt;=$J$11,0,$J$10)&lt;0.5,IF(K491&lt;=4,$J$17,($J$18+$J$19)/2)&lt;0.7),1,0)</f>
        <v>0</v>
      </c>
      <c r="L547" s="65" t="n">
        <f aca="false">IF(AND($J$9&lt;0.5*Collecte_norm,IF(L491&lt;=$J$11,0,$J$10)&lt;0.5,IF(L491&lt;=4,$J$17,($J$18+$J$19)/2)&lt;0.7),1,0)</f>
        <v>0</v>
      </c>
      <c r="M547" s="65" t="n">
        <f aca="false">IF(AND($J$9&lt;0.5*Collecte_norm,IF(M491&lt;=$J$11,0,$J$10)&lt;0.5,IF(M491&lt;=4,$J$17,($J$18+$J$19)/2)&lt;0.7),1,0)</f>
        <v>0</v>
      </c>
      <c r="N547" s="65" t="n">
        <f aca="false">IF(AND($J$9&lt;0.5*Collecte_norm,IF(N491&lt;=$J$11,0,$J$10)&lt;0.5,IF(N491&lt;=4,$J$17,($J$18+$J$19)/2)&lt;0.7),1,0)</f>
        <v>0</v>
      </c>
      <c r="O547" s="65" t="n">
        <f aca="false">IF(AND($J$9&lt;0.5*Collecte_norm,IF(O491&lt;=$J$11,0,$J$10)&lt;0.5,IF(O491&lt;=4,$J$17,($J$18+$J$19)/2)&lt;0.7),1,0)</f>
        <v>0</v>
      </c>
    </row>
    <row r="548" customFormat="false" ht="15" hidden="false" customHeight="false" outlineLevel="0" collapsed="false">
      <c r="B548" s="76" t="s">
        <v>1072</v>
      </c>
      <c r="C548" s="76" t="n">
        <v>99</v>
      </c>
      <c r="D548" s="76" t="n">
        <f aca="false">IF(D508=1,D494,99)</f>
        <v>1</v>
      </c>
      <c r="E548" s="76" t="n">
        <f aca="false">IF(E508=1,E494,99)</f>
        <v>99</v>
      </c>
      <c r="F548" s="76" t="n">
        <f aca="false">IF(F508=1,F494,99)</f>
        <v>2</v>
      </c>
      <c r="G548" s="76" t="n">
        <f aca="false">IF(G508=1,G494,99)</f>
        <v>99</v>
      </c>
      <c r="H548" s="76" t="n">
        <f aca="false">IF(H508=1,H494,99)</f>
        <v>3</v>
      </c>
      <c r="I548" s="76" t="n">
        <f aca="false">IF(I508=1,I494,99)</f>
        <v>99</v>
      </c>
      <c r="J548" s="76" t="n">
        <f aca="false">IF(J508=1,J494,99)</f>
        <v>4</v>
      </c>
      <c r="K548" s="76" t="n">
        <f aca="false">IF(K508=1,K494,99)</f>
        <v>99</v>
      </c>
      <c r="L548" s="76" t="n">
        <f aca="false">IF(L508=1,L494,99)</f>
        <v>99</v>
      </c>
      <c r="M548" s="76" t="n">
        <f aca="false">IF(M508=1,M494,99)</f>
        <v>99</v>
      </c>
      <c r="N548" s="76" t="n">
        <f aca="false">IF(N508=1,N494,99)</f>
        <v>99</v>
      </c>
      <c r="O548" s="76" t="n">
        <f aca="false">IF(O508=1,O494,99)</f>
        <v>99</v>
      </c>
    </row>
    <row r="549" customFormat="false" ht="15" hidden="false" customHeight="false" outlineLevel="0" collapsed="false">
      <c r="B549" s="76" t="s">
        <v>1073</v>
      </c>
      <c r="C549" s="76" t="n">
        <v>99</v>
      </c>
      <c r="D549" s="76" t="n">
        <f aca="false">IF(AND(D493=1,D494&gt;MIN($D548:$O548),D507&lt;=0.000001),D494,99)</f>
        <v>99</v>
      </c>
      <c r="E549" s="76" t="n">
        <f aca="false">IF(AND(E493=1,E494&gt;MIN($D548:$O548),E507&lt;=0.000001),E494,99)</f>
        <v>99</v>
      </c>
      <c r="F549" s="76" t="n">
        <f aca="false">IF(AND(F493=1,F494&gt;MIN($D548:$O548),F507&lt;=0.000001),F494,99)</f>
        <v>99</v>
      </c>
      <c r="G549" s="76" t="n">
        <f aca="false">IF(AND(G493=1,G494&gt;MIN($D548:$O548),G507&lt;=0.000001),G494,99)</f>
        <v>99</v>
      </c>
      <c r="H549" s="76" t="n">
        <f aca="false">IF(AND(H493=1,H494&gt;MIN($D548:$O548),H507&lt;=0.000001),H494,99)</f>
        <v>99</v>
      </c>
      <c r="I549" s="76" t="n">
        <f aca="false">IF(AND(I493=1,I494&gt;MIN($D548:$O548),I507&lt;=0.000001),I494,99)</f>
        <v>99</v>
      </c>
      <c r="J549" s="76" t="n">
        <f aca="false">IF(AND(J493=1,J494&gt;MIN($D548:$O548),J507&lt;=0.000001),J494,99)</f>
        <v>99</v>
      </c>
      <c r="K549" s="76" t="n">
        <f aca="false">IF(AND(K493=1,K494&gt;MIN($D548:$O548),K507&lt;=0.000001),K494,99)</f>
        <v>99</v>
      </c>
      <c r="L549" s="76" t="n">
        <f aca="false">IF(AND(L493=1,L494&gt;MIN($D548:$O548),L507&lt;=0.000001),L494,99)</f>
        <v>99</v>
      </c>
      <c r="M549" s="76" t="n">
        <f aca="false">IF(AND(M493=1,M494&gt;MIN($D548:$O548),M507&lt;=0.000001),M494,99)</f>
        <v>99</v>
      </c>
      <c r="N549" s="76" t="n">
        <f aca="false">IF(AND(N493=1,N494&gt;MIN($D548:$O548),N507&lt;=0.000001),N494,99)</f>
        <v>99</v>
      </c>
      <c r="O549" s="76" t="n">
        <f aca="false">IF(AND(O493=1,O494&gt;MIN($D548:$O548),O507&lt;=0.000001),O494,99)</f>
        <v>99</v>
      </c>
    </row>
    <row r="550" customFormat="false" ht="15" hidden="false" customHeight="false" outlineLevel="0" collapsed="false">
      <c r="B550" s="76" t="s">
        <v>1074</v>
      </c>
      <c r="C550" s="76" t="n">
        <v>9999999</v>
      </c>
      <c r="D550" s="76" t="n">
        <f aca="false">IF(D505=1,D492,9999999)</f>
        <v>9999999</v>
      </c>
      <c r="E550" s="76" t="n">
        <f aca="false">IF(E505=1,E492,9999999)</f>
        <v>9999999</v>
      </c>
      <c r="F550" s="76" t="n">
        <f aca="false">IF(F505=1,F492,9999999)</f>
        <v>9999999</v>
      </c>
      <c r="G550" s="76" t="n">
        <f aca="false">IF(G505=1,G492,9999999)</f>
        <v>9999999</v>
      </c>
      <c r="H550" s="76" t="n">
        <f aca="false">IF(H505=1,H492,9999999)</f>
        <v>9999999</v>
      </c>
      <c r="I550" s="76" t="n">
        <f aca="false">IF(I505=1,I492,9999999)</f>
        <v>9999999</v>
      </c>
      <c r="J550" s="76" t="n">
        <f aca="false">IF(J505=1,J492,9999999)</f>
        <v>9999999</v>
      </c>
      <c r="K550" s="76" t="n">
        <f aca="false">IF(K505=1,K492,9999999)</f>
        <v>9999999</v>
      </c>
      <c r="L550" s="77" t="n">
        <f aca="false">IF(L505=1,L492,9999999)</f>
        <v>47848</v>
      </c>
      <c r="M550" s="77" t="n">
        <f aca="false">IF(M505=1,M492,9999999)</f>
        <v>47938</v>
      </c>
      <c r="N550" s="77" t="n">
        <f aca="false">IF(N505=1,N492,9999999)</f>
        <v>48029</v>
      </c>
      <c r="O550" s="77" t="n">
        <f aca="false">IF(O505=1,O492,9999999)</f>
        <v>48121</v>
      </c>
    </row>
    <row r="551" customFormat="false" ht="15" hidden="false" customHeight="false" outlineLevel="0" collapsed="false">
      <c r="B551" s="76" t="s">
        <v>1075</v>
      </c>
      <c r="C551" s="76" t="n">
        <v>9999999</v>
      </c>
      <c r="D551" s="77" t="n">
        <f aca="false">IF(D547=1,D492,9999999)</f>
        <v>47118</v>
      </c>
      <c r="E551" s="77" t="n">
        <f aca="false">IF(E547=1,E492,9999999)</f>
        <v>47208</v>
      </c>
      <c r="F551" s="77" t="n">
        <f aca="false">IF(F547=1,F492,9999999)</f>
        <v>47299</v>
      </c>
      <c r="G551" s="77" t="n">
        <f aca="false">IF(G547=1,G492,9999999)</f>
        <v>47391</v>
      </c>
      <c r="H551" s="76" t="n">
        <f aca="false">IF(H547=1,H492,9999999)</f>
        <v>9999999</v>
      </c>
      <c r="I551" s="76" t="n">
        <f aca="false">IF(I547=1,I492,9999999)</f>
        <v>9999999</v>
      </c>
      <c r="J551" s="76" t="n">
        <f aca="false">IF(J547=1,J492,9999999)</f>
        <v>9999999</v>
      </c>
      <c r="K551" s="76" t="n">
        <f aca="false">IF(K547=1,K492,9999999)</f>
        <v>9999999</v>
      </c>
      <c r="L551" s="76" t="n">
        <f aca="false">IF(L547=1,L492,9999999)</f>
        <v>9999999</v>
      </c>
      <c r="M551" s="76" t="n">
        <f aca="false">IF(M547=1,M492,9999999)</f>
        <v>9999999</v>
      </c>
      <c r="N551" s="76" t="n">
        <f aca="false">IF(N547=1,N492,9999999)</f>
        <v>9999999</v>
      </c>
      <c r="O551" s="76" t="n">
        <f aca="false">IF(O547=1,O492,9999999)</f>
        <v>9999999</v>
      </c>
    </row>
    <row r="556" customFormat="false" ht="15" hidden="false" customHeight="false" outlineLevel="0" collapsed="false">
      <c r="B556" s="45" t="str">
        <f aca="false">K$5</f>
        <v>Fonds evergreen au prorata</v>
      </c>
      <c r="C556" s="45" t="s">
        <v>55</v>
      </c>
      <c r="D556" s="45" t="n">
        <v>9</v>
      </c>
      <c r="E556" s="2"/>
      <c r="F556" s="2"/>
      <c r="G556" s="2"/>
      <c r="H556" s="2"/>
      <c r="I556" s="2"/>
      <c r="J556" s="2"/>
      <c r="K556" s="2"/>
      <c r="L556" s="2"/>
      <c r="M556" s="2"/>
      <c r="N556" s="2"/>
      <c r="O556" s="2"/>
    </row>
    <row r="557" customFormat="false" ht="15" hidden="false" customHeight="false" outlineLevel="0" collapsed="false">
      <c r="B557" s="65" t="s">
        <v>1019</v>
      </c>
      <c r="C557" s="65" t="n">
        <v>0</v>
      </c>
      <c r="D557" s="65" t="n">
        <v>1</v>
      </c>
      <c r="E557" s="65" t="n">
        <v>2</v>
      </c>
      <c r="F557" s="65" t="n">
        <v>3</v>
      </c>
      <c r="G557" s="65" t="n">
        <v>4</v>
      </c>
      <c r="H557" s="65" t="n">
        <v>5</v>
      </c>
      <c r="I557" s="65" t="n">
        <v>6</v>
      </c>
      <c r="J557" s="65" t="n">
        <v>7</v>
      </c>
      <c r="K557" s="65" t="n">
        <v>8</v>
      </c>
      <c r="L557" s="65" t="n">
        <v>9</v>
      </c>
      <c r="M557" s="65" t="n">
        <v>10</v>
      </c>
      <c r="N557" s="65" t="n">
        <v>11</v>
      </c>
      <c r="O557" s="65" t="n">
        <v>12</v>
      </c>
    </row>
    <row r="558" customFormat="false" ht="15" hidden="false" customHeight="false" outlineLevel="0" collapsed="false">
      <c r="B558" s="65" t="s">
        <v>209</v>
      </c>
      <c r="C558" s="71" t="n">
        <f aca="false">Date_depart</f>
        <v>47026</v>
      </c>
      <c r="D558" s="71" t="n">
        <f aca="false">EOMONTH(Date_depart,3*D557)</f>
        <v>47118</v>
      </c>
      <c r="E558" s="71" t="n">
        <f aca="false">EOMONTH(Date_depart,3*E557)</f>
        <v>47208</v>
      </c>
      <c r="F558" s="71" t="n">
        <f aca="false">EOMONTH(Date_depart,3*F557)</f>
        <v>47299</v>
      </c>
      <c r="G558" s="71" t="n">
        <f aca="false">EOMONTH(Date_depart,3*G557)</f>
        <v>47391</v>
      </c>
      <c r="H558" s="71" t="n">
        <f aca="false">EOMONTH(Date_depart,3*H557)</f>
        <v>47483</v>
      </c>
      <c r="I558" s="71" t="n">
        <f aca="false">EOMONTH(Date_depart,3*I557)</f>
        <v>47573</v>
      </c>
      <c r="J558" s="71" t="n">
        <f aca="false">EOMONTH(Date_depart,3*J557)</f>
        <v>47664</v>
      </c>
      <c r="K558" s="71" t="n">
        <f aca="false">EOMONTH(Date_depart,3*K557)</f>
        <v>47756</v>
      </c>
      <c r="L558" s="71" t="n">
        <f aca="false">EOMONTH(Date_depart,3*L557)</f>
        <v>47848</v>
      </c>
      <c r="M558" s="71" t="n">
        <f aca="false">EOMONTH(Date_depart,3*M557)</f>
        <v>47938</v>
      </c>
      <c r="N558" s="71" t="n">
        <f aca="false">EOMONTH(Date_depart,3*N557)</f>
        <v>48029</v>
      </c>
      <c r="O558" s="71" t="n">
        <f aca="false">EOMONTH(Date_depart,3*O557)</f>
        <v>48121</v>
      </c>
    </row>
    <row r="559" customFormat="false" ht="15" hidden="false" customHeight="false" outlineLevel="0" collapsed="false">
      <c r="B559" s="65" t="s">
        <v>1020</v>
      </c>
      <c r="C559" s="65" t="n">
        <v>0</v>
      </c>
      <c r="D559" s="65" t="n">
        <f aca="false">IF(OR(MONTH(D558)=6,MONTH(D558)=12),1,0)</f>
        <v>1</v>
      </c>
      <c r="E559" s="65" t="n">
        <f aca="false">IF(OR(MONTH(E558)=6,MONTH(E558)=12),1,0)</f>
        <v>0</v>
      </c>
      <c r="F559" s="65" t="n">
        <f aca="false">IF(OR(MONTH(F558)=6,MONTH(F558)=12),1,0)</f>
        <v>1</v>
      </c>
      <c r="G559" s="65" t="n">
        <f aca="false">IF(OR(MONTH(G558)=6,MONTH(G558)=12),1,0)</f>
        <v>0</v>
      </c>
      <c r="H559" s="65" t="n">
        <f aca="false">IF(OR(MONTH(H558)=6,MONTH(H558)=12),1,0)</f>
        <v>1</v>
      </c>
      <c r="I559" s="65" t="n">
        <f aca="false">IF(OR(MONTH(I558)=6,MONTH(I558)=12),1,0)</f>
        <v>0</v>
      </c>
      <c r="J559" s="65" t="n">
        <f aca="false">IF(OR(MONTH(J558)=6,MONTH(J558)=12),1,0)</f>
        <v>1</v>
      </c>
      <c r="K559" s="65" t="n">
        <f aca="false">IF(OR(MONTH(K558)=6,MONTH(K558)=12),1,0)</f>
        <v>0</v>
      </c>
      <c r="L559" s="65" t="n">
        <f aca="false">IF(OR(MONTH(L558)=6,MONTH(L558)=12),1,0)</f>
        <v>1</v>
      </c>
      <c r="M559" s="65" t="n">
        <f aca="false">IF(OR(MONTH(M558)=6,MONTH(M558)=12),1,0)</f>
        <v>0</v>
      </c>
      <c r="N559" s="65" t="n">
        <f aca="false">IF(OR(MONTH(N558)=6,MONTH(N558)=12),1,0)</f>
        <v>1</v>
      </c>
      <c r="O559" s="65" t="n">
        <f aca="false">IF(OR(MONTH(O558)=6,MONTH(O558)=12),1,0)</f>
        <v>0</v>
      </c>
    </row>
    <row r="560" customFormat="false" ht="15" hidden="false" customHeight="false" outlineLevel="0" collapsed="false">
      <c r="B560" s="65" t="s">
        <v>1021</v>
      </c>
      <c r="C560" s="65" t="n">
        <v>0</v>
      </c>
      <c r="D560" s="65" t="n">
        <f aca="false">C560+D559</f>
        <v>1</v>
      </c>
      <c r="E560" s="65" t="n">
        <f aca="false">D560+E559</f>
        <v>1</v>
      </c>
      <c r="F560" s="65" t="n">
        <f aca="false">E560+F559</f>
        <v>2</v>
      </c>
      <c r="G560" s="65" t="n">
        <f aca="false">F560+G559</f>
        <v>2</v>
      </c>
      <c r="H560" s="65" t="n">
        <f aca="false">G560+H559</f>
        <v>3</v>
      </c>
      <c r="I560" s="65" t="n">
        <f aca="false">H560+I559</f>
        <v>3</v>
      </c>
      <c r="J560" s="65" t="n">
        <f aca="false">I560+J559</f>
        <v>4</v>
      </c>
      <c r="K560" s="65" t="n">
        <f aca="false">J560+K559</f>
        <v>4</v>
      </c>
      <c r="L560" s="65" t="n">
        <f aca="false">K560+L559</f>
        <v>5</v>
      </c>
      <c r="M560" s="65" t="n">
        <f aca="false">L560+M559</f>
        <v>5</v>
      </c>
      <c r="N560" s="65" t="n">
        <f aca="false">M560+N559</f>
        <v>6</v>
      </c>
      <c r="O560" s="65" t="n">
        <f aca="false">N560+O559</f>
        <v>6</v>
      </c>
    </row>
    <row r="561" customFormat="false" ht="15" hidden="false" customHeight="false" outlineLevel="0" collapsed="false">
      <c r="B561" s="65" t="s">
        <v>1022</v>
      </c>
      <c r="C561" s="25"/>
      <c r="D561" s="72" t="n">
        <f aca="false">IF(D559=1,IF(C571=1,0,IF(D560=1,$K$6,IF(D560=2,$K$7,$K$8))),0)</f>
        <v>0.02</v>
      </c>
      <c r="E561" s="72" t="n">
        <f aca="false">IF(E559=1,IF(D571=1,0,IF(E560=1,$K$6,IF(E560=2,$K$7,$K$8))),0)</f>
        <v>0</v>
      </c>
      <c r="F561" s="72" t="n">
        <f aca="false">IF(F559=1,IF(E571=1,0,IF(F560=1,$K$6,IF(F560=2,$K$7,$K$8))),0)</f>
        <v>0.02</v>
      </c>
      <c r="G561" s="72" t="n">
        <f aca="false">IF(G559=1,IF(F571=1,0,IF(G560=1,$K$6,IF(G560=2,$K$7,$K$8))),0)</f>
        <v>0</v>
      </c>
      <c r="H561" s="72" t="n">
        <f aca="false">IF(H559=1,IF(G571=1,0,IF(H560=1,$K$6,IF(H560=2,$K$7,$K$8))),0)</f>
        <v>0.02</v>
      </c>
      <c r="I561" s="72" t="n">
        <f aca="false">IF(I559=1,IF(H571=1,0,IF(I560=1,$K$6,IF(I560=2,$K$7,$K$8))),0)</f>
        <v>0</v>
      </c>
      <c r="J561" s="72" t="n">
        <f aca="false">IF(J559=1,IF(I571=1,0,IF(J560=1,$K$6,IF(J560=2,$K$7,$K$8))),0)</f>
        <v>0.02</v>
      </c>
      <c r="K561" s="72" t="n">
        <f aca="false">IF(K559=1,IF(J571=1,0,IF(K560=1,$K$6,IF(K560=2,$K$7,$K$8))),0)</f>
        <v>0</v>
      </c>
      <c r="L561" s="72" t="n">
        <f aca="false">IF(L559=1,IF(K571=1,0,IF(L560=1,$K$6,IF(L560=2,$K$7,$K$8))),0)</f>
        <v>0.02</v>
      </c>
      <c r="M561" s="72" t="n">
        <f aca="false">IF(M559=1,IF(L571=1,0,IF(M560=1,$K$6,IF(M560=2,$K$7,$K$8))),0)</f>
        <v>0</v>
      </c>
      <c r="N561" s="72" t="n">
        <f aca="false">IF(N559=1,IF(M571=1,0,IF(N560=1,$K$6,IF(N560=2,$K$7,$K$8))),0)</f>
        <v>0.02</v>
      </c>
      <c r="O561" s="72" t="n">
        <f aca="false">IF(O559=1,IF(N571=1,0,IF(O560=1,$K$6,IF(O560=2,$K$7,$K$8))),0)</f>
        <v>0</v>
      </c>
    </row>
    <row r="562" customFormat="false" ht="15" hidden="false" customHeight="false" outlineLevel="0" collapsed="false">
      <c r="B562" s="65" t="s">
        <v>1023</v>
      </c>
      <c r="C562" s="25"/>
      <c r="D562" s="73" t="n">
        <f aca="false">C606</f>
        <v>50000000</v>
      </c>
      <c r="E562" s="73" t="n">
        <f aca="false">D606</f>
        <v>49615956.25</v>
      </c>
      <c r="F562" s="73" t="n">
        <f aca="false">E606</f>
        <v>50364702.9320313</v>
      </c>
      <c r="G562" s="73" t="n">
        <f aca="false">F606</f>
        <v>50115491.7136237</v>
      </c>
      <c r="H562" s="73" t="n">
        <f aca="false">G606</f>
        <v>50881792.6889169</v>
      </c>
      <c r="I562" s="73" t="n">
        <f aca="false">H606</f>
        <v>50654334.1880888</v>
      </c>
      <c r="J562" s="73" t="n">
        <f aca="false">I606</f>
        <v>51456641.8088835</v>
      </c>
      <c r="K562" s="73" t="n">
        <f aca="false">J606</f>
        <v>51243327.1548693</v>
      </c>
      <c r="L562" s="73" t="n">
        <f aca="false">K606</f>
        <v>52071480.0521245</v>
      </c>
      <c r="M562" s="73" t="n">
        <f aca="false">L606</f>
        <v>51871934.1796922</v>
      </c>
      <c r="N562" s="73" t="n">
        <f aca="false">M606</f>
        <v>52726359.0028733</v>
      </c>
      <c r="O562" s="73" t="n">
        <f aca="false">N606</f>
        <v>52540210.7000988</v>
      </c>
    </row>
    <row r="563" customFormat="false" ht="15" hidden="false" customHeight="false" outlineLevel="0" collapsed="false">
      <c r="B563" s="65" t="s">
        <v>177</v>
      </c>
      <c r="C563" s="25"/>
      <c r="D563" s="73" t="n">
        <f aca="false">IF(C571=1,0,$K$9*D562)</f>
        <v>0</v>
      </c>
      <c r="E563" s="73" t="n">
        <f aca="false">IF(D571=1,0,$K$9*E562)</f>
        <v>0</v>
      </c>
      <c r="F563" s="73" t="n">
        <f aca="false">IF(E571=1,0,$K$9*F562)</f>
        <v>0</v>
      </c>
      <c r="G563" s="73" t="n">
        <f aca="false">IF(F571=1,0,$K$9*G562)</f>
        <v>0</v>
      </c>
      <c r="H563" s="73" t="n">
        <f aca="false">IF(G571=1,0,$K$9*H562)</f>
        <v>0</v>
      </c>
      <c r="I563" s="73" t="n">
        <f aca="false">IF(H571=1,0,$K$9*I562)</f>
        <v>0</v>
      </c>
      <c r="J563" s="73" t="n">
        <f aca="false">IF(I571=1,0,$K$9*J562)</f>
        <v>0</v>
      </c>
      <c r="K563" s="73" t="n">
        <f aca="false">IF(J571=1,0,$K$9*K562)</f>
        <v>0</v>
      </c>
      <c r="L563" s="73" t="n">
        <f aca="false">IF(K571=1,0,$K$9*L562)</f>
        <v>0</v>
      </c>
      <c r="M563" s="73" t="n">
        <f aca="false">IF(L571=1,0,$K$9*M562)</f>
        <v>0</v>
      </c>
      <c r="N563" s="73" t="n">
        <f aca="false">IF(M571=1,0,$K$9*N562)</f>
        <v>0</v>
      </c>
      <c r="O563" s="73" t="n">
        <f aca="false">IF(N571=1,0,$K$9*O562)</f>
        <v>0</v>
      </c>
    </row>
    <row r="564" customFormat="false" ht="15" hidden="false" customHeight="false" outlineLevel="0" collapsed="false">
      <c r="B564" s="65" t="s">
        <v>1024</v>
      </c>
      <c r="C564" s="25"/>
      <c r="D564" s="73" t="n">
        <f aca="false">D561*D562</f>
        <v>1000000</v>
      </c>
      <c r="E564" s="73" t="n">
        <f aca="false">E561*E562</f>
        <v>0</v>
      </c>
      <c r="F564" s="73" t="n">
        <f aca="false">F561*F562</f>
        <v>1007294.05864063</v>
      </c>
      <c r="G564" s="73" t="n">
        <f aca="false">G561*G562</f>
        <v>0</v>
      </c>
      <c r="H564" s="73" t="n">
        <f aca="false">H561*H562</f>
        <v>1017635.85377834</v>
      </c>
      <c r="I564" s="73" t="n">
        <f aca="false">I561*I562</f>
        <v>0</v>
      </c>
      <c r="J564" s="73" t="n">
        <f aca="false">J561*J562</f>
        <v>1029132.83617767</v>
      </c>
      <c r="K564" s="73" t="n">
        <f aca="false">K561*K562</f>
        <v>0</v>
      </c>
      <c r="L564" s="73" t="n">
        <f aca="false">L561*L562</f>
        <v>1041429.60104249</v>
      </c>
      <c r="M564" s="73" t="n">
        <f aca="false">M561*M562</f>
        <v>0</v>
      </c>
      <c r="N564" s="73" t="n">
        <f aca="false">N561*N562</f>
        <v>1054527.18005747</v>
      </c>
      <c r="O564" s="73" t="n">
        <f aca="false">O561*O562</f>
        <v>0</v>
      </c>
    </row>
    <row r="565" customFormat="false" ht="15" hidden="false" customHeight="false" outlineLevel="0" collapsed="false">
      <c r="B565" s="65" t="s">
        <v>1025</v>
      </c>
      <c r="C565" s="25"/>
      <c r="D565" s="73" t="n">
        <f aca="false">C573</f>
        <v>0</v>
      </c>
      <c r="E565" s="73" t="n">
        <f aca="false">D573</f>
        <v>0</v>
      </c>
      <c r="F565" s="73" t="n">
        <f aca="false">E573</f>
        <v>0</v>
      </c>
      <c r="G565" s="73" t="n">
        <f aca="false">F573</f>
        <v>0</v>
      </c>
      <c r="H565" s="73" t="n">
        <f aca="false">G573</f>
        <v>0</v>
      </c>
      <c r="I565" s="73" t="n">
        <f aca="false">H573</f>
        <v>0</v>
      </c>
      <c r="J565" s="73" t="n">
        <f aca="false">I573</f>
        <v>0</v>
      </c>
      <c r="K565" s="73" t="n">
        <f aca="false">J573</f>
        <v>0</v>
      </c>
      <c r="L565" s="73" t="n">
        <f aca="false">K573</f>
        <v>0</v>
      </c>
      <c r="M565" s="73" t="n">
        <f aca="false">L573</f>
        <v>0</v>
      </c>
      <c r="N565" s="73" t="n">
        <f aca="false">M573</f>
        <v>0</v>
      </c>
      <c r="O565" s="73" t="n">
        <f aca="false">N573</f>
        <v>0</v>
      </c>
    </row>
    <row r="566" customFormat="false" ht="15" hidden="false" customHeight="false" outlineLevel="0" collapsed="false">
      <c r="B566" s="65" t="s">
        <v>1026</v>
      </c>
      <c r="C566" s="25"/>
      <c r="D566" s="73" t="n">
        <f aca="false">D564+D565</f>
        <v>1000000</v>
      </c>
      <c r="E566" s="73" t="n">
        <f aca="false">E564+E565</f>
        <v>0</v>
      </c>
      <c r="F566" s="73" t="n">
        <f aca="false">F564+F565</f>
        <v>1007294.05864063</v>
      </c>
      <c r="G566" s="73" t="n">
        <f aca="false">G564+G565</f>
        <v>0</v>
      </c>
      <c r="H566" s="73" t="n">
        <f aca="false">H564+H565</f>
        <v>1017635.85377834</v>
      </c>
      <c r="I566" s="73" t="n">
        <f aca="false">I564+I565</f>
        <v>0</v>
      </c>
      <c r="J566" s="73" t="n">
        <f aca="false">J564+J565</f>
        <v>1029132.83617767</v>
      </c>
      <c r="K566" s="73" t="n">
        <f aca="false">K564+K565</f>
        <v>0</v>
      </c>
      <c r="L566" s="73" t="n">
        <f aca="false">L564+L565</f>
        <v>1041429.60104249</v>
      </c>
      <c r="M566" s="73" t="n">
        <f aca="false">M564+M565</f>
        <v>0</v>
      </c>
      <c r="N566" s="73" t="n">
        <f aca="false">N564+N565</f>
        <v>1054527.18005747</v>
      </c>
      <c r="O566" s="73" t="n">
        <f aca="false">O564+O565</f>
        <v>0</v>
      </c>
    </row>
    <row r="567" customFormat="false" ht="15" hidden="false" customHeight="false" outlineLevel="0" collapsed="false">
      <c r="B567" s="65" t="s">
        <v>1027</v>
      </c>
      <c r="C567" s="25"/>
      <c r="D567" s="73" t="n">
        <f aca="false">IF($K$21=1,Gate*D562+D563,D566)</f>
        <v>2500000</v>
      </c>
      <c r="E567" s="73" t="n">
        <f aca="false">IF($K$21=1,Gate*E562+E563,E566)</f>
        <v>2480797.8125</v>
      </c>
      <c r="F567" s="73" t="n">
        <f aca="false">IF($K$21=1,Gate*F562+F563,F566)</f>
        <v>2518235.14660156</v>
      </c>
      <c r="G567" s="73" t="n">
        <f aca="false">IF($K$21=1,Gate*G562+G563,G566)</f>
        <v>2505774.58568118</v>
      </c>
      <c r="H567" s="73" t="n">
        <f aca="false">IF($K$21=1,Gate*H562+H563,H566)</f>
        <v>2544089.63444584</v>
      </c>
      <c r="I567" s="73" t="n">
        <f aca="false">IF($K$21=1,Gate*I562+I563,I566)</f>
        <v>2532716.70940444</v>
      </c>
      <c r="J567" s="73" t="n">
        <f aca="false">IF($K$21=1,Gate*J562+J563,J566)</f>
        <v>2572832.09044418</v>
      </c>
      <c r="K567" s="73" t="n">
        <f aca="false">IF($K$21=1,Gate*K562+K563,K566)</f>
        <v>2562166.35774347</v>
      </c>
      <c r="L567" s="73" t="n">
        <f aca="false">IF($K$21=1,Gate*L562+L563,L566)</f>
        <v>2603574.00260623</v>
      </c>
      <c r="M567" s="73" t="n">
        <f aca="false">IF($K$21=1,Gate*M562+M563,M566)</f>
        <v>2593596.70898461</v>
      </c>
      <c r="N567" s="73" t="n">
        <f aca="false">IF($K$21=1,Gate*N562+N563,N566)</f>
        <v>2636317.95014367</v>
      </c>
      <c r="O567" s="73" t="n">
        <f aca="false">IF($K$21=1,Gate*O562+O563,O566)</f>
        <v>2627010.53500494</v>
      </c>
    </row>
    <row r="568" customFormat="false" ht="15" hidden="false" customHeight="false" outlineLevel="0" collapsed="false">
      <c r="B568" s="65" t="s">
        <v>1028</v>
      </c>
      <c r="C568" s="25"/>
      <c r="D568" s="73" t="n">
        <f aca="false">IF(D559=1,MIN(D566,D567),0)</f>
        <v>1000000</v>
      </c>
      <c r="E568" s="73" t="n">
        <f aca="false">IF(E559=1,MIN(E566,E567),0)</f>
        <v>0</v>
      </c>
      <c r="F568" s="73" t="n">
        <f aca="false">IF(F559=1,MIN(F566,F567),0)</f>
        <v>1007294.05864063</v>
      </c>
      <c r="G568" s="73" t="n">
        <f aca="false">IF(G559=1,MIN(G566,G567),0)</f>
        <v>0</v>
      </c>
      <c r="H568" s="73" t="n">
        <f aca="false">IF(H559=1,MIN(H566,H567),0)</f>
        <v>1017635.85377834</v>
      </c>
      <c r="I568" s="73" t="n">
        <f aca="false">IF(I559=1,MIN(I566,I567),0)</f>
        <v>0</v>
      </c>
      <c r="J568" s="73" t="n">
        <f aca="false">IF(J559=1,MIN(J566,J567),0)</f>
        <v>1029132.83617767</v>
      </c>
      <c r="K568" s="73" t="n">
        <f aca="false">IF(K559=1,MIN(K566,K567),0)</f>
        <v>0</v>
      </c>
      <c r="L568" s="73" t="n">
        <f aca="false">IF(L559=1,MIN(L566,L567),0)</f>
        <v>1041429.60104249</v>
      </c>
      <c r="M568" s="73" t="n">
        <f aca="false">IF(M559=1,MIN(M566,M567),0)</f>
        <v>0</v>
      </c>
      <c r="N568" s="73" t="n">
        <f aca="false">IF(N559=1,MIN(N566,N567),0)</f>
        <v>1054527.18005747</v>
      </c>
      <c r="O568" s="73" t="n">
        <f aca="false">IF(O559=1,MIN(O566,O567),0)</f>
        <v>0</v>
      </c>
    </row>
    <row r="569" customFormat="false" ht="15" hidden="false" customHeight="false" outlineLevel="0" collapsed="false">
      <c r="B569" s="65" t="s">
        <v>1029</v>
      </c>
      <c r="C569" s="25"/>
      <c r="D569" s="73" t="n">
        <f aca="false">MAX(0,D597+D588+D589-Poche_min_exec*D562-D568-SUM(E594:F594)+MAX(0,MIN($K$20*AN_cible,Emprunt_max*D562)-C605))</f>
        <v>392187.5</v>
      </c>
      <c r="E569" s="73" t="n">
        <f aca="false">MAX(0,E597+E588+E589-Poche_min_exec*E562-E568-SUM(F594:G594)+MAX(0,MIN($K$20*AN_cible,Emprunt_max*E562)-D605))</f>
        <v>696711.09375</v>
      </c>
      <c r="F569" s="73" t="n">
        <f aca="false">MAX(0,F597+F588+F589-Poche_min_exec*F562-F568-SUM(G594:H594)+MAX(0,MIN($K$20*AN_cible,Emprunt_max*F562)-E605))</f>
        <v>0</v>
      </c>
      <c r="G569" s="73" t="n">
        <f aca="false">MAX(0,G597+G588+G589-Poche_min_exec*G562-G568-SUM(H594:I594)+MAX(0,MIN($K$20*AN_cible,Emprunt_max*G562)-F605))</f>
        <v>172156.544507585</v>
      </c>
      <c r="H569" s="73" t="n">
        <f aca="false">MAX(0,H597+H588+H589-Poche_min_exec*H562-H568-SUM(I594:J594)+MAX(0,MIN($K$20*AN_cible,Emprunt_max*H562)-G605))</f>
        <v>0</v>
      </c>
      <c r="I569" s="73" t="n">
        <f aca="false">MAX(0,I597+I588+I589-Poche_min_exec*I562-I568-SUM(J594:K594)+MAX(0,MIN($K$20*AN_cible,Emprunt_max*I562)-H605))</f>
        <v>0</v>
      </c>
      <c r="J569" s="73" t="n">
        <f aca="false">MAX(0,J597+J588+J589-Poche_min_exec*J562-J568-SUM(K594:L594)+MAX(0,MIN($K$20*AN_cible,Emprunt_max*J562)-I605))</f>
        <v>0</v>
      </c>
      <c r="K569" s="73" t="n">
        <f aca="false">MAX(0,K597+K588+K589-Poche_min_exec*K562-K568-SUM(L594:M594)+MAX(0,MIN($K$20*AN_cible,Emprunt_max*K562)-J605))</f>
        <v>0</v>
      </c>
      <c r="L569" s="73" t="n">
        <f aca="false">MAX(0,L597+L588+L589-Poche_min_exec*L562-L568-SUM(M594:N594)+MAX(0,MIN($K$20*AN_cible,Emprunt_max*L562)-K605))</f>
        <v>0</v>
      </c>
      <c r="M569" s="73" t="n">
        <f aca="false">MAX(0,M597+M588+M589-Poche_min_exec*M562-M568-SUM(N594:O594)+MAX(0,MIN($K$20*AN_cible,Emprunt_max*M562)-L605))</f>
        <v>0</v>
      </c>
      <c r="N569" s="73" t="n">
        <f aca="false">MAX(0,N597+N588+N589-Poche_min_exec*N562-N568-SUM(O594:O594)+MAX(0,MIN($K$20*AN_cible,Emprunt_max*N562)-M605))</f>
        <v>0</v>
      </c>
      <c r="O569" s="73" t="n">
        <f aca="false">MAX(0,O597+O588+O589-Poche_min_exec*O562-O568-0+MAX(0,MIN($K$20*AN_cible,Emprunt_max*O562)-N605))</f>
        <v>0</v>
      </c>
    </row>
    <row r="570" customFormat="false" ht="15" hidden="false" customHeight="false" outlineLevel="0" collapsed="false">
      <c r="B570" s="65" t="s">
        <v>1030</v>
      </c>
      <c r="C570" s="25"/>
      <c r="D570" s="73" t="n">
        <f aca="false">IF(AND(D559=1,$K$21=1,$K$22=1),MIN(D566-D568,D569),0)</f>
        <v>0</v>
      </c>
      <c r="E570" s="73" t="n">
        <f aca="false">IF(AND(E559=1,$K$21=1,$K$22=1),MIN(E566-E568,E569),0)</f>
        <v>0</v>
      </c>
      <c r="F570" s="73" t="n">
        <f aca="false">IF(AND(F559=1,$K$21=1,$K$22=1),MIN(F566-F568,F569),0)</f>
        <v>0</v>
      </c>
      <c r="G570" s="73" t="n">
        <f aca="false">IF(AND(G559=1,$K$21=1,$K$22=1),MIN(G566-G568,G569),0)</f>
        <v>0</v>
      </c>
      <c r="H570" s="73" t="n">
        <f aca="false">IF(AND(H559=1,$K$21=1,$K$22=1),MIN(H566-H568,H569),0)</f>
        <v>0</v>
      </c>
      <c r="I570" s="73" t="n">
        <f aca="false">IF(AND(I559=1,$K$21=1,$K$22=1),MIN(I566-I568,I569),0)</f>
        <v>0</v>
      </c>
      <c r="J570" s="73" t="n">
        <f aca="false">IF(AND(J559=1,$K$21=1,$K$22=1),MIN(J566-J568,J569),0)</f>
        <v>0</v>
      </c>
      <c r="K570" s="73" t="n">
        <f aca="false">IF(AND(K559=1,$K$21=1,$K$22=1),MIN(K566-K568,K569),0)</f>
        <v>0</v>
      </c>
      <c r="L570" s="73" t="n">
        <f aca="false">IF(AND(L559=1,$K$21=1,$K$22=1),MIN(L566-L568,L569),0)</f>
        <v>0</v>
      </c>
      <c r="M570" s="73" t="n">
        <f aca="false">IF(AND(M559=1,$K$21=1,$K$22=1),MIN(M566-M568,M569),0)</f>
        <v>0</v>
      </c>
      <c r="N570" s="73" t="n">
        <f aca="false">IF(AND(N559=1,$K$21=1,$K$22=1),MIN(N566-N568,N569),0)</f>
        <v>0</v>
      </c>
      <c r="O570" s="73" t="n">
        <f aca="false">IF(AND(O559=1,$K$21=1,$K$22=1),MIN(O566-O568,O569),0)</f>
        <v>0</v>
      </c>
    </row>
    <row r="571" customFormat="false" ht="15" hidden="false" customHeight="false" outlineLevel="0" collapsed="false">
      <c r="B571" s="65" t="s">
        <v>1031</v>
      </c>
      <c r="C571" s="65" t="n">
        <v>0</v>
      </c>
      <c r="D571" s="65" t="n">
        <f aca="false">IF(C571=1,1,IF(AND(D559=1,$K$21=1,C575&gt;=Gate_dates,D566-D568-D570&gt;0.000001),1,0))</f>
        <v>0</v>
      </c>
      <c r="E571" s="65" t="n">
        <f aca="false">IF(D571=1,1,IF(AND(E559=1,$K$21=1,D575&gt;=Gate_dates,E566-E568-E570&gt;0.000001),1,0))</f>
        <v>0</v>
      </c>
      <c r="F571" s="65" t="n">
        <f aca="false">IF(E571=1,1,IF(AND(F559=1,$K$21=1,E575&gt;=Gate_dates,F566-F568-F570&gt;0.000001),1,0))</f>
        <v>0</v>
      </c>
      <c r="G571" s="65" t="n">
        <f aca="false">IF(F571=1,1,IF(AND(G559=1,$K$21=1,F575&gt;=Gate_dates,G566-G568-G570&gt;0.000001),1,0))</f>
        <v>0</v>
      </c>
      <c r="H571" s="65" t="n">
        <f aca="false">IF(G571=1,1,IF(AND(H559=1,$K$21=1,G575&gt;=Gate_dates,H566-H568-H570&gt;0.000001),1,0))</f>
        <v>0</v>
      </c>
      <c r="I571" s="65" t="n">
        <f aca="false">IF(H571=1,1,IF(AND(I559=1,$K$21=1,H575&gt;=Gate_dates,I566-I568-I570&gt;0.000001),1,0))</f>
        <v>0</v>
      </c>
      <c r="J571" s="65" t="n">
        <f aca="false">IF(I571=1,1,IF(AND(J559=1,$K$21=1,I575&gt;=Gate_dates,J566-J568-J570&gt;0.000001),1,0))</f>
        <v>0</v>
      </c>
      <c r="K571" s="65" t="n">
        <f aca="false">IF(J571=1,1,IF(AND(K559=1,$K$21=1,J575&gt;=Gate_dates,K566-K568-K570&gt;0.000001),1,0))</f>
        <v>0</v>
      </c>
      <c r="L571" s="65" t="n">
        <f aca="false">IF(K571=1,1,IF(AND(L559=1,$K$21=1,K575&gt;=Gate_dates,L566-L568-L570&gt;0.000001),1,0))</f>
        <v>0</v>
      </c>
      <c r="M571" s="65" t="n">
        <f aca="false">IF(L571=1,1,IF(AND(M559=1,$K$21=1,L575&gt;=Gate_dates,M566-M568-M570&gt;0.000001),1,0))</f>
        <v>0</v>
      </c>
      <c r="N571" s="65" t="n">
        <f aca="false">IF(M571=1,1,IF(AND(N559=1,$K$21=1,M575&gt;=Gate_dates,N566-N568-N570&gt;0.000001),1,0))</f>
        <v>0</v>
      </c>
      <c r="O571" s="65" t="n">
        <f aca="false">IF(N571=1,1,IF(AND(O559=1,$K$21=1,N575&gt;=Gate_dates,O566-O568-O570&gt;0.000001),1,0))</f>
        <v>0</v>
      </c>
    </row>
    <row r="572" customFormat="false" ht="15" hidden="false" customHeight="false" outlineLevel="0" collapsed="false">
      <c r="B572" s="65" t="s">
        <v>1032</v>
      </c>
      <c r="C572" s="25"/>
      <c r="D572" s="73" t="n">
        <f aca="false">IF(D571=1,0,D568+D570)</f>
        <v>1000000</v>
      </c>
      <c r="E572" s="73" t="n">
        <f aca="false">IF(E571=1,0,E568+E570)</f>
        <v>0</v>
      </c>
      <c r="F572" s="73" t="n">
        <f aca="false">IF(F571=1,0,F568+F570)</f>
        <v>1007294.05864063</v>
      </c>
      <c r="G572" s="73" t="n">
        <f aca="false">IF(G571=1,0,G568+G570)</f>
        <v>0</v>
      </c>
      <c r="H572" s="73" t="n">
        <f aca="false">IF(H571=1,0,H568+H570)</f>
        <v>1017635.85377834</v>
      </c>
      <c r="I572" s="73" t="n">
        <f aca="false">IF(I571=1,0,I568+I570)</f>
        <v>0</v>
      </c>
      <c r="J572" s="73" t="n">
        <f aca="false">IF(J571=1,0,J568+J570)</f>
        <v>1029132.83617767</v>
      </c>
      <c r="K572" s="73" t="n">
        <f aca="false">IF(K571=1,0,K568+K570)</f>
        <v>0</v>
      </c>
      <c r="L572" s="73" t="n">
        <f aca="false">IF(L571=1,0,L568+L570)</f>
        <v>1041429.60104249</v>
      </c>
      <c r="M572" s="73" t="n">
        <f aca="false">IF(M571=1,0,M568+M570)</f>
        <v>0</v>
      </c>
      <c r="N572" s="73" t="n">
        <f aca="false">IF(N571=1,0,N568+N570)</f>
        <v>1054527.18005747</v>
      </c>
      <c r="O572" s="73" t="n">
        <f aca="false">IF(O571=1,0,O568+O570)</f>
        <v>0</v>
      </c>
    </row>
    <row r="573" customFormat="false" ht="15" hidden="false" customHeight="false" outlineLevel="0" collapsed="false">
      <c r="B573" s="65" t="s">
        <v>1033</v>
      </c>
      <c r="C573" s="73" t="n">
        <v>0</v>
      </c>
      <c r="D573" s="73" t="n">
        <f aca="false">D566-D572</f>
        <v>0</v>
      </c>
      <c r="E573" s="73" t="n">
        <f aca="false">E566-E572</f>
        <v>0</v>
      </c>
      <c r="F573" s="73" t="n">
        <f aca="false">F566-F572</f>
        <v>0</v>
      </c>
      <c r="G573" s="73" t="n">
        <f aca="false">G566-G572</f>
        <v>0</v>
      </c>
      <c r="H573" s="73" t="n">
        <f aca="false">H566-H572</f>
        <v>0</v>
      </c>
      <c r="I573" s="73" t="n">
        <f aca="false">I566-I572</f>
        <v>0</v>
      </c>
      <c r="J573" s="73" t="n">
        <f aca="false">J566-J572</f>
        <v>0</v>
      </c>
      <c r="K573" s="73" t="n">
        <f aca="false">K566-K572</f>
        <v>0</v>
      </c>
      <c r="L573" s="73" t="n">
        <f aca="false">L566-L572</f>
        <v>0</v>
      </c>
      <c r="M573" s="73" t="n">
        <f aca="false">M566-M572</f>
        <v>0</v>
      </c>
      <c r="N573" s="73" t="n">
        <f aca="false">N566-N572</f>
        <v>0</v>
      </c>
      <c r="O573" s="73" t="n">
        <f aca="false">O566-O572</f>
        <v>0</v>
      </c>
    </row>
    <row r="574" customFormat="false" ht="15" hidden="false" customHeight="false" outlineLevel="0" collapsed="false">
      <c r="B574" s="65" t="s">
        <v>1034</v>
      </c>
      <c r="C574" s="25"/>
      <c r="D574" s="65" t="n">
        <f aca="false">IF(AND(D559=1,D571=0,D573&gt;0.000001),1,0)</f>
        <v>0</v>
      </c>
      <c r="E574" s="65" t="n">
        <f aca="false">IF(AND(E559=1,E571=0,E573&gt;0.000001),1,0)</f>
        <v>0</v>
      </c>
      <c r="F574" s="65" t="n">
        <f aca="false">IF(AND(F559=1,F571=0,F573&gt;0.000001),1,0)</f>
        <v>0</v>
      </c>
      <c r="G574" s="65" t="n">
        <f aca="false">IF(AND(G559=1,G571=0,G573&gt;0.000001),1,0)</f>
        <v>0</v>
      </c>
      <c r="H574" s="65" t="n">
        <f aca="false">IF(AND(H559=1,H571=0,H573&gt;0.000001),1,0)</f>
        <v>0</v>
      </c>
      <c r="I574" s="65" t="n">
        <f aca="false">IF(AND(I559=1,I571=0,I573&gt;0.000001),1,0)</f>
        <v>0</v>
      </c>
      <c r="J574" s="65" t="n">
        <f aca="false">IF(AND(J559=1,J571=0,J573&gt;0.000001),1,0)</f>
        <v>0</v>
      </c>
      <c r="K574" s="65" t="n">
        <f aca="false">IF(AND(K559=1,K571=0,K573&gt;0.000001),1,0)</f>
        <v>0</v>
      </c>
      <c r="L574" s="65" t="n">
        <f aca="false">IF(AND(L559=1,L571=0,L573&gt;0.000001),1,0)</f>
        <v>0</v>
      </c>
      <c r="M574" s="65" t="n">
        <f aca="false">IF(AND(M559=1,M571=0,M573&gt;0.000001),1,0)</f>
        <v>0</v>
      </c>
      <c r="N574" s="65" t="n">
        <f aca="false">IF(AND(N559=1,N571=0,N573&gt;0.000001),1,0)</f>
        <v>0</v>
      </c>
      <c r="O574" s="65" t="n">
        <f aca="false">IF(AND(O559=1,O571=0,O573&gt;0.000001),1,0)</f>
        <v>0</v>
      </c>
    </row>
    <row r="575" customFormat="false" ht="15" hidden="false" customHeight="false" outlineLevel="0" collapsed="false">
      <c r="B575" s="65" t="s">
        <v>843</v>
      </c>
      <c r="C575" s="65" t="n">
        <v>0</v>
      </c>
      <c r="D575" s="65" t="n">
        <f aca="false">IF(D559=1,IF(D574=1,C575+1,0),C575)</f>
        <v>0</v>
      </c>
      <c r="E575" s="65" t="n">
        <f aca="false">IF(E559=1,IF(E574=1,D575+1,0),D575)</f>
        <v>0</v>
      </c>
      <c r="F575" s="65" t="n">
        <f aca="false">IF(F559=1,IF(F574=1,E575+1,0),E575)</f>
        <v>0</v>
      </c>
      <c r="G575" s="65" t="n">
        <f aca="false">IF(G559=1,IF(G574=1,F575+1,0),F575)</f>
        <v>0</v>
      </c>
      <c r="H575" s="65" t="n">
        <f aca="false">IF(H559=1,IF(H574=1,G575+1,0),G575)</f>
        <v>0</v>
      </c>
      <c r="I575" s="65" t="n">
        <f aca="false">IF(I559=1,IF(I574=1,H575+1,0),H575)</f>
        <v>0</v>
      </c>
      <c r="J575" s="65" t="n">
        <f aca="false">IF(J559=1,IF(J574=1,I575+1,0),I575)</f>
        <v>0</v>
      </c>
      <c r="K575" s="65" t="n">
        <f aca="false">IF(K559=1,IF(K574=1,J575+1,0),J575)</f>
        <v>0</v>
      </c>
      <c r="L575" s="65" t="n">
        <f aca="false">IF(L559=1,IF(L574=1,K575+1,0),K575)</f>
        <v>0</v>
      </c>
      <c r="M575" s="65" t="n">
        <f aca="false">IF(M559=1,IF(M574=1,L575+1,0),L575)</f>
        <v>0</v>
      </c>
      <c r="N575" s="65" t="n">
        <f aca="false">IF(N559=1,IF(N574=1,M575+1,0),M575)</f>
        <v>0</v>
      </c>
      <c r="O575" s="65" t="n">
        <f aca="false">IF(O559=1,IF(O574=1,N575+1,0),N575)</f>
        <v>0</v>
      </c>
    </row>
    <row r="576" customFormat="false" ht="15" hidden="false" customHeight="false" outlineLevel="0" collapsed="false">
      <c r="B576" s="65" t="s">
        <v>1035</v>
      </c>
      <c r="C576" s="73" t="n">
        <f aca="false">AN_cible*Ws_MAPIF</f>
        <v>12500000</v>
      </c>
      <c r="D576" s="73" t="n">
        <f aca="false">C576*(1+Rend_MAPIF/4)*IF(D557=1,(1-(Cap_MAPIF*$K$15+(1-Cap_MAPIF)*$K$16))*(1+1*$K$14),1)+D586-D580-D601*IF((C576+C577+C578+C579)&gt;0,C576/(C576+C577+C578+C579),0)</f>
        <v>12971562.5</v>
      </c>
      <c r="E576" s="73" t="n">
        <f aca="false">D576*(1+Rend_MAPIF/4)*IF(E557=1,(1-(Cap_MAPIF*$K$15+(1-Cap_MAPIF)*$K$16))*(1+1*$K$14),1)+E586-E580-E601*IF((D576+D577+D578+D579)&gt;0,D576/(D576+D577+D578+D579),0)</f>
        <v>13446767.8203125</v>
      </c>
      <c r="F576" s="73" t="n">
        <f aca="false">E576*(1+Rend_MAPIF/4)*IF(F557=1,(1-(Cap_MAPIF*$K$15+(1-Cap_MAPIF)*$K$16))*(1+1*$K$14),1)+F586-F580-F601*IF((E576+E577+E578+E579)&gt;0,E576/(E576+E577+E578+E579),0)</f>
        <v>13925644.1017244</v>
      </c>
      <c r="G576" s="73" t="n">
        <f aca="false">F576*(1+Rend_MAPIF/4)*IF(G557=1,(1-(Cap_MAPIF*$K$15+(1-Cap_MAPIF)*$K$16))*(1+1*$K$14),1)+G586-G580-G601*IF((F576+F577+F578+F579)&gt;0,F576/(F576+F577+F578+F579),0)</f>
        <v>14408219.7024102</v>
      </c>
      <c r="H576" s="73" t="n">
        <f aca="false">G576*(1+Rend_MAPIF/4)*IF(H557=1,(1-(Cap_MAPIF*$K$15+(1-Cap_MAPIF)*$K$16))*(1+1*$K$14),1)+H586-H580-H601*IF((G576+G577+G578+G579)&gt;0,G576/(G576+G577+G578+G579),0)</f>
        <v>14894523.1996114</v>
      </c>
      <c r="I576" s="73" t="n">
        <f aca="false">H576*(1+Rend_MAPIF/4)*IF(I557=1,(1-(Cap_MAPIF*$K$15+(1-Cap_MAPIF)*$K$16))*(1+1*$K$14),1)+I586-I580-I601*IF((H576+H577+H578+H579)&gt;0,H576/(H576+H577+H578+H579),0)</f>
        <v>15384583.3913284</v>
      </c>
      <c r="J576" s="73" t="n">
        <f aca="false">I576*(1+Rend_MAPIF/4)*IF(J557=1,(1-(Cap_MAPIF*$K$15+(1-Cap_MAPIF)*$K$16))*(1+1*$K$14),1)+J586-J580-J601*IF((I576+I577+I578+I579)&gt;0,I576/(I576+I577+I578+I579),0)</f>
        <v>15878429.2980264</v>
      </c>
      <c r="K576" s="73" t="n">
        <f aca="false">J576*(1+Rend_MAPIF/4)*IF(K557=1,(1-(Cap_MAPIF*$K$15+(1-Cap_MAPIF)*$K$16))*(1+1*$K$14),1)+K586-K580-K601*IF((J576+J577+J578+J579)&gt;0,J576/(J576+J577+J578+J579),0)</f>
        <v>16376090.1643536</v>
      </c>
      <c r="L576" s="73" t="n">
        <f aca="false">K576*(1+Rend_MAPIF/4)*IF(L557=1,(1-(Cap_MAPIF*$K$15+(1-Cap_MAPIF)*$K$16))*(1+1*$K$14),1)+L586-L580-L601*IF((K576+K577+K578+K579)&gt;0,K576/(K576+K577+K578+K579),0)</f>
        <v>16877595.4608733</v>
      </c>
      <c r="M576" s="73" t="n">
        <f aca="false">L576*(1+Rend_MAPIF/4)*IF(M557=1,(1-(Cap_MAPIF*$K$15+(1-Cap_MAPIF)*$K$16))*(1+1*$K$14),1)+M586-M580-M601*IF((L576+L577+L578+L579)&gt;0,L576/(L576+L577+L578+L579),0)</f>
        <v>17382974.8858085</v>
      </c>
      <c r="N576" s="73" t="n">
        <f aca="false">M576*(1+Rend_MAPIF/4)*IF(N557=1,(1-(Cap_MAPIF*$K$15+(1-Cap_MAPIF)*$K$16))*(1+1*$K$14),1)+N586-N580-N601*IF((M576+M577+M578+M579)&gt;0,M576/(M576+M577+M578+M579),0)</f>
        <v>17892258.3668014</v>
      </c>
      <c r="O576" s="73" t="n">
        <f aca="false">N576*(1+Rend_MAPIF/4)*IF(O557=1,(1-(Cap_MAPIF*$K$15+(1-Cap_MAPIF)*$K$16))*(1+1*$K$14),1)+O586-O580-O601*IF((N576+N577+N578+N579)&gt;0,N576/(N576+N577+N578+N579),0)</f>
        <v>18405476.0626849</v>
      </c>
    </row>
    <row r="577" customFormat="false" ht="15" hidden="false" customHeight="false" outlineLevel="0" collapsed="false">
      <c r="B577" s="65" t="s">
        <v>1036</v>
      </c>
      <c r="C577" s="73" t="n">
        <f aca="false">AN_cible*Ws_MSIG</f>
        <v>5500000</v>
      </c>
      <c r="D577" s="73" t="n">
        <f aca="false">C577*(1+Rend_MSIG/4)*IF(D557=1,(1-(Cap_MSIG*$K$15+(1-Cap_MSIG)*$K$16))*(1+MSIG_USD*$K$14),1)+D587-D581-D601*IF((C576+C577+C578+C579)&gt;0,C577/(C576+C577+C578+C579),0)</f>
        <v>5773237.5</v>
      </c>
      <c r="E577" s="73" t="n">
        <f aca="false">D577*(1+Rend_MSIG/4)*IF(E557=1,(1-(Cap_MSIG*$K$15+(1-Cap_MSIG)*$K$16))*(1+MSIG_USD*$K$14),1)+E587-E581-E601*IF((D576+D577+D578+D579)&gt;0,D577/(D576+D577+D578+D579),0)</f>
        <v>6047629.4284375</v>
      </c>
      <c r="F577" s="73" t="n">
        <f aca="false">E577*(1+Rend_MSIG/4)*IF(F557=1,(1-(Cap_MSIG*$K$15+(1-Cap_MSIG)*$K$16))*(1+MSIG_USD*$K$14),1)+F587-F581-F601*IF((E576+E577+E578+E579)&gt;0,E577/(E576+E577+E578+E579),0)</f>
        <v>6323180.66277265</v>
      </c>
      <c r="G577" s="73" t="n">
        <f aca="false">F577*(1+Rend_MSIG/4)*IF(G557=1,(1-(Cap_MSIG*$K$15+(1-Cap_MSIG)*$K$16))*(1+MSIG_USD*$K$14),1)+G587-G581-G601*IF((F576+F577+F578+F579)&gt;0,F577/(F576+F577+F578+F579),0)</f>
        <v>6599896.10107286</v>
      </c>
      <c r="H577" s="73" t="n">
        <f aca="false">G577*(1+Rend_MSIG/4)*IF(H557=1,(1-(Cap_MSIG*$K$15+(1-Cap_MSIG)*$K$16))*(1+MSIG_USD*$K$14),1)+H587-H581-H601*IF((G576+G577+G578+G579)&gt;0,G577/(G576+G577+G578+G579),0)</f>
        <v>6877780.6620999</v>
      </c>
      <c r="I577" s="73" t="n">
        <f aca="false">H577*(1+Rend_MSIG/4)*IF(I557=1,(1-(Cap_MSIG*$K$15+(1-Cap_MSIG)*$K$16))*(1+MSIG_USD*$K$14),1)+I587-I581-I601*IF((H576+H577+H578+H579)&gt;0,H577/(H576+H577+H578+H579),0)</f>
        <v>7156839.28539727</v>
      </c>
      <c r="J577" s="73" t="n">
        <f aca="false">I577*(1+Rend_MSIG/4)*IF(J557=1,(1-(Cap_MSIG*$K$15+(1-Cap_MSIG)*$K$16))*(1+MSIG_USD*$K$14),1)+J587-J581-J601*IF((I576+I577+I578+I579)&gt;0,I577/(I576+I577+I578+I579),0)</f>
        <v>7437076.93137807</v>
      </c>
      <c r="K577" s="73" t="n">
        <f aca="false">J577*(1+Rend_MSIG/4)*IF(K557=1,(1-(Cap_MSIG*$K$15+(1-Cap_MSIG)*$K$16))*(1+MSIG_USD*$K$14),1)+K587-K581-K601*IF((J576+J577+J578+J579)&gt;0,J577/(J576+J577+J578+J579),0)</f>
        <v>7718498.58141314</v>
      </c>
      <c r="L577" s="73" t="n">
        <f aca="false">K577*(1+Rend_MSIG/4)*IF(L557=1,(1-(Cap_MSIG*$K$15+(1-Cap_MSIG)*$K$16))*(1+MSIG_USD*$K$14),1)+L587-L581-L601*IF((K576+K577+K578+K579)&gt;0,K577/(K576+K577+K578+K579),0)</f>
        <v>8001109.23791962</v>
      </c>
      <c r="M577" s="73" t="n">
        <f aca="false">L577*(1+Rend_MSIG/4)*IF(M557=1,(1-(Cap_MSIG*$K$15+(1-Cap_MSIG)*$K$16))*(1+MSIG_USD*$K$14),1)+M587-M581-M601*IF((L576+L577+L578+L579)&gt;0,L577/(L576+L577+L578+L579),0)</f>
        <v>8284913.92444983</v>
      </c>
      <c r="N577" s="73" t="n">
        <f aca="false">M577*(1+Rend_MSIG/4)*IF(N557=1,(1-(Cap_MSIG*$K$15+(1-Cap_MSIG)*$K$16))*(1+MSIG_USD*$K$14),1)+N587-N581-N601*IF((M576+M577+M578+M579)&gt;0,M577/(M576+M577+M578+M579),0)</f>
        <v>8569917.68578063</v>
      </c>
      <c r="O577" s="73" t="n">
        <f aca="false">N577*(1+Rend_MSIG/4)*IF(O557=1,(1-(Cap_MSIG*$K$15+(1-Cap_MSIG)*$K$16))*(1+MSIG_USD*$K$14),1)+O587-O581-O601*IF((N576+N577+N578+N579)&gt;0,N577/(N576+N577+N578+N579),0)</f>
        <v>8856125.58800305</v>
      </c>
    </row>
    <row r="578" customFormat="false" ht="15" hidden="false" customHeight="false" outlineLevel="0" collapsed="false">
      <c r="B578" s="65" t="s">
        <v>1037</v>
      </c>
      <c r="C578" s="73" t="n">
        <f aca="false">AN_cible*Ws_PG</f>
        <v>12250000</v>
      </c>
      <c r="D578" s="73" t="n">
        <f aca="false">C578*(1+Rend_PG/4)*IF(D557=1,(1-(Cap_PG*$K$15+(1-Cap_PG)*$K$16))*(1+0*$K$14),1)-D582-D598*IF((D588+D589)&gt;0,D588/(D588+D589),0)+D603/2-D601*IF((C576+C577+C578+C579)&gt;0,C578/(C576+C577+C578+C579),0)</f>
        <v>12195181.25</v>
      </c>
      <c r="E578" s="73" t="n">
        <f aca="false">D578*(1+Rend_PG/4)*IF(E557=1,(1-(Cap_PG*$K$15+(1-Cap_PG)*$K$16))*(1+0*$K$14),1)-E582-E598*IF((E588+E589)&gt;0,E588/(E588+E589),0)+E603/2-E601*IF((D576+D577+D578+D579)&gt;0,D578/(D576+D577+D578+D579),0)</f>
        <v>12140607.8139063</v>
      </c>
      <c r="F578" s="73" t="n">
        <f aca="false">E578*(1+Rend_PG/4)*IF(F557=1,(1-(Cap_PG*$K$15+(1-Cap_PG)*$K$16))*(1+0*$K$14),1)-F582-F598*IF((F588+F589)&gt;0,F588/(F588+F589),0)+F603/2-F601*IF((E576+E577+E578+E579)&gt;0,E578/(E576+E577+E578+E579),0)</f>
        <v>12086278.593939</v>
      </c>
      <c r="G578" s="73" t="n">
        <f aca="false">F578*(1+Rend_PG/4)*IF(G557=1,(1-(Cap_PG*$K$15+(1-Cap_PG)*$K$16))*(1+0*$K$14),1)-G582-G598*IF((G588+G589)&gt;0,G588/(G588+G589),0)+G603/2-G601*IF((F576+F577+F578+F579)&gt;0,F578/(F576+F577+F578+F579),0)</f>
        <v>12032192.4972311</v>
      </c>
      <c r="H578" s="73" t="n">
        <f aca="false">G578*(1+Rend_PG/4)*IF(H557=1,(1-(Cap_PG*$K$15+(1-Cap_PG)*$K$16))*(1+0*$K$14),1)-H582-H598*IF((H588+H589)&gt;0,H588/(H588+H589),0)+H603/2-H601*IF((G576+G577+G578+G579)&gt;0,G578/(G576+G577+G578+G579),0)</f>
        <v>11978348.435806</v>
      </c>
      <c r="I578" s="73" t="n">
        <f aca="false">H578*(1+Rend_PG/4)*IF(I557=1,(1-(Cap_PG*$K$15+(1-Cap_PG)*$K$16))*(1+0*$K$14),1)-I582-I598*IF((I588+I589)&gt;0,I588/(I588+I589),0)+I603/2-I601*IF((H576+H577+H578+H579)&gt;0,H578/(H576+H577+H578+H579),0)</f>
        <v>11924745.3265558</v>
      </c>
      <c r="J578" s="73" t="n">
        <f aca="false">I578*(1+Rend_PG/4)*IF(J557=1,(1-(Cap_PG*$K$15+(1-Cap_PG)*$K$16))*(1+0*$K$14),1)-J582-J598*IF((J588+J589)&gt;0,J588/(J588+J589),0)+J603/2-J601*IF((I576+I577+I578+I579)&gt;0,I578/(I576+I577+I578+I579),0)</f>
        <v>11871382.0912195</v>
      </c>
      <c r="K578" s="73" t="n">
        <f aca="false">J578*(1+Rend_PG/4)*IF(K557=1,(1-(Cap_PG*$K$15+(1-Cap_PG)*$K$16))*(1+0*$K$14),1)-K582-K598*IF((K588+K589)&gt;0,K588/(K588+K589),0)+K603/2-K601*IF((J576+J577+J578+J579)&gt;0,J578/(J576+J577+J578+J579),0)</f>
        <v>11818257.6563613</v>
      </c>
      <c r="L578" s="73" t="n">
        <f aca="false">K578*(1+Rend_PG/4)*IF(L557=1,(1-(Cap_PG*$K$15+(1-Cap_PG)*$K$16))*(1+0*$K$14),1)-L582-L598*IF((L588+L589)&gt;0,L588/(L588+L589),0)+L603/2-L601*IF((K576+K577+K578+K579)&gt;0,K578/(K576+K577+K578+K579),0)</f>
        <v>11765370.953349</v>
      </c>
      <c r="M578" s="73" t="n">
        <f aca="false">L578*(1+Rend_PG/4)*IF(M557=1,(1-(Cap_PG*$K$15+(1-Cap_PG)*$K$16))*(1+0*$K$14),1)-M582-M598*IF((M588+M589)&gt;0,M588/(M588+M589),0)+M603/2-M601*IF((L576+L577+L578+L579)&gt;0,L578/(L576+L577+L578+L579),0)</f>
        <v>11712720.9183328</v>
      </c>
      <c r="N578" s="73" t="n">
        <f aca="false">M578*(1+Rend_PG/4)*IF(N557=1,(1-(Cap_PG*$K$15+(1-Cap_PG)*$K$16))*(1+0*$K$14),1)-N582-N598*IF((N588+N589)&gt;0,N588/(N588+N589),0)+N603/2-N601*IF((M576+M577+M578+M579)&gt;0,M578/(M576+M577+M578+M579),0)</f>
        <v>11660306.4922233</v>
      </c>
      <c r="O578" s="73" t="n">
        <f aca="false">N578*(1+Rend_PG/4)*IF(O557=1,(1-(Cap_PG*$K$15+(1-Cap_PG)*$K$16))*(1+0*$K$14),1)-O582-O598*IF((O588+O589)&gt;0,O588/(O588+O589),0)+O603/2-O601*IF((N576+N577+N578+N579)&gt;0,N578/(N576+N577+N578+N579),0)</f>
        <v>11608126.6206706</v>
      </c>
    </row>
    <row r="579" customFormat="false" ht="15" hidden="false" customHeight="false" outlineLevel="0" collapsed="false">
      <c r="B579" s="65" t="s">
        <v>1038</v>
      </c>
      <c r="C579" s="73" t="n">
        <f aca="false">AN_cible*Ws_ARES</f>
        <v>12250000</v>
      </c>
      <c r="D579" s="73" t="n">
        <f aca="false">C579*(1+Rend_ARES/4)*IF(D557=1,(1-(Cap_ARES*$K$15+(1-Cap_ARES)*$K$16))*(1+0*$K$14),1)-D583-D598*IF((D588+D589)&gt;0,D589/(D588+D589),0)/(1-IF(D557&lt;=Deduc_trim,Deduc_ares,0))+D603/2-D601*IF((C576+C577+C578+C579)&gt;0,C579/(C576+C577+C578+C579),0)</f>
        <v>12033787.5</v>
      </c>
      <c r="E579" s="73" t="n">
        <f aca="false">D579*(1+Rend_ARES/4)*IF(E557=1,(1-(Cap_ARES*$K$15+(1-Cap_ARES)*$K$16))*(1+0*$K$14),1)-E583-E598*IF((E588+E589)&gt;0,E589/(E588+E589),0)/(1-IF(E557&lt;=Deduc_trim,Deduc_ares,0))+E603/2-E601*IF((D576+D577+D578+D579)&gt;0,D579/(D576+D577+D578+D579),0)</f>
        <v>11821391.150625</v>
      </c>
      <c r="F579" s="73" t="n">
        <f aca="false">E579*(1+Rend_ARES/4)*IF(F557=1,(1-(Cap_ARES*$K$15+(1-Cap_ARES)*$K$16))*(1+0*$K$14),1)-F583-F598*IF((F588+F589)&gt;0,F589/(F588+F589),0)/(1-IF(F557&lt;=Deduc_trim,Deduc_ares,0))+F603/2-F601*IF((E576+E577+E578+E579)&gt;0,E579/(E576+E577+E578+E579),0)</f>
        <v>11612743.5968165</v>
      </c>
      <c r="G579" s="73" t="n">
        <f aca="false">F579*(1+Rend_ARES/4)*IF(G557=1,(1-(Cap_ARES*$K$15+(1-Cap_ARES)*$K$16))*(1+0*$K$14),1)-G583-G598*IF((G588+G589)&gt;0,G589/(G588+G589),0)/(1-IF(G557&lt;=Deduc_trim,Deduc_ares,0))+G603/2-G601*IF((F576+F577+F578+F579)&gt;0,F579/(F576+F577+F578+F579),0)</f>
        <v>11407778.6723327</v>
      </c>
      <c r="H579" s="73" t="n">
        <f aca="false">G579*(1+Rend_ARES/4)*IF(H557=1,(1-(Cap_ARES*$K$15+(1-Cap_ARES)*$K$16))*(1+0*$K$14),1)-H583-H598*IF((H588+H589)&gt;0,H589/(H588+H589),0)/(1-IF(H557&lt;=Deduc_trim,Deduc_ares,0))+H603/2-H601*IF((G576+G577+G578+G579)&gt;0,G579/(G576+G577+G578+G579),0)</f>
        <v>11491625.8455743</v>
      </c>
      <c r="I579" s="73" t="n">
        <f aca="false">H579*(1+Rend_ARES/4)*IF(I557=1,(1-(Cap_ARES*$K$15+(1-Cap_ARES)*$K$16))*(1+0*$K$14),1)-I583-I598*IF((I588+I589)&gt;0,I589/(I588+I589),0)/(1-IF(I557&lt;=Deduc_trim,Deduc_ares,0))+I603/2-I601*IF((H576+H577+H578+H579)&gt;0,H579/(H576+H577+H578+H579),0)</f>
        <v>11576089.2955393</v>
      </c>
      <c r="J579" s="73" t="n">
        <f aca="false">I579*(1+Rend_ARES/4)*IF(J557=1,(1-(Cap_ARES*$K$15+(1-Cap_ARES)*$K$16))*(1+0*$K$14),1)-J583-J598*IF((J588+J589)&gt;0,J589/(J588+J589),0)/(1-IF(J557&lt;=Deduc_trim,Deduc_ares,0))+J603/2-J601*IF((I576+I577+I578+I579)&gt;0,I579/(I576+I577+I578+I579),0)</f>
        <v>11661173.5518615</v>
      </c>
      <c r="K579" s="73" t="n">
        <f aca="false">J579*(1+Rend_ARES/4)*IF(K557=1,(1-(Cap_ARES*$K$15+(1-Cap_ARES)*$K$16))*(1+0*$K$14),1)-K583-K598*IF((K588+K589)&gt;0,K589/(K588+K589),0)/(1-IF(K557&lt;=Deduc_trim,Deduc_ares,0))+K603/2-K601*IF((J576+J577+J578+J579)&gt;0,J579/(J576+J577+J578+J579),0)</f>
        <v>11746883.1774677</v>
      </c>
      <c r="L579" s="73" t="n">
        <f aca="false">K579*(1+Rend_ARES/4)*IF(L557=1,(1-(Cap_ARES*$K$15+(1-Cap_ARES)*$K$16))*(1+0*$K$14),1)-L583-L598*IF((L588+L589)&gt;0,L589/(L588+L589),0)/(1-IF(L557&lt;=Deduc_trim,Deduc_ares,0))+L603/2-L601*IF((K576+K577+K578+K579)&gt;0,K579/(K576+K577+K578+K579),0)</f>
        <v>11833222.768822</v>
      </c>
      <c r="M579" s="73" t="n">
        <f aca="false">L579*(1+Rend_ARES/4)*IF(M557=1,(1-(Cap_ARES*$K$15+(1-Cap_ARES)*$K$16))*(1+0*$K$14),1)-M583-M598*IF((M588+M589)&gt;0,M589/(M588+M589),0)/(1-IF(M557&lt;=Deduc_trim,Deduc_ares,0))+M603/2-M601*IF((L576+L577+L578+L579)&gt;0,L579/(L576+L577+L578+L579),0)</f>
        <v>11920196.9561729</v>
      </c>
      <c r="N579" s="73" t="n">
        <f aca="false">M579*(1+Rend_ARES/4)*IF(N557=1,(1-(Cap_ARES*$K$15+(1-Cap_ARES)*$K$16))*(1+0*$K$14),1)-N583-N598*IF((N588+N589)&gt;0,N589/(N588+N589),0)/(1-IF(N557&lt;=Deduc_trim,Deduc_ares,0))+N603/2-N601*IF((M576+M577+M578+M579)&gt;0,M579/(M576+M577+M578+M579),0)</f>
        <v>12007810.4038008</v>
      </c>
      <c r="O579" s="73" t="n">
        <f aca="false">N579*(1+Rend_ARES/4)*IF(O557=1,(1-(Cap_ARES*$K$15+(1-Cap_ARES)*$K$16))*(1+0*$K$14),1)-O583-O598*IF((O588+O589)&gt;0,O589/(O588+O589),0)/(1-IF(O557&lt;=Deduc_trim,Deduc_ares,0))+O603/2-O601*IF((N576+N577+N578+N579)&gt;0,N579/(N576+N577+N578+N579),0)</f>
        <v>12096067.8102687</v>
      </c>
    </row>
    <row r="580" customFormat="false" ht="15" hidden="false" customHeight="false" outlineLevel="0" collapsed="false">
      <c r="B580" s="65" t="s">
        <v>1039</v>
      </c>
      <c r="C580" s="25"/>
      <c r="D580" s="73" t="n">
        <f aca="false">C576*Dist_MAPIF/4*IF(D557&lt;=$K$11,0,$K$10)</f>
        <v>187500</v>
      </c>
      <c r="E580" s="73" t="n">
        <f aca="false">D576*Dist_MAPIF/4*IF(E557&lt;=$K$11,0,$K$10)</f>
        <v>194573.4375</v>
      </c>
      <c r="F580" s="73" t="n">
        <f aca="false">E576*Dist_MAPIF/4*IF(F557&lt;=$K$11,0,$K$10)</f>
        <v>201701.517304688</v>
      </c>
      <c r="G580" s="73" t="n">
        <f aca="false">F576*Dist_MAPIF/4*IF(G557&lt;=$K$11,0,$K$10)</f>
        <v>208884.661525866</v>
      </c>
      <c r="H580" s="73" t="n">
        <f aca="false">G576*Dist_MAPIF/4*IF(H557&lt;=$K$11,0,$K$10)</f>
        <v>216123.295536154</v>
      </c>
      <c r="I580" s="73" t="n">
        <f aca="false">H576*Dist_MAPIF/4*IF(I557&lt;=$K$11,0,$K$10)</f>
        <v>223417.84799417</v>
      </c>
      <c r="J580" s="73" t="n">
        <f aca="false">I576*Dist_MAPIF/4*IF(J557&lt;=$K$11,0,$K$10)</f>
        <v>230768.750869925</v>
      </c>
      <c r="K580" s="73" t="n">
        <f aca="false">J576*Dist_MAPIF/4*IF(K557&lt;=$K$11,0,$K$10)</f>
        <v>238176.439470396</v>
      </c>
      <c r="L580" s="73" t="n">
        <f aca="false">K576*Dist_MAPIF/4*IF(L557&lt;=$K$11,0,$K$10)</f>
        <v>245641.352465304</v>
      </c>
      <c r="M580" s="73" t="n">
        <f aca="false">L576*Dist_MAPIF/4*IF(M557&lt;=$K$11,0,$K$10)</f>
        <v>253163.931913099</v>
      </c>
      <c r="N580" s="73" t="n">
        <f aca="false">M576*Dist_MAPIF/4*IF(N557&lt;=$K$11,0,$K$10)</f>
        <v>260744.623287128</v>
      </c>
      <c r="O580" s="73" t="n">
        <f aca="false">N576*Dist_MAPIF/4*IF(O557&lt;=$K$11,0,$K$10)</f>
        <v>268383.875502021</v>
      </c>
    </row>
    <row r="581" customFormat="false" ht="15" hidden="false" customHeight="false" outlineLevel="0" collapsed="false">
      <c r="B581" s="65" t="s">
        <v>1040</v>
      </c>
      <c r="C581" s="25"/>
      <c r="D581" s="73" t="n">
        <f aca="false">C577*Dist_MSIG/4*IF(D557&lt;=$K$11,0,$K$10)</f>
        <v>96250</v>
      </c>
      <c r="E581" s="73" t="n">
        <f aca="false">D577*Dist_MSIG/4*IF(E557&lt;=$K$11,0,$K$10)</f>
        <v>101031.65625</v>
      </c>
      <c r="F581" s="73" t="n">
        <f aca="false">E577*Dist_MSIG/4*IF(F557&lt;=$K$11,0,$K$10)</f>
        <v>105833.514997656</v>
      </c>
      <c r="G581" s="73" t="n">
        <f aca="false">F577*Dist_MSIG/4*IF(G557&lt;=$K$11,0,$K$10)</f>
        <v>110655.661598521</v>
      </c>
      <c r="H581" s="73" t="n">
        <f aca="false">G577*Dist_MSIG/4*IF(H557&lt;=$K$11,0,$K$10)</f>
        <v>115498.181768775</v>
      </c>
      <c r="I581" s="73" t="n">
        <f aca="false">H577*Dist_MSIG/4*IF(I557&lt;=$K$11,0,$K$10)</f>
        <v>120361.161586748</v>
      </c>
      <c r="J581" s="73" t="n">
        <f aca="false">I577*Dist_MSIG/4*IF(J557&lt;=$K$11,0,$K$10)</f>
        <v>125244.687494452</v>
      </c>
      <c r="K581" s="73" t="n">
        <f aca="false">J577*Dist_MSIG/4*IF(K557&lt;=$K$11,0,$K$10)</f>
        <v>130148.846299116</v>
      </c>
      <c r="L581" s="73" t="n">
        <f aca="false">K577*Dist_MSIG/4*IF(L557&lt;=$K$11,0,$K$10)</f>
        <v>135073.72517473</v>
      </c>
      <c r="M581" s="73" t="n">
        <f aca="false">L577*Dist_MSIG/4*IF(M557&lt;=$K$11,0,$K$10)</f>
        <v>140019.411663593</v>
      </c>
      <c r="N581" s="73" t="n">
        <f aca="false">M577*Dist_MSIG/4*IF(N557&lt;=$K$11,0,$K$10)</f>
        <v>144985.993677872</v>
      </c>
      <c r="O581" s="73" t="n">
        <f aca="false">N577*Dist_MSIG/4*IF(O557&lt;=$K$11,0,$K$10)</f>
        <v>149973.559501161</v>
      </c>
    </row>
    <row r="582" customFormat="false" ht="15" hidden="false" customHeight="false" outlineLevel="0" collapsed="false">
      <c r="B582" s="65" t="s">
        <v>1041</v>
      </c>
      <c r="C582" s="25"/>
      <c r="D582" s="73" t="n">
        <f aca="false">C578*Dist_PG/4*IF(D557&lt;=$K$11,0,$K$10)</f>
        <v>61250</v>
      </c>
      <c r="E582" s="73" t="n">
        <f aca="false">D578*Dist_PG/4*IF(E557&lt;=$K$11,0,$K$10)</f>
        <v>60975.90625</v>
      </c>
      <c r="F582" s="73" t="n">
        <f aca="false">E578*Dist_PG/4*IF(F557&lt;=$K$11,0,$K$10)</f>
        <v>60703.0390695313</v>
      </c>
      <c r="G582" s="73" t="n">
        <f aca="false">F578*Dist_PG/4*IF(G557&lt;=$K$11,0,$K$10)</f>
        <v>60431.3929696951</v>
      </c>
      <c r="H582" s="73" t="n">
        <f aca="false">G578*Dist_PG/4*IF(H557&lt;=$K$11,0,$K$10)</f>
        <v>60160.9624861557</v>
      </c>
      <c r="I582" s="73" t="n">
        <f aca="false">H578*Dist_PG/4*IF(I557&lt;=$K$11,0,$K$10)</f>
        <v>59891.7421790302</v>
      </c>
      <c r="J582" s="73" t="n">
        <f aca="false">I578*Dist_PG/4*IF(J557&lt;=$K$11,0,$K$10)</f>
        <v>59623.726632779</v>
      </c>
      <c r="K582" s="73" t="n">
        <f aca="false">J578*Dist_PG/4*IF(K557&lt;=$K$11,0,$K$10)</f>
        <v>59356.9104560973</v>
      </c>
      <c r="L582" s="73" t="n">
        <f aca="false">K578*Dist_PG/4*IF(L557&lt;=$K$11,0,$K$10)</f>
        <v>59091.2882818063</v>
      </c>
      <c r="M582" s="73" t="n">
        <f aca="false">L578*Dist_PG/4*IF(M557&lt;=$K$11,0,$K$10)</f>
        <v>58826.8547667452</v>
      </c>
      <c r="N582" s="73" t="n">
        <f aca="false">M578*Dist_PG/4*IF(N557&lt;=$K$11,0,$K$10)</f>
        <v>58563.604591664</v>
      </c>
      <c r="O582" s="73" t="n">
        <f aca="false">N578*Dist_PG/4*IF(O557&lt;=$K$11,0,$K$10)</f>
        <v>58301.5324611164</v>
      </c>
    </row>
    <row r="583" customFormat="false" ht="15" hidden="false" customHeight="false" outlineLevel="0" collapsed="false">
      <c r="B583" s="65" t="s">
        <v>1042</v>
      </c>
      <c r="C583" s="25"/>
      <c r="D583" s="73" t="n">
        <f aca="false">C579*Dist_ARES/4*IF(D557&lt;=$K$11,0,$K$10)</f>
        <v>153125</v>
      </c>
      <c r="E583" s="73" t="n">
        <f aca="false">D579*Dist_ARES/4*IF(E557&lt;=$K$11,0,$K$10)</f>
        <v>150422.34375</v>
      </c>
      <c r="F583" s="73" t="n">
        <f aca="false">E579*Dist_ARES/4*IF(F557&lt;=$K$11,0,$K$10)</f>
        <v>147767.389382813</v>
      </c>
      <c r="G583" s="73" t="n">
        <f aca="false">F579*Dist_ARES/4*IF(G557&lt;=$K$11,0,$K$10)</f>
        <v>145159.294960206</v>
      </c>
      <c r="H583" s="73" t="n">
        <f aca="false">G579*Dist_ARES/4*IF(H557&lt;=$K$11,0,$K$10)</f>
        <v>142597.233404158</v>
      </c>
      <c r="I583" s="73" t="n">
        <f aca="false">H579*Dist_ARES/4*IF(I557&lt;=$K$11,0,$K$10)</f>
        <v>143645.323069679</v>
      </c>
      <c r="J583" s="73" t="n">
        <f aca="false">I579*Dist_ARES/4*IF(J557&lt;=$K$11,0,$K$10)</f>
        <v>144701.116194241</v>
      </c>
      <c r="K583" s="73" t="n">
        <f aca="false">J579*Dist_ARES/4*IF(K557&lt;=$K$11,0,$K$10)</f>
        <v>145764.669398269</v>
      </c>
      <c r="L583" s="73" t="n">
        <f aca="false">K579*Dist_ARES/4*IF(L557&lt;=$K$11,0,$K$10)</f>
        <v>146836.039718346</v>
      </c>
      <c r="M583" s="73" t="n">
        <f aca="false">L579*Dist_ARES/4*IF(M557&lt;=$K$11,0,$K$10)</f>
        <v>147915.284610276</v>
      </c>
      <c r="N583" s="73" t="n">
        <f aca="false">M579*Dist_ARES/4*IF(N557&lt;=$K$11,0,$K$10)</f>
        <v>149002.461952161</v>
      </c>
      <c r="O583" s="73" t="n">
        <f aca="false">N579*Dist_ARES/4*IF(O557&lt;=$K$11,0,$K$10)</f>
        <v>150097.63004751</v>
      </c>
    </row>
    <row r="584" customFormat="false" ht="15" hidden="false" customHeight="false" outlineLevel="0" collapsed="false">
      <c r="B584" s="65" t="s">
        <v>1043</v>
      </c>
      <c r="C584" s="73" t="n">
        <f aca="false">AN_cible*$K$12*Part_MAPIF_NA</f>
        <v>4500000</v>
      </c>
      <c r="D584" s="73" t="n">
        <f aca="false">C584*IF(D557=1,1+$K$14,1)-D586</f>
        <v>4125000</v>
      </c>
      <c r="E584" s="73" t="n">
        <f aca="false">D584*IF(E557=1,1+$K$14,1)-E586</f>
        <v>3750000</v>
      </c>
      <c r="F584" s="73" t="n">
        <f aca="false">E584*IF(F557=1,1+$K$14,1)-F586</f>
        <v>3375000</v>
      </c>
      <c r="G584" s="73" t="n">
        <f aca="false">F584*IF(G557=1,1+$K$14,1)-G586</f>
        <v>3000000</v>
      </c>
      <c r="H584" s="73" t="n">
        <f aca="false">G584*IF(H557=1,1+$K$14,1)-H586</f>
        <v>2625000</v>
      </c>
      <c r="I584" s="73" t="n">
        <f aca="false">H584*IF(I557=1,1+$K$14,1)-I586</f>
        <v>2250000</v>
      </c>
      <c r="J584" s="73" t="n">
        <f aca="false">I584*IF(J557=1,1+$K$14,1)-J586</f>
        <v>1875000</v>
      </c>
      <c r="K584" s="73" t="n">
        <f aca="false">J584*IF(K557=1,1+$K$14,1)-K586</f>
        <v>1500000</v>
      </c>
      <c r="L584" s="73" t="n">
        <f aca="false">K584*IF(L557=1,1+$K$14,1)-L586</f>
        <v>1125000</v>
      </c>
      <c r="M584" s="73" t="n">
        <f aca="false">L584*IF(M557=1,1+$K$14,1)-M586</f>
        <v>750000</v>
      </c>
      <c r="N584" s="73" t="n">
        <f aca="false">M584*IF(N557=1,1+$K$14,1)-N586</f>
        <v>375000</v>
      </c>
      <c r="O584" s="73" t="n">
        <f aca="false">N584*IF(O557=1,1+$K$14,1)-O586</f>
        <v>0</v>
      </c>
    </row>
    <row r="585" customFormat="false" ht="15" hidden="false" customHeight="false" outlineLevel="0" collapsed="false">
      <c r="B585" s="65" t="s">
        <v>1044</v>
      </c>
      <c r="C585" s="73" t="n">
        <f aca="false">AN_cible*$K$12*(1-Part_MAPIF_NA)</f>
        <v>3000000</v>
      </c>
      <c r="D585" s="73" t="n">
        <f aca="false">C585*IF(D557=1,1+MSIG_USD*$K$14,1)-D587</f>
        <v>2750000</v>
      </c>
      <c r="E585" s="73" t="n">
        <f aca="false">D585*IF(E557=1,1+MSIG_USD*$K$14,1)-E587</f>
        <v>2500000</v>
      </c>
      <c r="F585" s="73" t="n">
        <f aca="false">E585*IF(F557=1,1+MSIG_USD*$K$14,1)-F587</f>
        <v>2250000</v>
      </c>
      <c r="G585" s="73" t="n">
        <f aca="false">F585*IF(G557=1,1+MSIG_USD*$K$14,1)-G587</f>
        <v>2000000</v>
      </c>
      <c r="H585" s="73" t="n">
        <f aca="false">G585*IF(H557=1,1+MSIG_USD*$K$14,1)-H587</f>
        <v>1750000</v>
      </c>
      <c r="I585" s="73" t="n">
        <f aca="false">H585*IF(I557=1,1+MSIG_USD*$K$14,1)-I587</f>
        <v>1500000</v>
      </c>
      <c r="J585" s="73" t="n">
        <f aca="false">I585*IF(J557=1,1+MSIG_USD*$K$14,1)-J587</f>
        <v>1250000</v>
      </c>
      <c r="K585" s="73" t="n">
        <f aca="false">J585*IF(K557=1,1+MSIG_USD*$K$14,1)-K587</f>
        <v>1000000</v>
      </c>
      <c r="L585" s="73" t="n">
        <f aca="false">K585*IF(L557=1,1+MSIG_USD*$K$14,1)-L587</f>
        <v>750000</v>
      </c>
      <c r="M585" s="73" t="n">
        <f aca="false">L585*IF(M557=1,1+MSIG_USD*$K$14,1)-M587</f>
        <v>500000</v>
      </c>
      <c r="N585" s="73" t="n">
        <f aca="false">M585*IF(N557=1,1+MSIG_USD*$K$14,1)-N587</f>
        <v>250000</v>
      </c>
      <c r="O585" s="73" t="n">
        <f aca="false">N585*IF(O557=1,1+MSIG_USD*$K$14,1)-O587</f>
        <v>0</v>
      </c>
    </row>
    <row r="586" customFormat="false" ht="15" hidden="false" customHeight="false" outlineLevel="0" collapsed="false">
      <c r="B586" s="65" t="s">
        <v>1045</v>
      </c>
      <c r="C586" s="25"/>
      <c r="D586" s="73" t="n">
        <f aca="false">MIN(C584*IF(D557=1,1+$K$14,1),$C584*(1+$K$14)*IF(D557&lt;=4,$K$13/4,Appels_base))</f>
        <v>375000</v>
      </c>
      <c r="E586" s="73" t="n">
        <f aca="false">MIN(D584*IF(E557=1,1+$K$14,1),$C584*(1+$K$14)*IF(E557&lt;=4,$K$13/4,Appels_base))</f>
        <v>375000</v>
      </c>
      <c r="F586" s="73" t="n">
        <f aca="false">MIN(E584*IF(F557=1,1+$K$14,1),$C584*(1+$K$14)*IF(F557&lt;=4,$K$13/4,Appels_base))</f>
        <v>375000</v>
      </c>
      <c r="G586" s="73" t="n">
        <f aca="false">MIN(F584*IF(G557=1,1+$K$14,1),$C584*(1+$K$14)*IF(G557&lt;=4,$K$13/4,Appels_base))</f>
        <v>375000</v>
      </c>
      <c r="H586" s="73" t="n">
        <f aca="false">MIN(G584*IF(H557=1,1+$K$14,1),$C584*(1+$K$14)*IF(H557&lt;=4,$K$13/4,Appels_base))</f>
        <v>375000</v>
      </c>
      <c r="I586" s="73" t="n">
        <f aca="false">MIN(H584*IF(I557=1,1+$K$14,1),$C584*(1+$K$14)*IF(I557&lt;=4,$K$13/4,Appels_base))</f>
        <v>375000</v>
      </c>
      <c r="J586" s="73" t="n">
        <f aca="false">MIN(I584*IF(J557=1,1+$K$14,1),$C584*(1+$K$14)*IF(J557&lt;=4,$K$13/4,Appels_base))</f>
        <v>375000</v>
      </c>
      <c r="K586" s="73" t="n">
        <f aca="false">MIN(J584*IF(K557=1,1+$K$14,1),$C584*(1+$K$14)*IF(K557&lt;=4,$K$13/4,Appels_base))</f>
        <v>375000</v>
      </c>
      <c r="L586" s="73" t="n">
        <f aca="false">MIN(K584*IF(L557=1,1+$K$14,1),$C584*(1+$K$14)*IF(L557&lt;=4,$K$13/4,Appels_base))</f>
        <v>375000</v>
      </c>
      <c r="M586" s="73" t="n">
        <f aca="false">MIN(L584*IF(M557=1,1+$K$14,1),$C584*(1+$K$14)*IF(M557&lt;=4,$K$13/4,Appels_base))</f>
        <v>375000</v>
      </c>
      <c r="N586" s="73" t="n">
        <f aca="false">MIN(M584*IF(N557=1,1+$K$14,1),$C584*(1+$K$14)*IF(N557&lt;=4,$K$13/4,Appels_base))</f>
        <v>375000</v>
      </c>
      <c r="O586" s="73" t="n">
        <f aca="false">MIN(N584*IF(O557=1,1+$K$14,1),$C584*(1+$K$14)*IF(O557&lt;=4,$K$13/4,Appels_base))</f>
        <v>375000</v>
      </c>
    </row>
    <row r="587" customFormat="false" ht="15" hidden="false" customHeight="false" outlineLevel="0" collapsed="false">
      <c r="B587" s="65" t="s">
        <v>1046</v>
      </c>
      <c r="C587" s="25"/>
      <c r="D587" s="73" t="n">
        <f aca="false">MIN(C585*IF(D557=1,1+MSIG_USD*$K$14,1),$C585*(1+MSIG_USD*$K$14)*IF(D557&lt;=4,$K$13/4,Appels_base))</f>
        <v>250000</v>
      </c>
      <c r="E587" s="73" t="n">
        <f aca="false">MIN(D585*IF(E557=1,1+MSIG_USD*$K$14,1),$C585*(1+MSIG_USD*$K$14)*IF(E557&lt;=4,$K$13/4,Appels_base))</f>
        <v>250000</v>
      </c>
      <c r="F587" s="73" t="n">
        <f aca="false">MIN(E585*IF(F557=1,1+MSIG_USD*$K$14,1),$C585*(1+MSIG_USD*$K$14)*IF(F557&lt;=4,$K$13/4,Appels_base))</f>
        <v>250000</v>
      </c>
      <c r="G587" s="73" t="n">
        <f aca="false">MIN(F585*IF(G557=1,1+MSIG_USD*$K$14,1),$C585*(1+MSIG_USD*$K$14)*IF(G557&lt;=4,$K$13/4,Appels_base))</f>
        <v>250000</v>
      </c>
      <c r="H587" s="73" t="n">
        <f aca="false">MIN(G585*IF(H557=1,1+MSIG_USD*$K$14,1),$C585*(1+MSIG_USD*$K$14)*IF(H557&lt;=4,$K$13/4,Appels_base))</f>
        <v>250000</v>
      </c>
      <c r="I587" s="73" t="n">
        <f aca="false">MIN(H585*IF(I557=1,1+MSIG_USD*$K$14,1),$C585*(1+MSIG_USD*$K$14)*IF(I557&lt;=4,$K$13/4,Appels_base))</f>
        <v>250000</v>
      </c>
      <c r="J587" s="73" t="n">
        <f aca="false">MIN(I585*IF(J557=1,1+MSIG_USD*$K$14,1),$C585*(1+MSIG_USD*$K$14)*IF(J557&lt;=4,$K$13/4,Appels_base))</f>
        <v>250000</v>
      </c>
      <c r="K587" s="73" t="n">
        <f aca="false">MIN(J585*IF(K557=1,1+MSIG_USD*$K$14,1),$C585*(1+MSIG_USD*$K$14)*IF(K557&lt;=4,$K$13/4,Appels_base))</f>
        <v>250000</v>
      </c>
      <c r="L587" s="73" t="n">
        <f aca="false">MIN(K585*IF(L557=1,1+MSIG_USD*$K$14,1),$C585*(1+MSIG_USD*$K$14)*IF(L557&lt;=4,$K$13/4,Appels_base))</f>
        <v>250000</v>
      </c>
      <c r="M587" s="73" t="n">
        <f aca="false">MIN(L585*IF(M557=1,1+MSIG_USD*$K$14,1),$C585*(1+MSIG_USD*$K$14)*IF(M557&lt;=4,$K$13/4,Appels_base))</f>
        <v>250000</v>
      </c>
      <c r="N587" s="73" t="n">
        <f aca="false">MIN(M585*IF(N557=1,1+MSIG_USD*$K$14,1),$C585*(1+MSIG_USD*$K$14)*IF(N557&lt;=4,$K$13/4,Appels_base))</f>
        <v>250000</v>
      </c>
      <c r="O587" s="73" t="n">
        <f aca="false">MIN(N585*IF(O557=1,1+MSIG_USD*$K$14,1),$C585*(1+MSIG_USD*$K$14)*IF(O557&lt;=4,$K$13/4,Appels_base))</f>
        <v>250000</v>
      </c>
    </row>
    <row r="588" customFormat="false" ht="15" hidden="false" customHeight="false" outlineLevel="0" collapsed="false">
      <c r="B588" s="65" t="s">
        <v>1047</v>
      </c>
      <c r="C588" s="25"/>
      <c r="D588" s="73" t="n">
        <f aca="false">C578*Capacite_evg*IF(D557&lt;=4,$K$17,$K$18)</f>
        <v>306250</v>
      </c>
      <c r="E588" s="73" t="n">
        <f aca="false">D578*Capacite_evg*IF(E557&lt;=4,$K$17,$K$18)</f>
        <v>304879.53125</v>
      </c>
      <c r="F588" s="73" t="n">
        <f aca="false">E578*Capacite_evg*IF(F557&lt;=4,$K$17,$K$18)</f>
        <v>303515.195347656</v>
      </c>
      <c r="G588" s="73" t="n">
        <f aca="false">F578*Capacite_evg*IF(G557&lt;=4,$K$17,$K$18)</f>
        <v>302156.964848476</v>
      </c>
      <c r="H588" s="73" t="n">
        <f aca="false">G578*Capacite_evg*IF(H557&lt;=4,$K$17,$K$18)</f>
        <v>300804.812430779</v>
      </c>
      <c r="I588" s="73" t="n">
        <f aca="false">H578*Capacite_evg*IF(I557&lt;=4,$K$17,$K$18)</f>
        <v>299458.710895151</v>
      </c>
      <c r="J588" s="73" t="n">
        <f aca="false">I578*Capacite_evg*IF(J557&lt;=4,$K$17,$K$18)</f>
        <v>298118.633163895</v>
      </c>
      <c r="K588" s="73" t="n">
        <f aca="false">J578*Capacite_evg*IF(K557&lt;=4,$K$17,$K$18)</f>
        <v>296784.552280487</v>
      </c>
      <c r="L588" s="73" t="n">
        <f aca="false">K578*Capacite_evg*IF(L557&lt;=4,$K$17,$K$18)</f>
        <v>295456.441409032</v>
      </c>
      <c r="M588" s="73" t="n">
        <f aca="false">L578*Capacite_evg*IF(M557&lt;=4,$K$17,$K$18)</f>
        <v>294134.273833726</v>
      </c>
      <c r="N588" s="73" t="n">
        <f aca="false">M578*Capacite_evg*IF(N557&lt;=4,$K$17,$K$18)</f>
        <v>292818.02295832</v>
      </c>
      <c r="O588" s="73" t="n">
        <f aca="false">N578*Capacite_evg*IF(O557&lt;=4,$K$17,$K$18)</f>
        <v>291507.662305582</v>
      </c>
    </row>
    <row r="589" customFormat="false" ht="15" hidden="false" customHeight="false" outlineLevel="0" collapsed="false">
      <c r="B589" s="65" t="s">
        <v>1048</v>
      </c>
      <c r="C589" s="25"/>
      <c r="D589" s="73" t="n">
        <f aca="false">C579*Capacite_evg*IF(D557&lt;=4,$K$17,$K$19)*(1-IF(D557&lt;=Deduc_trim,Deduc_ares,0))</f>
        <v>290937.5</v>
      </c>
      <c r="E589" s="73" t="n">
        <f aca="false">D579*Capacite_evg*IF(E557&lt;=4,$K$17,$K$19)*(1-IF(E557&lt;=Deduc_trim,Deduc_ares,0))</f>
        <v>285802.453125</v>
      </c>
      <c r="F589" s="73" t="n">
        <f aca="false">E579*Capacite_evg*IF(F557&lt;=4,$K$17,$K$19)*(1-IF(F557&lt;=Deduc_trim,Deduc_ares,0))</f>
        <v>280758.039827344</v>
      </c>
      <c r="G589" s="73" t="n">
        <f aca="false">F579*Capacite_evg*IF(G557&lt;=4,$K$17,$K$19)*(1-IF(G557&lt;=Deduc_trim,Deduc_ares,0))</f>
        <v>275802.660424391</v>
      </c>
      <c r="H589" s="73" t="n">
        <f aca="false">G579*Capacite_evg*IF(H557&lt;=4,$K$17,$K$19)*(1-IF(H557&lt;=Deduc_trim,Deduc_ares,0))</f>
        <v>0</v>
      </c>
      <c r="I589" s="73" t="n">
        <f aca="false">H579*Capacite_evg*IF(I557&lt;=4,$K$17,$K$19)*(1-IF(I557&lt;=Deduc_trim,Deduc_ares,0))</f>
        <v>0</v>
      </c>
      <c r="J589" s="73" t="n">
        <f aca="false">I579*Capacite_evg*IF(J557&lt;=4,$K$17,$K$19)*(1-IF(J557&lt;=Deduc_trim,Deduc_ares,0))</f>
        <v>0</v>
      </c>
      <c r="K589" s="73" t="n">
        <f aca="false">J579*Capacite_evg*IF(K557&lt;=4,$K$17,$K$19)*(1-IF(K557&lt;=Deduc_trim,Deduc_ares,0))</f>
        <v>0</v>
      </c>
      <c r="L589" s="73" t="n">
        <f aca="false">K579*Capacite_evg*IF(L557&lt;=4,$K$17,$K$19)*(1-IF(L557&lt;=Deduc_trim,Deduc_ares,0))</f>
        <v>0</v>
      </c>
      <c r="M589" s="73" t="n">
        <f aca="false">L579*Capacite_evg*IF(M557&lt;=4,$K$17,$K$19)*(1-IF(M557&lt;=Deduc_trim,Deduc_ares,0))</f>
        <v>0</v>
      </c>
      <c r="N589" s="73" t="n">
        <f aca="false">M579*Capacite_evg*IF(N557&lt;=4,$K$17,$K$19)*(1-IF(N557&lt;=Deduc_trim,Deduc_ares,0))</f>
        <v>0</v>
      </c>
      <c r="O589" s="73" t="n">
        <f aca="false">N579*Capacite_evg*IF(O557&lt;=4,$K$17,$K$19)*(1-IF(O557&lt;=Deduc_trim,Deduc_ares,0))</f>
        <v>0</v>
      </c>
    </row>
    <row r="590" customFormat="false" ht="15" hidden="false" customHeight="false" outlineLevel="0" collapsed="false">
      <c r="B590" s="65" t="s">
        <v>1049</v>
      </c>
      <c r="C590" s="25"/>
      <c r="D590" s="73" t="n">
        <f aca="false">C604</f>
        <v>7500000</v>
      </c>
      <c r="E590" s="73" t="n">
        <f aca="false">D604</f>
        <v>6642187.5</v>
      </c>
      <c r="F590" s="73" t="n">
        <f aca="false">E604</f>
        <v>6908306.71875</v>
      </c>
      <c r="G590" s="73" t="n">
        <f aca="false">F604</f>
        <v>6167644.75837109</v>
      </c>
      <c r="H590" s="73" t="n">
        <f aca="false">G604</f>
        <v>6433705.71586995</v>
      </c>
      <c r="I590" s="73" t="n">
        <f aca="false">H604</f>
        <v>5412056.04499724</v>
      </c>
      <c r="J590" s="73" t="n">
        <f aca="false">I604</f>
        <v>5414384.51006281</v>
      </c>
      <c r="K590" s="73" t="n">
        <f aca="false">J604</f>
        <v>4395265.2823839</v>
      </c>
      <c r="L590" s="73" t="n">
        <f aca="false">K604</f>
        <v>4411750.47252882</v>
      </c>
      <c r="M590" s="73" t="n">
        <f aca="false">L604</f>
        <v>3394635.75872823</v>
      </c>
      <c r="N590" s="73" t="n">
        <f aca="false">M604</f>
        <v>3425552.31810926</v>
      </c>
      <c r="O590" s="73" t="n">
        <f aca="false">N604</f>
        <v>2409917.75149276</v>
      </c>
    </row>
    <row r="591" customFormat="false" ht="15" hidden="false" customHeight="false" outlineLevel="0" collapsed="false">
      <c r="B591" s="65" t="s">
        <v>1050</v>
      </c>
      <c r="C591" s="25"/>
      <c r="D591" s="73" t="n">
        <f aca="false">D590*Taux_treso/4</f>
        <v>46875</v>
      </c>
      <c r="E591" s="73" t="n">
        <f aca="false">E590*Taux_treso/4</f>
        <v>41513.671875</v>
      </c>
      <c r="F591" s="73" t="n">
        <f aca="false">F590*Taux_treso/4</f>
        <v>43176.9169921875</v>
      </c>
      <c r="G591" s="73" t="n">
        <f aca="false">G590*Taux_treso/4</f>
        <v>38547.7797398193</v>
      </c>
      <c r="H591" s="73" t="n">
        <f aca="false">H590*Taux_treso/4</f>
        <v>40210.6607241872</v>
      </c>
      <c r="I591" s="73" t="n">
        <f aca="false">I590*Taux_treso/4</f>
        <v>33825.3502812327</v>
      </c>
      <c r="J591" s="73" t="n">
        <f aca="false">J590*Taux_treso/4</f>
        <v>33839.9031878925</v>
      </c>
      <c r="K591" s="73" t="n">
        <f aca="false">K590*Taux_treso/4</f>
        <v>27470.4080148994</v>
      </c>
      <c r="L591" s="73" t="n">
        <f aca="false">L590*Taux_treso/4</f>
        <v>27573.4404533051</v>
      </c>
      <c r="M591" s="73" t="n">
        <f aca="false">M590*Taux_treso/4</f>
        <v>21216.4734920514</v>
      </c>
      <c r="N591" s="73" t="n">
        <f aca="false">N590*Taux_treso/4</f>
        <v>21409.7019881829</v>
      </c>
      <c r="O591" s="73" t="n">
        <f aca="false">O590*Taux_treso/4</f>
        <v>15061.9859468297</v>
      </c>
    </row>
    <row r="592" customFormat="false" ht="15" hidden="false" customHeight="false" outlineLevel="0" collapsed="false">
      <c r="B592" s="65" t="s">
        <v>1051</v>
      </c>
      <c r="C592" s="25"/>
      <c r="D592" s="73" t="n">
        <f aca="false">SUM(D580:D583)</f>
        <v>498125</v>
      </c>
      <c r="E592" s="73" t="n">
        <f aca="false">SUM(E580:E583)</f>
        <v>507003.34375</v>
      </c>
      <c r="F592" s="73" t="n">
        <f aca="false">SUM(F580:F583)</f>
        <v>516005.460754688</v>
      </c>
      <c r="G592" s="73" t="n">
        <f aca="false">SUM(G580:G583)</f>
        <v>525131.011054289</v>
      </c>
      <c r="H592" s="73" t="n">
        <f aca="false">SUM(H580:H583)</f>
        <v>534379.673195243</v>
      </c>
      <c r="I592" s="73" t="n">
        <f aca="false">SUM(I580:I583)</f>
        <v>547316.074829628</v>
      </c>
      <c r="J592" s="73" t="n">
        <f aca="false">SUM(J580:J583)</f>
        <v>560338.281191398</v>
      </c>
      <c r="K592" s="73" t="n">
        <f aca="false">SUM(K580:K583)</f>
        <v>573446.865623878</v>
      </c>
      <c r="L592" s="73" t="n">
        <f aca="false">SUM(L580:L583)</f>
        <v>586642.405640187</v>
      </c>
      <c r="M592" s="73" t="n">
        <f aca="false">SUM(M580:M583)</f>
        <v>599925.482953713</v>
      </c>
      <c r="N592" s="73" t="n">
        <f aca="false">SUM(N580:N583)</f>
        <v>613296.683508825</v>
      </c>
      <c r="O592" s="73" t="n">
        <f aca="false">SUM(O580:O583)</f>
        <v>626756.597511808</v>
      </c>
    </row>
    <row r="593" customFormat="false" ht="15" hidden="false" customHeight="false" outlineLevel="0" collapsed="false">
      <c r="B593" s="65" t="s">
        <v>1052</v>
      </c>
      <c r="C593" s="25"/>
      <c r="D593" s="73" t="n">
        <f aca="false">IF(AND(Distrib_tension=1,OR(D565&gt;0.000001,C607&lt;Liq_min,C571=1)),0,MIN(Dist_porteurs/4*Part_d*D562,D592))</f>
        <v>125000</v>
      </c>
      <c r="E593" s="73" t="n">
        <f aca="false">IF(AND(Distrib_tension=1,OR(E565&gt;0.000001,D607&lt;Liq_min,D571=1)),0,MIN(Dist_porteurs/4*Part_d*E562,E592))</f>
        <v>0</v>
      </c>
      <c r="F593" s="73" t="n">
        <f aca="false">IF(AND(Distrib_tension=1,OR(F565&gt;0.000001,E607&lt;Liq_min,E571=1)),0,MIN(Dist_porteurs/4*Part_d*F562,F592))</f>
        <v>0</v>
      </c>
      <c r="G593" s="73" t="n">
        <f aca="false">IF(AND(Distrib_tension=1,OR(G565&gt;0.000001,F607&lt;Liq_min,F571=1)),0,MIN(Dist_porteurs/4*Part_d*G562,G592))</f>
        <v>0</v>
      </c>
      <c r="H593" s="73" t="n">
        <f aca="false">IF(AND(Distrib_tension=1,OR(H565&gt;0.000001,G607&lt;Liq_min,G571=1)),0,MIN(Dist_porteurs/4*Part_d*H562,H592))</f>
        <v>0</v>
      </c>
      <c r="I593" s="73" t="n">
        <f aca="false">IF(AND(Distrib_tension=1,OR(I565&gt;0.000001,H607&lt;Liq_min,H571=1)),0,MIN(Dist_porteurs/4*Part_d*I562,I592))</f>
        <v>0</v>
      </c>
      <c r="J593" s="73" t="n">
        <f aca="false">IF(AND(Distrib_tension=1,OR(J565&gt;0.000001,I607&lt;Liq_min,I571=1)),0,MIN(Dist_porteurs/4*Part_d*J562,J592))</f>
        <v>0</v>
      </c>
      <c r="K593" s="73" t="n">
        <f aca="false">IF(AND(Distrib_tension=1,OR(K565&gt;0.000001,J607&lt;Liq_min,J571=1)),0,MIN(Dist_porteurs/4*Part_d*K562,K592))</f>
        <v>0</v>
      </c>
      <c r="L593" s="73" t="n">
        <f aca="false">IF(AND(Distrib_tension=1,OR(L565&gt;0.000001,K607&lt;Liq_min,K571=1)),0,MIN(Dist_porteurs/4*Part_d*L562,L592))</f>
        <v>0</v>
      </c>
      <c r="M593" s="73" t="n">
        <f aca="false">IF(AND(Distrib_tension=1,OR(M565&gt;0.000001,L607&lt;Liq_min,L571=1)),0,MIN(Dist_porteurs/4*Part_d*M562,M592))</f>
        <v>0</v>
      </c>
      <c r="N593" s="73" t="n">
        <f aca="false">IF(AND(Distrib_tension=1,OR(N565&gt;0.000001,M607&lt;Liq_min,M571=1)),0,MIN(Dist_porteurs/4*Part_d*N562,N592))</f>
        <v>0</v>
      </c>
      <c r="O593" s="73" t="n">
        <f aca="false">IF(AND(Distrib_tension=1,OR(O565&gt;0.000001,N607&lt;Liq_min,N571=1)),0,MIN(Dist_porteurs/4*Part_d*O562,O592))</f>
        <v>0</v>
      </c>
    </row>
    <row r="594" customFormat="false" ht="15" hidden="false" customHeight="false" outlineLevel="0" collapsed="false">
      <c r="B594" s="65" t="s">
        <v>1053</v>
      </c>
      <c r="C594" s="25"/>
      <c r="D594" s="73" t="n">
        <f aca="false">D586+D587</f>
        <v>625000</v>
      </c>
      <c r="E594" s="73" t="n">
        <f aca="false">E586+E587</f>
        <v>625000</v>
      </c>
      <c r="F594" s="73" t="n">
        <f aca="false">F586+F587</f>
        <v>625000</v>
      </c>
      <c r="G594" s="73" t="n">
        <f aca="false">G586+G587</f>
        <v>625000</v>
      </c>
      <c r="H594" s="73" t="n">
        <f aca="false">H586+H587</f>
        <v>625000</v>
      </c>
      <c r="I594" s="73" t="n">
        <f aca="false">I586+I587</f>
        <v>625000</v>
      </c>
      <c r="J594" s="73" t="n">
        <f aca="false">J586+J587</f>
        <v>625000</v>
      </c>
      <c r="K594" s="73" t="n">
        <f aca="false">K586+K587</f>
        <v>625000</v>
      </c>
      <c r="L594" s="73" t="n">
        <f aca="false">L586+L587</f>
        <v>625000</v>
      </c>
      <c r="M594" s="73" t="n">
        <f aca="false">M586+M587</f>
        <v>625000</v>
      </c>
      <c r="N594" s="73" t="n">
        <f aca="false">N586+N587</f>
        <v>625000</v>
      </c>
      <c r="O594" s="73" t="n">
        <f aca="false">O586+O587</f>
        <v>625000</v>
      </c>
    </row>
    <row r="595" customFormat="false" ht="15" hidden="false" customHeight="false" outlineLevel="0" collapsed="false">
      <c r="B595" s="65" t="s">
        <v>1054</v>
      </c>
      <c r="C595" s="25"/>
      <c r="D595" s="73" t="n">
        <f aca="false">D562*Frais_an/4</f>
        <v>250000</v>
      </c>
      <c r="E595" s="73" t="n">
        <f aca="false">E562*Frais_an/4</f>
        <v>248079.78125</v>
      </c>
      <c r="F595" s="73" t="n">
        <f aca="false">F562*Frais_an/4</f>
        <v>251823.514660156</v>
      </c>
      <c r="G595" s="73" t="n">
        <f aca="false">G562*Frais_an/4</f>
        <v>250577.458568118</v>
      </c>
      <c r="H595" s="73" t="n">
        <f aca="false">H562*Frais_an/4</f>
        <v>254408.963444584</v>
      </c>
      <c r="I595" s="73" t="n">
        <f aca="false">I562*Frais_an/4</f>
        <v>253271.670940444</v>
      </c>
      <c r="J595" s="73" t="n">
        <f aca="false">J562*Frais_an/4</f>
        <v>257283.209044418</v>
      </c>
      <c r="K595" s="73" t="n">
        <f aca="false">K562*Frais_an/4</f>
        <v>256216.635774347</v>
      </c>
      <c r="L595" s="73" t="n">
        <f aca="false">L562*Frais_an/4</f>
        <v>260357.400260623</v>
      </c>
      <c r="M595" s="73" t="n">
        <f aca="false">M562*Frais_an/4</f>
        <v>259359.670898461</v>
      </c>
      <c r="N595" s="73" t="n">
        <f aca="false">N562*Frais_an/4</f>
        <v>263631.795014366</v>
      </c>
      <c r="O595" s="73" t="n">
        <f aca="false">O562*Frais_an/4</f>
        <v>262701.053500494</v>
      </c>
    </row>
    <row r="596" customFormat="false" ht="15" hidden="false" customHeight="false" outlineLevel="0" collapsed="false">
      <c r="B596" s="65" t="s">
        <v>1055</v>
      </c>
      <c r="C596" s="25"/>
      <c r="D596" s="73" t="n">
        <f aca="false">C605*Taux_emprunt/4</f>
        <v>0</v>
      </c>
      <c r="E596" s="73" t="n">
        <f aca="false">D605*Taux_emprunt/4</f>
        <v>0</v>
      </c>
      <c r="F596" s="73" t="n">
        <f aca="false">E605*Taux_emprunt/4</f>
        <v>0</v>
      </c>
      <c r="G596" s="73" t="n">
        <f aca="false">F605*Taux_emprunt/4</f>
        <v>0</v>
      </c>
      <c r="H596" s="73" t="n">
        <f aca="false">G605*Taux_emprunt/4</f>
        <v>0</v>
      </c>
      <c r="I596" s="73" t="n">
        <f aca="false">H605*Taux_emprunt/4</f>
        <v>0</v>
      </c>
      <c r="J596" s="73" t="n">
        <f aca="false">I605*Taux_emprunt/4</f>
        <v>0</v>
      </c>
      <c r="K596" s="73" t="n">
        <f aca="false">J605*Taux_emprunt/4</f>
        <v>0</v>
      </c>
      <c r="L596" s="73" t="n">
        <f aca="false">K605*Taux_emprunt/4</f>
        <v>0</v>
      </c>
      <c r="M596" s="73" t="n">
        <f aca="false">L605*Taux_emprunt/4</f>
        <v>0</v>
      </c>
      <c r="N596" s="73" t="n">
        <f aca="false">M605*Taux_emprunt/4</f>
        <v>0</v>
      </c>
      <c r="O596" s="73" t="n">
        <f aca="false">N605*Taux_emprunt/4</f>
        <v>0</v>
      </c>
    </row>
    <row r="597" customFormat="false" ht="15" hidden="false" customHeight="false" outlineLevel="0" collapsed="false">
      <c r="B597" s="65" t="s">
        <v>1056</v>
      </c>
      <c r="C597" s="25"/>
      <c r="D597" s="73" t="n">
        <f aca="false">D590+D591+D592-D593+D563-D594-D595-D596</f>
        <v>7045000</v>
      </c>
      <c r="E597" s="73" t="n">
        <f aca="false">E590+E591+E592-E593+E563-E594-E595-E596</f>
        <v>6317624.734375</v>
      </c>
      <c r="F597" s="73" t="n">
        <f aca="false">F590+F591+F592-F593+F563-F594-F595-F596</f>
        <v>6590665.58183672</v>
      </c>
      <c r="G597" s="73" t="n">
        <f aca="false">G590+G591+G592-G593+G563-G594-G595-G596</f>
        <v>5855746.09059708</v>
      </c>
      <c r="H597" s="73" t="n">
        <f aca="false">H590+H591+H592-H593+H563-H594-H595-H596</f>
        <v>6128887.0863448</v>
      </c>
      <c r="I597" s="73" t="n">
        <f aca="false">I590+I591+I592-I593+I563-I594-I595-I596</f>
        <v>5114925.79916765</v>
      </c>
      <c r="J597" s="73" t="n">
        <f aca="false">J590+J591+J592-J593+J563-J594-J595-J596</f>
        <v>5126279.48539768</v>
      </c>
      <c r="K597" s="73" t="n">
        <f aca="false">K590+K591+K592-K593+K563-K594-K595-K596</f>
        <v>4114965.92024833</v>
      </c>
      <c r="L597" s="73" t="n">
        <f aca="false">L590+L591+L592-L593+L563-L594-L595-L596</f>
        <v>4140608.91836169</v>
      </c>
      <c r="M597" s="73" t="n">
        <f aca="false">M590+M591+M592-M593+M563-M594-M595-M596</f>
        <v>3131418.04427553</v>
      </c>
      <c r="N597" s="73" t="n">
        <f aca="false">N590+N591+N592-N593+N563-N594-N595-N596</f>
        <v>3171626.9085919</v>
      </c>
      <c r="O597" s="73" t="n">
        <f aca="false">O590+O591+O592-O593+O563-O594-O595-O596</f>
        <v>2164035.2814509</v>
      </c>
    </row>
    <row r="598" customFormat="false" ht="15" hidden="false" customHeight="false" outlineLevel="0" collapsed="false">
      <c r="B598" s="65" t="s">
        <v>1057</v>
      </c>
      <c r="C598" s="25"/>
      <c r="D598" s="73" t="n">
        <f aca="false">MIN(D588+D589,MAX(0,Liq_cible*D562-(D597-D572)))</f>
        <v>597187.5</v>
      </c>
      <c r="E598" s="73" t="n">
        <f aca="false">MIN(E588+E589,MAX(0,Liq_cible*E562-(E597-E572)))</f>
        <v>590681.984375</v>
      </c>
      <c r="F598" s="73" t="n">
        <f aca="false">MIN(F588+F589,MAX(0,Liq_cible*F562-(F597-F572)))</f>
        <v>584273.235175</v>
      </c>
      <c r="G598" s="73" t="n">
        <f aca="false">MIN(G588+G589,MAX(0,Liq_cible*G562-(G597-G572)))</f>
        <v>577959.625272867</v>
      </c>
      <c r="H598" s="73" t="n">
        <f aca="false">MIN(H588+H589,MAX(0,Liq_cible*H562-(H597-H572)))</f>
        <v>300804.812430779</v>
      </c>
      <c r="I598" s="73" t="n">
        <f aca="false">MIN(I588+I589,MAX(0,Liq_cible*I562-(I597-I572)))</f>
        <v>299458.710895151</v>
      </c>
      <c r="J598" s="73" t="n">
        <f aca="false">MIN(J588+J589,MAX(0,Liq_cible*J562-(J597-J572)))</f>
        <v>298118.633163895</v>
      </c>
      <c r="K598" s="73" t="n">
        <f aca="false">MIN(K588+K589,MAX(0,Liq_cible*K562-(K597-K572)))</f>
        <v>296784.552280487</v>
      </c>
      <c r="L598" s="73" t="n">
        <f aca="false">MIN(L588+L589,MAX(0,Liq_cible*L562-(L597-L572)))</f>
        <v>295456.441409032</v>
      </c>
      <c r="M598" s="73" t="n">
        <f aca="false">MIN(M588+M589,MAX(0,Liq_cible*M562-(M597-M572)))</f>
        <v>294134.273833726</v>
      </c>
      <c r="N598" s="73" t="n">
        <f aca="false">MIN(N588+N589,MAX(0,Liq_cible*N562-(N597-N572)))</f>
        <v>292818.02295832</v>
      </c>
      <c r="O598" s="73" t="n">
        <f aca="false">MIN(O588+O589,MAX(0,Liq_cible*O562-(O597-O572)))</f>
        <v>291507.662305582</v>
      </c>
    </row>
    <row r="599" customFormat="false" ht="15" hidden="false" customHeight="false" outlineLevel="0" collapsed="false">
      <c r="B599" s="65" t="s">
        <v>1058</v>
      </c>
      <c r="C599" s="25"/>
      <c r="D599" s="73" t="n">
        <f aca="false">D597-D572+D598</f>
        <v>6642187.5</v>
      </c>
      <c r="E599" s="73" t="n">
        <f aca="false">E597-E572+E598</f>
        <v>6908306.71875</v>
      </c>
      <c r="F599" s="73" t="n">
        <f aca="false">F597-F572+F598</f>
        <v>6167644.75837109</v>
      </c>
      <c r="G599" s="73" t="n">
        <f aca="false">G597-G572+G598</f>
        <v>6433705.71586995</v>
      </c>
      <c r="H599" s="73" t="n">
        <f aca="false">H597-H572+H598</f>
        <v>5412056.04499724</v>
      </c>
      <c r="I599" s="73" t="n">
        <f aca="false">I597-I572+I598</f>
        <v>5414384.51006281</v>
      </c>
      <c r="J599" s="73" t="n">
        <f aca="false">J597-J572+J598</f>
        <v>4395265.2823839</v>
      </c>
      <c r="K599" s="73" t="n">
        <f aca="false">K597-K572+K598</f>
        <v>4411750.47252882</v>
      </c>
      <c r="L599" s="73" t="n">
        <f aca="false">L597-L572+L598</f>
        <v>3394635.75872823</v>
      </c>
      <c r="M599" s="73" t="n">
        <f aca="false">M597-M572+M598</f>
        <v>3425552.31810926</v>
      </c>
      <c r="N599" s="73" t="n">
        <f aca="false">N597-N572+N598</f>
        <v>2409917.75149276</v>
      </c>
      <c r="O599" s="73" t="n">
        <f aca="false">O597-O572+O598</f>
        <v>2455542.94375648</v>
      </c>
    </row>
    <row r="600" customFormat="false" ht="15" hidden="false" customHeight="false" outlineLevel="0" collapsed="false">
      <c r="B600" s="65" t="s">
        <v>1059</v>
      </c>
      <c r="C600" s="25"/>
      <c r="D600" s="73" t="n">
        <f aca="false">MIN(MAX(0,MIN($K$20*AN_cible,Emprunt_max*D562)-C605),MAX(0,IF($K$20&gt;0,Poche_min_exec*D562,0)-D599))-IF(D599&gt;Liq_cible*D562,MIN(C605,D599-Liq_cible*D562),0)</f>
        <v>0</v>
      </c>
      <c r="E600" s="73" t="n">
        <f aca="false">MIN(MAX(0,MIN($K$20*AN_cible,Emprunt_max*E562)-D605),MAX(0,IF($K$20&gt;0,Poche_min_exec*E562,0)-E599))-IF(E599&gt;Liq_cible*E562,MIN(D605,E599-Liq_cible*E562),0)</f>
        <v>0</v>
      </c>
      <c r="F600" s="73" t="n">
        <f aca="false">MIN(MAX(0,MIN($K$20*AN_cible,Emprunt_max*F562)-E605),MAX(0,IF($K$20&gt;0,Poche_min_exec*F562,0)-F599))-IF(F599&gt;Liq_cible*F562,MIN(E605,F599-Liq_cible*F562),0)</f>
        <v>0</v>
      </c>
      <c r="G600" s="73" t="n">
        <f aca="false">MIN(MAX(0,MIN($K$20*AN_cible,Emprunt_max*G562)-F605),MAX(0,IF($K$20&gt;0,Poche_min_exec*G562,0)-G599))-IF(G599&gt;Liq_cible*G562,MIN(F605,G599-Liq_cible*G562),0)</f>
        <v>0</v>
      </c>
      <c r="H600" s="73" t="n">
        <f aca="false">MIN(MAX(0,MIN($K$20*AN_cible,Emprunt_max*H562)-G605),MAX(0,IF($K$20&gt;0,Poche_min_exec*H562,0)-H599))-IF(H599&gt;Liq_cible*H562,MIN(G605,H599-Liq_cible*H562),0)</f>
        <v>0</v>
      </c>
      <c r="I600" s="73" t="n">
        <f aca="false">MIN(MAX(0,MIN($K$20*AN_cible,Emprunt_max*I562)-H605),MAX(0,IF($K$20&gt;0,Poche_min_exec*I562,0)-I599))-IF(I599&gt;Liq_cible*I562,MIN(H605,I599-Liq_cible*I562),0)</f>
        <v>0</v>
      </c>
      <c r="J600" s="73" t="n">
        <f aca="false">MIN(MAX(0,MIN($K$20*AN_cible,Emprunt_max*J562)-I605),MAX(0,IF($K$20&gt;0,Poche_min_exec*J562,0)-J599))-IF(J599&gt;Liq_cible*J562,MIN(I605,J599-Liq_cible*J562),0)</f>
        <v>0</v>
      </c>
      <c r="K600" s="73" t="n">
        <f aca="false">MIN(MAX(0,MIN($K$20*AN_cible,Emprunt_max*K562)-J605),MAX(0,IF($K$20&gt;0,Poche_min_exec*K562,0)-K599))-IF(K599&gt;Liq_cible*K562,MIN(J605,K599-Liq_cible*K562),0)</f>
        <v>0</v>
      </c>
      <c r="L600" s="73" t="n">
        <f aca="false">MIN(MAX(0,MIN($K$20*AN_cible,Emprunt_max*L562)-K605),MAX(0,IF($K$20&gt;0,Poche_min_exec*L562,0)-L599))-IF(L599&gt;Liq_cible*L562,MIN(K605,L599-Liq_cible*L562),0)</f>
        <v>0</v>
      </c>
      <c r="M600" s="73" t="n">
        <f aca="false">MIN(MAX(0,MIN($K$20*AN_cible,Emprunt_max*M562)-L605),MAX(0,IF($K$20&gt;0,Poche_min_exec*M562,0)-M599))-IF(M599&gt;Liq_cible*M562,MIN(L605,M599-Liq_cible*M562),0)</f>
        <v>0</v>
      </c>
      <c r="N600" s="73" t="n">
        <f aca="false">MIN(MAX(0,MIN($K$20*AN_cible,Emprunt_max*N562)-M605),MAX(0,IF($K$20&gt;0,Poche_min_exec*N562,0)-N599))-IF(N599&gt;Liq_cible*N562,MIN(M605,N599-Liq_cible*N562),0)</f>
        <v>0</v>
      </c>
      <c r="O600" s="73" t="n">
        <f aca="false">MIN(MAX(0,MIN($K$20*AN_cible,Emprunt_max*O562)-N605),MAX(0,IF($K$20&gt;0,Poche_min_exec*O562,0)-O599))-IF(O599&gt;Liq_cible*O562,MIN(N605,O599-Liq_cible*O562),0)</f>
        <v>0</v>
      </c>
    </row>
    <row r="601" customFormat="false" ht="15" hidden="false" customHeight="false" outlineLevel="0" collapsed="false">
      <c r="B601" s="65" t="s">
        <v>1060</v>
      </c>
      <c r="C601" s="25"/>
      <c r="D601" s="73" t="n">
        <f aca="false">MIN((C576+C577+C578+C579),MAX(0,-(D599+D600))/(1-Decote))</f>
        <v>0</v>
      </c>
      <c r="E601" s="73" t="n">
        <f aca="false">MIN((D576+D577+D578+D579),MAX(0,-(E599+E600))/(1-Decote))</f>
        <v>0</v>
      </c>
      <c r="F601" s="73" t="n">
        <f aca="false">MIN((E576+E577+E578+E579),MAX(0,-(F599+F600))/(1-Decote))</f>
        <v>0</v>
      </c>
      <c r="G601" s="73" t="n">
        <f aca="false">MIN((F576+F577+F578+F579),MAX(0,-(G599+G600))/(1-Decote))</f>
        <v>0</v>
      </c>
      <c r="H601" s="73" t="n">
        <f aca="false">MIN((G576+G577+G578+G579),MAX(0,-(H599+H600))/(1-Decote))</f>
        <v>0</v>
      </c>
      <c r="I601" s="73" t="n">
        <f aca="false">MIN((H576+H577+H578+H579),MAX(0,-(I599+I600))/(1-Decote))</f>
        <v>0</v>
      </c>
      <c r="J601" s="73" t="n">
        <f aca="false">MIN((I576+I577+I578+I579),MAX(0,-(J599+J600))/(1-Decote))</f>
        <v>0</v>
      </c>
      <c r="K601" s="73" t="n">
        <f aca="false">MIN((J576+J577+J578+J579),MAX(0,-(K599+K600))/(1-Decote))</f>
        <v>0</v>
      </c>
      <c r="L601" s="73" t="n">
        <f aca="false">MIN((K576+K577+K578+K579),MAX(0,-(L599+L600))/(1-Decote))</f>
        <v>0</v>
      </c>
      <c r="M601" s="73" t="n">
        <f aca="false">MIN((L576+L577+L578+L579),MAX(0,-(M599+M600))/(1-Decote))</f>
        <v>0</v>
      </c>
      <c r="N601" s="73" t="n">
        <f aca="false">MIN((M576+M577+M578+M579),MAX(0,-(N599+N600))/(1-Decote))</f>
        <v>0</v>
      </c>
      <c r="O601" s="73" t="n">
        <f aca="false">MIN((N576+N577+N578+N579),MAX(0,-(O599+O600))/(1-Decote))</f>
        <v>0</v>
      </c>
    </row>
    <row r="602" customFormat="false" ht="15" hidden="false" customHeight="false" outlineLevel="0" collapsed="false">
      <c r="B602" s="65" t="s">
        <v>1061</v>
      </c>
      <c r="C602" s="25"/>
      <c r="D602" s="73" t="n">
        <f aca="false">D601*Decote</f>
        <v>0</v>
      </c>
      <c r="E602" s="73" t="n">
        <f aca="false">E601*Decote</f>
        <v>0</v>
      </c>
      <c r="F602" s="73" t="n">
        <f aca="false">F601*Decote</f>
        <v>0</v>
      </c>
      <c r="G602" s="73" t="n">
        <f aca="false">G601*Decote</f>
        <v>0</v>
      </c>
      <c r="H602" s="73" t="n">
        <f aca="false">H601*Decote</f>
        <v>0</v>
      </c>
      <c r="I602" s="73" t="n">
        <f aca="false">I601*Decote</f>
        <v>0</v>
      </c>
      <c r="J602" s="73" t="n">
        <f aca="false">J601*Decote</f>
        <v>0</v>
      </c>
      <c r="K602" s="73" t="n">
        <f aca="false">K601*Decote</f>
        <v>0</v>
      </c>
      <c r="L602" s="73" t="n">
        <f aca="false">L601*Decote</f>
        <v>0</v>
      </c>
      <c r="M602" s="73" t="n">
        <f aca="false">M601*Decote</f>
        <v>0</v>
      </c>
      <c r="N602" s="73" t="n">
        <f aca="false">N601*Decote</f>
        <v>0</v>
      </c>
      <c r="O602" s="73" t="n">
        <f aca="false">O601*Decote</f>
        <v>0</v>
      </c>
    </row>
    <row r="603" customFormat="false" ht="15" hidden="false" customHeight="false" outlineLevel="0" collapsed="false">
      <c r="B603" s="65" t="s">
        <v>1062</v>
      </c>
      <c r="C603" s="25"/>
      <c r="D603" s="73" t="n">
        <f aca="false">IF(AND(D573&lt;0.000001,C605+D600&lt;0.000001),MAX(0,D599+D600-Seuil_reinv*D562),0)</f>
        <v>0</v>
      </c>
      <c r="E603" s="73" t="n">
        <f aca="false">IF(AND(E573&lt;0.000001,D605+E600&lt;0.000001),MAX(0,E599+E600-Seuil_reinv*E562),0)</f>
        <v>0</v>
      </c>
      <c r="F603" s="73" t="n">
        <f aca="false">IF(AND(F573&lt;0.000001,E605+F600&lt;0.000001),MAX(0,F599+F600-Seuil_reinv*F562),0)</f>
        <v>0</v>
      </c>
      <c r="G603" s="73" t="n">
        <f aca="false">IF(AND(G573&lt;0.000001,F605+G600&lt;0.000001),MAX(0,G599+G600-Seuil_reinv*G562),0)</f>
        <v>0</v>
      </c>
      <c r="H603" s="73" t="n">
        <f aca="false">IF(AND(H573&lt;0.000001,G605+H600&lt;0.000001),MAX(0,H599+H600-Seuil_reinv*H562),0)</f>
        <v>0</v>
      </c>
      <c r="I603" s="73" t="n">
        <f aca="false">IF(AND(I573&lt;0.000001,H605+I600&lt;0.000001),MAX(0,I599+I600-Seuil_reinv*I562),0)</f>
        <v>0</v>
      </c>
      <c r="J603" s="73" t="n">
        <f aca="false">IF(AND(J573&lt;0.000001,I605+J600&lt;0.000001),MAX(0,J599+J600-Seuil_reinv*J562),0)</f>
        <v>0</v>
      </c>
      <c r="K603" s="73" t="n">
        <f aca="false">IF(AND(K573&lt;0.000001,J605+K600&lt;0.000001),MAX(0,K599+K600-Seuil_reinv*K562),0)</f>
        <v>0</v>
      </c>
      <c r="L603" s="73" t="n">
        <f aca="false">IF(AND(L573&lt;0.000001,K605+L600&lt;0.000001),MAX(0,L599+L600-Seuil_reinv*L562),0)</f>
        <v>0</v>
      </c>
      <c r="M603" s="73" t="n">
        <f aca="false">IF(AND(M573&lt;0.000001,L605+M600&lt;0.000001),MAX(0,M599+M600-Seuil_reinv*M562),0)</f>
        <v>0</v>
      </c>
      <c r="N603" s="73" t="n">
        <f aca="false">IF(AND(N573&lt;0.000001,M605+N600&lt;0.000001),MAX(0,N599+N600-Seuil_reinv*N562),0)</f>
        <v>0</v>
      </c>
      <c r="O603" s="73" t="n">
        <f aca="false">IF(AND(O573&lt;0.000001,N605+O600&lt;0.000001),MAX(0,O599+O600-Seuil_reinv*O562),0)</f>
        <v>0</v>
      </c>
    </row>
    <row r="604" customFormat="false" ht="15" hidden="false" customHeight="false" outlineLevel="0" collapsed="false">
      <c r="B604" s="65" t="s">
        <v>1063</v>
      </c>
      <c r="C604" s="73" t="n">
        <f aca="false">AN_cible*Ws_LIQ</f>
        <v>7500000</v>
      </c>
      <c r="D604" s="73" t="n">
        <f aca="false">D599+D600+D601-D602-D603</f>
        <v>6642187.5</v>
      </c>
      <c r="E604" s="73" t="n">
        <f aca="false">E599+E600+E601-E602-E603</f>
        <v>6908306.71875</v>
      </c>
      <c r="F604" s="73" t="n">
        <f aca="false">F599+F600+F601-F602-F603</f>
        <v>6167644.75837109</v>
      </c>
      <c r="G604" s="73" t="n">
        <f aca="false">G599+G600+G601-G602-G603</f>
        <v>6433705.71586995</v>
      </c>
      <c r="H604" s="73" t="n">
        <f aca="false">H599+H600+H601-H602-H603</f>
        <v>5412056.04499724</v>
      </c>
      <c r="I604" s="73" t="n">
        <f aca="false">I599+I600+I601-I602-I603</f>
        <v>5414384.51006281</v>
      </c>
      <c r="J604" s="73" t="n">
        <f aca="false">J599+J600+J601-J602-J603</f>
        <v>4395265.2823839</v>
      </c>
      <c r="K604" s="73" t="n">
        <f aca="false">K599+K600+K601-K602-K603</f>
        <v>4411750.47252882</v>
      </c>
      <c r="L604" s="73" t="n">
        <f aca="false">L599+L600+L601-L602-L603</f>
        <v>3394635.75872823</v>
      </c>
      <c r="M604" s="73" t="n">
        <f aca="false">M599+M600+M601-M602-M603</f>
        <v>3425552.31810926</v>
      </c>
      <c r="N604" s="73" t="n">
        <f aca="false">N599+N600+N601-N602-N603</f>
        <v>2409917.75149276</v>
      </c>
      <c r="O604" s="73" t="n">
        <f aca="false">O599+O600+O601-O602-O603</f>
        <v>2455542.94375648</v>
      </c>
    </row>
    <row r="605" customFormat="false" ht="15" hidden="false" customHeight="false" outlineLevel="0" collapsed="false">
      <c r="B605" s="65" t="s">
        <v>1064</v>
      </c>
      <c r="C605" s="73" t="n">
        <v>0</v>
      </c>
      <c r="D605" s="73" t="n">
        <f aca="false">C605+D600</f>
        <v>0</v>
      </c>
      <c r="E605" s="73" t="n">
        <f aca="false">D605+E600</f>
        <v>0</v>
      </c>
      <c r="F605" s="73" t="n">
        <f aca="false">E605+F600</f>
        <v>0</v>
      </c>
      <c r="G605" s="73" t="n">
        <f aca="false">F605+G600</f>
        <v>0</v>
      </c>
      <c r="H605" s="73" t="n">
        <f aca="false">G605+H600</f>
        <v>0</v>
      </c>
      <c r="I605" s="73" t="n">
        <f aca="false">H605+I600</f>
        <v>0</v>
      </c>
      <c r="J605" s="73" t="n">
        <f aca="false">I605+J600</f>
        <v>0</v>
      </c>
      <c r="K605" s="73" t="n">
        <f aca="false">J605+K600</f>
        <v>0</v>
      </c>
      <c r="L605" s="73" t="n">
        <f aca="false">K605+L600</f>
        <v>0</v>
      </c>
      <c r="M605" s="73" t="n">
        <f aca="false">L605+M600</f>
        <v>0</v>
      </c>
      <c r="N605" s="73" t="n">
        <f aca="false">M605+N600</f>
        <v>0</v>
      </c>
      <c r="O605" s="73" t="n">
        <f aca="false">N605+O600</f>
        <v>0</v>
      </c>
    </row>
    <row r="606" customFormat="false" ht="15" hidden="false" customHeight="false" outlineLevel="0" collapsed="false">
      <c r="B606" s="74" t="s">
        <v>1065</v>
      </c>
      <c r="C606" s="73" t="n">
        <f aca="false">C576+C577+C578+C579+C604-C605</f>
        <v>50000000</v>
      </c>
      <c r="D606" s="73" t="n">
        <f aca="false">D576+D577+D578+D579+D604-D605</f>
        <v>49615956.25</v>
      </c>
      <c r="E606" s="73" t="n">
        <f aca="false">E576+E577+E578+E579+E604-E605</f>
        <v>50364702.9320313</v>
      </c>
      <c r="F606" s="73" t="n">
        <f aca="false">F576+F577+F578+F579+F604-F605</f>
        <v>50115491.7136237</v>
      </c>
      <c r="G606" s="73" t="n">
        <f aca="false">G576+G577+G578+G579+G604-G605</f>
        <v>50881792.6889169</v>
      </c>
      <c r="H606" s="73" t="n">
        <f aca="false">H576+H577+H578+H579+H604-H605</f>
        <v>50654334.1880888</v>
      </c>
      <c r="I606" s="73" t="n">
        <f aca="false">I576+I577+I578+I579+I604-I605</f>
        <v>51456641.8088835</v>
      </c>
      <c r="J606" s="73" t="n">
        <f aca="false">J576+J577+J578+J579+J604-J605</f>
        <v>51243327.1548693</v>
      </c>
      <c r="K606" s="73" t="n">
        <f aca="false">K576+K577+K578+K579+K604-K605</f>
        <v>52071480.0521245</v>
      </c>
      <c r="L606" s="73" t="n">
        <f aca="false">L576+L577+L578+L579+L604-L605</f>
        <v>51871934.1796922</v>
      </c>
      <c r="M606" s="73" t="n">
        <f aca="false">M576+M577+M578+M579+M604-M605</f>
        <v>52726359.0028733</v>
      </c>
      <c r="N606" s="73" t="n">
        <f aca="false">N576+N577+N578+N579+N604-N605</f>
        <v>52540210.7000988</v>
      </c>
      <c r="O606" s="73" t="n">
        <f aca="false">O576+O577+O578+O579+O604-O605</f>
        <v>53421339.0253837</v>
      </c>
    </row>
    <row r="607" customFormat="false" ht="15" hidden="false" customHeight="false" outlineLevel="0" collapsed="false">
      <c r="B607" s="65" t="s">
        <v>1066</v>
      </c>
      <c r="C607" s="72" t="n">
        <f aca="false">IF((C606+C605)&gt;0,C604/(C606+C605),0)</f>
        <v>0.15</v>
      </c>
      <c r="D607" s="72" t="n">
        <f aca="false">IF((D606+D605)&gt;0,D604/(D606+D605),0)</f>
        <v>0.13387200412972</v>
      </c>
      <c r="E607" s="72" t="n">
        <f aca="false">IF((E606+E605)&gt;0,E604/(E606+E605),0)</f>
        <v>0.137165640152251</v>
      </c>
      <c r="F607" s="72" t="n">
        <f aca="false">IF((F606+F605)&gt;0,F604/(F606+F605),0)</f>
        <v>0.123068627034831</v>
      </c>
      <c r="G607" s="72" t="n">
        <f aca="false">IF((G606+G605)&gt;0,G604/(G606+G605),0)</f>
        <v>0.126444163538117</v>
      </c>
      <c r="H607" s="72" t="n">
        <f aca="false">IF((H606+H605)&gt;0,H604/(H606+H605),0)</f>
        <v>0.106842901634069</v>
      </c>
      <c r="I607" s="72" t="n">
        <f aca="false">IF((I606+I605)&gt;0,I604/(I606+I605),0)</f>
        <v>0.105222267130695</v>
      </c>
      <c r="J607" s="72" t="n">
        <f aca="false">IF((J606+J605)&gt;0,J604/(J606+J605),0)</f>
        <v>0.085772441533712</v>
      </c>
      <c r="K607" s="72" t="n">
        <f aca="false">IF((K606+K605)&gt;0,K604/(K606+K605),0)</f>
        <v>0.0847248910173587</v>
      </c>
      <c r="L607" s="72" t="n">
        <f aca="false">IF((L606+L605)&gt;0,L604/(L606+L605),0)</f>
        <v>0.0654426292832787</v>
      </c>
      <c r="M607" s="72" t="n">
        <f aca="false">IF((M606+M605)&gt;0,M604/(M606+M605),0)</f>
        <v>0.0649684974060619</v>
      </c>
      <c r="N607" s="72" t="n">
        <f aca="false">IF((N606+N605)&gt;0,N604/(N606+N605),0)</f>
        <v>0.0458680640861652</v>
      </c>
      <c r="O607" s="72" t="n">
        <f aca="false">IF((O606+O605)&gt;0,O604/(O606+O605),0)</f>
        <v>0.045965582079283</v>
      </c>
    </row>
    <row r="608" customFormat="false" ht="15" hidden="false" customHeight="false" outlineLevel="0" collapsed="false">
      <c r="B608" s="65" t="s">
        <v>1067</v>
      </c>
      <c r="C608" s="72" t="n">
        <f aca="false">0</f>
        <v>0</v>
      </c>
      <c r="D608" s="72" t="n">
        <f aca="false">IF(D606&gt;0,D573/D606,0)</f>
        <v>0</v>
      </c>
      <c r="E608" s="72" t="n">
        <f aca="false">IF(E606&gt;0,E573/E606,0)</f>
        <v>0</v>
      </c>
      <c r="F608" s="72" t="n">
        <f aca="false">IF(F606&gt;0,F573/F606,0)</f>
        <v>0</v>
      </c>
      <c r="G608" s="72" t="n">
        <f aca="false">IF(G606&gt;0,G573/G606,0)</f>
        <v>0</v>
      </c>
      <c r="H608" s="72" t="n">
        <f aca="false">IF(H606&gt;0,H573/H606,0)</f>
        <v>0</v>
      </c>
      <c r="I608" s="72" t="n">
        <f aca="false">IF(I606&gt;0,I573/I606,0)</f>
        <v>0</v>
      </c>
      <c r="J608" s="72" t="n">
        <f aca="false">IF(J606&gt;0,J573/J606,0)</f>
        <v>0</v>
      </c>
      <c r="K608" s="72" t="n">
        <f aca="false">IF(K606&gt;0,K573/K606,0)</f>
        <v>0</v>
      </c>
      <c r="L608" s="72" t="n">
        <f aca="false">IF(L606&gt;0,L573/L606,0)</f>
        <v>0</v>
      </c>
      <c r="M608" s="72" t="n">
        <f aca="false">IF(M606&gt;0,M573/M606,0)</f>
        <v>0</v>
      </c>
      <c r="N608" s="72" t="n">
        <f aca="false">IF(N606&gt;0,N573/N606,0)</f>
        <v>0</v>
      </c>
      <c r="O608" s="72" t="n">
        <f aca="false">IF(O606&gt;0,O573/O606,0)</f>
        <v>0</v>
      </c>
    </row>
    <row r="609" customFormat="false" ht="15" hidden="false" customHeight="false" outlineLevel="0" collapsed="false">
      <c r="B609" s="65" t="s">
        <v>1068</v>
      </c>
      <c r="C609" s="75" t="n">
        <f aca="false">IF((C573+SUM(D564:G564)+SUM(D594:G594)+SUM(D595:G595)+SUM(D593:G593))&lt;=0,9.99,MIN(9.99,(C604+SUM(D592:G592)+SUM(D588:G589)+MAX(0,MIN($K$20*AN_cible,Emprunt_max*C606)-C605))/(C573+SUM(D564:G564)+SUM(D594:G594)+SUM(D595:G595)+SUM(D593:G593))))</f>
        <v>2.11199054730092</v>
      </c>
      <c r="D609" s="73" t="n">
        <f aca="false">IF((D573+SUM(E564:H564)+SUM(E594:H594)+SUM(E595:H595)+SUM(E593:H593))&lt;=0,9.99,MIN(9.99,(D604+SUM(E592:H592)+SUM(E588:H589)+MAX(0,MIN($K$20*AN_cible,Emprunt_max*D606)-D605))/(D573+SUM(E564:H564)+SUM(E594:H594)+SUM(E595:H595)+SUM(E593:H593))))</f>
        <v>1.94914615060267</v>
      </c>
      <c r="E609" s="73" t="n">
        <f aca="false">IF((E573+SUM(F564:I564)+SUM(F594:I594)+SUM(F595:I595)+SUM(F593:I593))&lt;=0,9.99,MIN(9.99,(E604+SUM(F592:I592)+SUM(F588:I589)+MAX(0,MIN($K$20*AN_cible,Emprunt_max*E606)-E605))/(E573+SUM(F564:I564)+SUM(F594:I594)+SUM(F595:I595)+SUM(F593:I593))))</f>
        <v>1.95006555691771</v>
      </c>
      <c r="F609" s="73" t="n">
        <f aca="false">IF((F573+SUM(G564:J564)+SUM(G594:J594)+SUM(G595:J595)+SUM(G593:J593))&lt;=0,9.99,MIN(9.99,(F604+SUM(G592:J592)+SUM(G588:J589)+MAX(0,MIN($K$20*AN_cible,Emprunt_max*F606)-F605))/(F573+SUM(G564:J564)+SUM(G594:J594)+SUM(G595:J595)+SUM(G593:J593))))</f>
        <v>1.76386278265633</v>
      </c>
      <c r="G609" s="73" t="n">
        <f aca="false">IF((G573+SUM(H564:K564)+SUM(H594:K594)+SUM(H595:K595)+SUM(H593:K593))&lt;=0,9.99,MIN(9.99,(G604+SUM(H592:K592)+SUM(H588:K589)+MAX(0,MIN($K$20*AN_cible,Emprunt_max*G606)-G605))/(G573+SUM(H564:K564)+SUM(H594:K594)+SUM(H595:K595)+SUM(H593:K593))))</f>
        <v>1.76803936609319</v>
      </c>
      <c r="H609" s="73" t="n">
        <f aca="false">IF((H573+SUM(I564:L564)+SUM(I594:L594)+SUM(I595:L595)+SUM(I593:L593))&lt;=0,9.99,MIN(9.99,(H604+SUM(I592:L592)+SUM(I588:L589)+MAX(0,MIN($K$20*AN_cible,Emprunt_max*H606)-H605))/(H573+SUM(I564:L564)+SUM(I594:L594)+SUM(I595:L595)+SUM(I593:L593))))</f>
        <v>1.58451358789139</v>
      </c>
      <c r="I609" s="73" t="n">
        <f aca="false">IF((I573+SUM(J564:M564)+SUM(J594:M594)+SUM(J595:M595)+SUM(J593:M593))&lt;=0,9.99,MIN(9.99,(I604+SUM(J592:M592)+SUM(J588:M589)+MAX(0,MIN($K$20*AN_cible,Emprunt_max*I606)-I605))/(I573+SUM(J564:M564)+SUM(J594:M594)+SUM(J595:M595)+SUM(J593:M593))))</f>
        <v>1.59164572407174</v>
      </c>
      <c r="J609" s="73" t="n">
        <f aca="false">IF((J573+SUM(K564:N564)+SUM(K594:N594)+SUM(K595:N595)+SUM(K593:N593))&lt;=0,9.99,MIN(9.99,(J604+SUM(K592:N592)+SUM(K588:N589)+MAX(0,MIN($K$20*AN_cible,Emprunt_max*J606)-J605))/(J573+SUM(K564:N564)+SUM(K594:N594)+SUM(K595:N595)+SUM(K593:N593))))</f>
        <v>1.41029874631138</v>
      </c>
      <c r="K609" s="73" t="n">
        <f aca="false">IF((K573+SUM(L564:O564)+SUM(L594:O594)+SUM(L595:O595)+SUM(L593:O593))&lt;=0,9.99,MIN(9.99,(K604+SUM(L592:O592)+SUM(L588:O589)+MAX(0,MIN($K$20*AN_cible,Emprunt_max*K606)-K605))/(K573+SUM(L564:O564)+SUM(L594:O594)+SUM(L595:O595)+SUM(L593:O593))))</f>
        <v>1.42011317383777</v>
      </c>
      <c r="L609" s="73" t="n">
        <f aca="false">IF((L573+SUM(M564:O564)+SUM(M594:O594)+SUM(M595:O595)+SUM(M593:O593))&lt;=0,9.99,MIN(9.99,(L604+SUM(M592:O592)+SUM(M588:O589)+MAX(0,MIN($K$20*AN_cible,Emprunt_max*L606)-L605))/(L573+SUM(M564:O564)+SUM(M594:O594)+SUM(M595:O595)+SUM(M593:O593))))</f>
        <v>1.64541399332884</v>
      </c>
      <c r="M609" s="73" t="n">
        <f aca="false">IF((M573+SUM(N564:O564)+SUM(N594:O594)+SUM(N595:O595)+SUM(N593:O593))&lt;=0,9.99,MIN(9.99,(M604+SUM(N592:O592)+SUM(N588:O589)+MAX(0,MIN($K$20*AN_cible,Emprunt_max*M606)-M605))/(M573+SUM(N564:O564)+SUM(N594:O594)+SUM(N595:O595)+SUM(N593:O593))))</f>
        <v>1.85453580587009</v>
      </c>
      <c r="N609" s="73" t="n">
        <f aca="false">IF((N573+SUM(O564:O564)+SUM(O594:O594)+SUM(O595:O595)+SUM(O593:O593))&lt;=0,9.99,MIN(9.99,(N604+SUM(O592:O592)+SUM(O588:O589)+MAX(0,MIN($K$20*AN_cible,Emprunt_max*N606)-N605))/(N573+SUM(O564:O564)+SUM(O594:O594)+SUM(O595:O595)+SUM(O593:O593))))</f>
        <v>3.74921489412009</v>
      </c>
      <c r="O609" s="73" t="n">
        <f aca="false">9.99</f>
        <v>9.99</v>
      </c>
    </row>
    <row r="610" customFormat="false" ht="15" hidden="false" customHeight="false" outlineLevel="0" collapsed="false">
      <c r="B610" s="65" t="s">
        <v>1069</v>
      </c>
      <c r="C610" s="72" t="n">
        <f aca="false">(C576+C577+C578+C579+C584+C585)/C606</f>
        <v>1</v>
      </c>
      <c r="D610" s="72" t="n">
        <f aca="false">(D576+D577+D578+D579+D584+D585)/D606</f>
        <v>1.00469229089987</v>
      </c>
      <c r="E610" s="72" t="n">
        <f aca="false">(E576+E577+E578+E579+E584+E585)/E606</f>
        <v>0.986929204771874</v>
      </c>
      <c r="F610" s="72" t="n">
        <f aca="false">(F576+F577+F578+F579+F584+F585)/F606</f>
        <v>0.989172115451407</v>
      </c>
      <c r="G610" s="72" t="n">
        <f aca="false">(G576+G577+G578+G579+G584+G585)/G606</f>
        <v>0.971822814407594</v>
      </c>
      <c r="H610" s="72" t="n">
        <f aca="false">(H576+H577+H578+H579+H584+H585)/H606</f>
        <v>0.979526805324369</v>
      </c>
      <c r="I610" s="72" t="n">
        <f aca="false">(I576+I577+I578+I579+I584+I585)/I606</f>
        <v>0.967654622385881</v>
      </c>
      <c r="J610" s="72" t="n">
        <f aca="false">(J576+J577+J578+J579+J584+J585)/J606</f>
        <v>0.975211108393784</v>
      </c>
      <c r="K610" s="72" t="n">
        <f aca="false">(K576+K577+K578+K579+K584+K585)/K606</f>
        <v>0.963286035453282</v>
      </c>
      <c r="L610" s="72" t="n">
        <f aca="false">(L576+L577+L578+L579+L584+L585)/L606</f>
        <v>0.970704085306247</v>
      </c>
      <c r="M610" s="72" t="n">
        <f aca="false">(M576+M577+M578+M579+M584+M585)/M606</f>
        <v>0.958738809975657</v>
      </c>
      <c r="N610" s="72" t="n">
        <f aca="false">(N576+N577+N578+N579+N584+N585)/N606</f>
        <v>0.966027586724364</v>
      </c>
      <c r="O610" s="72" t="n">
        <f aca="false">(O576+O577+O578+O579+O584+O585)/O606</f>
        <v>0.954034417920717</v>
      </c>
    </row>
    <row r="611" customFormat="false" ht="15" hidden="false" customHeight="false" outlineLevel="0" collapsed="false">
      <c r="B611" s="65" t="s">
        <v>849</v>
      </c>
      <c r="C611" s="72" t="n">
        <f aca="false">(C606+C605)/C606</f>
        <v>1</v>
      </c>
      <c r="D611" s="72" t="n">
        <f aca="false">(D606+D605)/D606</f>
        <v>1</v>
      </c>
      <c r="E611" s="72" t="n">
        <f aca="false">(E606+E605)/E606</f>
        <v>1</v>
      </c>
      <c r="F611" s="72" t="n">
        <f aca="false">(F606+F605)/F606</f>
        <v>1</v>
      </c>
      <c r="G611" s="72" t="n">
        <f aca="false">(G606+G605)/G606</f>
        <v>1</v>
      </c>
      <c r="H611" s="72" t="n">
        <f aca="false">(H606+H605)/H606</f>
        <v>1</v>
      </c>
      <c r="I611" s="72" t="n">
        <f aca="false">(I606+I605)/I606</f>
        <v>1</v>
      </c>
      <c r="J611" s="72" t="n">
        <f aca="false">(J606+J605)/J606</f>
        <v>1</v>
      </c>
      <c r="K611" s="72" t="n">
        <f aca="false">(K606+K605)/K606</f>
        <v>1</v>
      </c>
      <c r="L611" s="72" t="n">
        <f aca="false">(L606+L605)/L606</f>
        <v>1</v>
      </c>
      <c r="M611" s="72" t="n">
        <f aca="false">(M606+M605)/M606</f>
        <v>1</v>
      </c>
      <c r="N611" s="72" t="n">
        <f aca="false">(N606+N605)/N606</f>
        <v>1</v>
      </c>
      <c r="O611" s="72" t="n">
        <f aca="false">(O606+O605)/O606</f>
        <v>1</v>
      </c>
    </row>
    <row r="612" customFormat="false" ht="15" hidden="false" customHeight="false" outlineLevel="0" collapsed="false">
      <c r="B612" s="65" t="s">
        <v>1070</v>
      </c>
      <c r="C612" s="72" t="n">
        <f aca="false">(C576+C577*MSIG_USD)/C606</f>
        <v>0.25</v>
      </c>
      <c r="D612" s="72" t="n">
        <f aca="false">(D576+D577*MSIG_USD)/D606</f>
        <v>0.261439332835594</v>
      </c>
      <c r="E612" s="72" t="n">
        <f aca="false">(E576+E577*MSIG_USD)/E606</f>
        <v>0.266987930782781</v>
      </c>
      <c r="F612" s="72" t="n">
        <f aca="false">(F576+F577*MSIG_USD)/F606</f>
        <v>0.277871045969181</v>
      </c>
      <c r="G612" s="72" t="n">
        <f aca="false">(G576+G577*MSIG_USD)/G606</f>
        <v>0.283170441546739</v>
      </c>
      <c r="H612" s="72" t="n">
        <f aca="false">(H576+H577*MSIG_USD)/H606</f>
        <v>0.294042423779676</v>
      </c>
      <c r="I612" s="72" t="n">
        <f aca="false">(I576+I577*MSIG_USD)/I606</f>
        <v>0.298981489084901</v>
      </c>
      <c r="J612" s="72" t="n">
        <f aca="false">(J576+J577*MSIG_USD)/J606</f>
        <v>0.309863355477252</v>
      </c>
      <c r="K612" s="72" t="n">
        <f aca="false">(K576+K577*MSIG_USD)/K606</f>
        <v>0.314492504302948</v>
      </c>
      <c r="L612" s="72" t="n">
        <f aca="false">(L576+L577*MSIG_USD)/L606</f>
        <v>0.325370467243553</v>
      </c>
      <c r="M612" s="72" t="n">
        <f aca="false">(M576+M577*MSIG_USD)/M606</f>
        <v>0.329682823061256</v>
      </c>
      <c r="N612" s="72" t="n">
        <f aca="false">(N576+N577*MSIG_USD)/N606</f>
        <v>0.340544092389179</v>
      </c>
      <c r="O612" s="72" t="n">
        <f aca="false">(O576+O577*MSIG_USD)/O606</f>
        <v>0.344534158043837</v>
      </c>
    </row>
    <row r="613" customFormat="false" ht="15" hidden="false" customHeight="false" outlineLevel="0" collapsed="false">
      <c r="B613" s="65" t="s">
        <v>1071</v>
      </c>
      <c r="C613" s="25"/>
      <c r="D613" s="65" t="n">
        <f aca="false">IF(AND($K$9&lt;0.5*Collecte_norm,IF(D557&lt;=$K$11,0,$K$10)&lt;0.5,IF(D557&lt;=4,$K$17,($K$18+$K$19)/2)&lt;0.7),1,0)</f>
        <v>0</v>
      </c>
      <c r="E613" s="65" t="n">
        <f aca="false">IF(AND($K$9&lt;0.5*Collecte_norm,IF(E557&lt;=$K$11,0,$K$10)&lt;0.5,IF(E557&lt;=4,$K$17,($K$18+$K$19)/2)&lt;0.7),1,0)</f>
        <v>0</v>
      </c>
      <c r="F613" s="65" t="n">
        <f aca="false">IF(AND($K$9&lt;0.5*Collecte_norm,IF(F557&lt;=$K$11,0,$K$10)&lt;0.5,IF(F557&lt;=4,$K$17,($K$18+$K$19)/2)&lt;0.7),1,0)</f>
        <v>0</v>
      </c>
      <c r="G613" s="65" t="n">
        <f aca="false">IF(AND($K$9&lt;0.5*Collecte_norm,IF(G557&lt;=$K$11,0,$K$10)&lt;0.5,IF(G557&lt;=4,$K$17,($K$18+$K$19)/2)&lt;0.7),1,0)</f>
        <v>0</v>
      </c>
      <c r="H613" s="65" t="n">
        <f aca="false">IF(AND($K$9&lt;0.5*Collecte_norm,IF(H557&lt;=$K$11,0,$K$10)&lt;0.5,IF(H557&lt;=4,$K$17,($K$18+$K$19)/2)&lt;0.7),1,0)</f>
        <v>0</v>
      </c>
      <c r="I613" s="65" t="n">
        <f aca="false">IF(AND($K$9&lt;0.5*Collecte_norm,IF(I557&lt;=$K$11,0,$K$10)&lt;0.5,IF(I557&lt;=4,$K$17,($K$18+$K$19)/2)&lt;0.7),1,0)</f>
        <v>0</v>
      </c>
      <c r="J613" s="65" t="n">
        <f aca="false">IF(AND($K$9&lt;0.5*Collecte_norm,IF(J557&lt;=$K$11,0,$K$10)&lt;0.5,IF(J557&lt;=4,$K$17,($K$18+$K$19)/2)&lt;0.7),1,0)</f>
        <v>0</v>
      </c>
      <c r="K613" s="65" t="n">
        <f aca="false">IF(AND($K$9&lt;0.5*Collecte_norm,IF(K557&lt;=$K$11,0,$K$10)&lt;0.5,IF(K557&lt;=4,$K$17,($K$18+$K$19)/2)&lt;0.7),1,0)</f>
        <v>0</v>
      </c>
      <c r="L613" s="65" t="n">
        <f aca="false">IF(AND($K$9&lt;0.5*Collecte_norm,IF(L557&lt;=$K$11,0,$K$10)&lt;0.5,IF(L557&lt;=4,$K$17,($K$18+$K$19)/2)&lt;0.7),1,0)</f>
        <v>0</v>
      </c>
      <c r="M613" s="65" t="n">
        <f aca="false">IF(AND($K$9&lt;0.5*Collecte_norm,IF(M557&lt;=$K$11,0,$K$10)&lt;0.5,IF(M557&lt;=4,$K$17,($K$18+$K$19)/2)&lt;0.7),1,0)</f>
        <v>0</v>
      </c>
      <c r="N613" s="65" t="n">
        <f aca="false">IF(AND($K$9&lt;0.5*Collecte_norm,IF(N557&lt;=$K$11,0,$K$10)&lt;0.5,IF(N557&lt;=4,$K$17,($K$18+$K$19)/2)&lt;0.7),1,0)</f>
        <v>0</v>
      </c>
      <c r="O613" s="65" t="n">
        <f aca="false">IF(AND($K$9&lt;0.5*Collecte_norm,IF(O557&lt;=$K$11,0,$K$10)&lt;0.5,IF(O557&lt;=4,$K$17,($K$18+$K$19)/2)&lt;0.7),1,0)</f>
        <v>0</v>
      </c>
    </row>
    <row r="614" customFormat="false" ht="15" hidden="false" customHeight="false" outlineLevel="0" collapsed="false">
      <c r="B614" s="76" t="s">
        <v>1072</v>
      </c>
      <c r="C614" s="76" t="n">
        <v>99</v>
      </c>
      <c r="D614" s="76" t="n">
        <f aca="false">IF(D574=1,D560,99)</f>
        <v>99</v>
      </c>
      <c r="E614" s="76" t="n">
        <f aca="false">IF(E574=1,E560,99)</f>
        <v>99</v>
      </c>
      <c r="F614" s="76" t="n">
        <f aca="false">IF(F574=1,F560,99)</f>
        <v>99</v>
      </c>
      <c r="G614" s="76" t="n">
        <f aca="false">IF(G574=1,G560,99)</f>
        <v>99</v>
      </c>
      <c r="H614" s="76" t="n">
        <f aca="false">IF(H574=1,H560,99)</f>
        <v>99</v>
      </c>
      <c r="I614" s="76" t="n">
        <f aca="false">IF(I574=1,I560,99)</f>
        <v>99</v>
      </c>
      <c r="J614" s="76" t="n">
        <f aca="false">IF(J574=1,J560,99)</f>
        <v>99</v>
      </c>
      <c r="K614" s="76" t="n">
        <f aca="false">IF(K574=1,K560,99)</f>
        <v>99</v>
      </c>
      <c r="L614" s="76" t="n">
        <f aca="false">IF(L574=1,L560,99)</f>
        <v>99</v>
      </c>
      <c r="M614" s="76" t="n">
        <f aca="false">IF(M574=1,M560,99)</f>
        <v>99</v>
      </c>
      <c r="N614" s="76" t="n">
        <f aca="false">IF(N574=1,N560,99)</f>
        <v>99</v>
      </c>
      <c r="O614" s="76" t="n">
        <f aca="false">IF(O574=1,O560,99)</f>
        <v>99</v>
      </c>
    </row>
    <row r="615" customFormat="false" ht="15" hidden="false" customHeight="false" outlineLevel="0" collapsed="false">
      <c r="B615" s="76" t="s">
        <v>1073</v>
      </c>
      <c r="C615" s="76" t="n">
        <v>99</v>
      </c>
      <c r="D615" s="76" t="n">
        <f aca="false">IF(AND(D559=1,D560&gt;MIN($D614:$O614),D573&lt;=0.000001),D560,99)</f>
        <v>99</v>
      </c>
      <c r="E615" s="76" t="n">
        <f aca="false">IF(AND(E559=1,E560&gt;MIN($D614:$O614),E573&lt;=0.000001),E560,99)</f>
        <v>99</v>
      </c>
      <c r="F615" s="76" t="n">
        <f aca="false">IF(AND(F559=1,F560&gt;MIN($D614:$O614),F573&lt;=0.000001),F560,99)</f>
        <v>99</v>
      </c>
      <c r="G615" s="76" t="n">
        <f aca="false">IF(AND(G559=1,G560&gt;MIN($D614:$O614),G573&lt;=0.000001),G560,99)</f>
        <v>99</v>
      </c>
      <c r="H615" s="76" t="n">
        <f aca="false">IF(AND(H559=1,H560&gt;MIN($D614:$O614),H573&lt;=0.000001),H560,99)</f>
        <v>99</v>
      </c>
      <c r="I615" s="76" t="n">
        <f aca="false">IF(AND(I559=1,I560&gt;MIN($D614:$O614),I573&lt;=0.000001),I560,99)</f>
        <v>99</v>
      </c>
      <c r="J615" s="76" t="n">
        <f aca="false">IF(AND(J559=1,J560&gt;MIN($D614:$O614),J573&lt;=0.000001),J560,99)</f>
        <v>99</v>
      </c>
      <c r="K615" s="76" t="n">
        <f aca="false">IF(AND(K559=1,K560&gt;MIN($D614:$O614),K573&lt;=0.000001),K560,99)</f>
        <v>99</v>
      </c>
      <c r="L615" s="76" t="n">
        <f aca="false">IF(AND(L559=1,L560&gt;MIN($D614:$O614),L573&lt;=0.000001),L560,99)</f>
        <v>99</v>
      </c>
      <c r="M615" s="76" t="n">
        <f aca="false">IF(AND(M559=1,M560&gt;MIN($D614:$O614),M573&lt;=0.000001),M560,99)</f>
        <v>99</v>
      </c>
      <c r="N615" s="76" t="n">
        <f aca="false">IF(AND(N559=1,N560&gt;MIN($D614:$O614),N573&lt;=0.000001),N560,99)</f>
        <v>99</v>
      </c>
      <c r="O615" s="76" t="n">
        <f aca="false">IF(AND(O559=1,O560&gt;MIN($D614:$O614),O573&lt;=0.000001),O560,99)</f>
        <v>99</v>
      </c>
    </row>
    <row r="616" customFormat="false" ht="15" hidden="false" customHeight="false" outlineLevel="0" collapsed="false">
      <c r="B616" s="76" t="s">
        <v>1074</v>
      </c>
      <c r="C616" s="76" t="n">
        <v>9999999</v>
      </c>
      <c r="D616" s="76" t="n">
        <f aca="false">IF(D571=1,D558,9999999)</f>
        <v>9999999</v>
      </c>
      <c r="E616" s="76" t="n">
        <f aca="false">IF(E571=1,E558,9999999)</f>
        <v>9999999</v>
      </c>
      <c r="F616" s="76" t="n">
        <f aca="false">IF(F571=1,F558,9999999)</f>
        <v>9999999</v>
      </c>
      <c r="G616" s="76" t="n">
        <f aca="false">IF(G571=1,G558,9999999)</f>
        <v>9999999</v>
      </c>
      <c r="H616" s="76" t="n">
        <f aca="false">IF(H571=1,H558,9999999)</f>
        <v>9999999</v>
      </c>
      <c r="I616" s="76" t="n">
        <f aca="false">IF(I571=1,I558,9999999)</f>
        <v>9999999</v>
      </c>
      <c r="J616" s="76" t="n">
        <f aca="false">IF(J571=1,J558,9999999)</f>
        <v>9999999</v>
      </c>
      <c r="K616" s="76" t="n">
        <f aca="false">IF(K571=1,K558,9999999)</f>
        <v>9999999</v>
      </c>
      <c r="L616" s="76" t="n">
        <f aca="false">IF(L571=1,L558,9999999)</f>
        <v>9999999</v>
      </c>
      <c r="M616" s="76" t="n">
        <f aca="false">IF(M571=1,M558,9999999)</f>
        <v>9999999</v>
      </c>
      <c r="N616" s="76" t="n">
        <f aca="false">IF(N571=1,N558,9999999)</f>
        <v>9999999</v>
      </c>
      <c r="O616" s="76" t="n">
        <f aca="false">IF(O571=1,O558,9999999)</f>
        <v>9999999</v>
      </c>
    </row>
    <row r="617" customFormat="false" ht="15" hidden="false" customHeight="false" outlineLevel="0" collapsed="false">
      <c r="B617" s="76" t="s">
        <v>1075</v>
      </c>
      <c r="C617" s="76" t="n">
        <v>9999999</v>
      </c>
      <c r="D617" s="76" t="n">
        <f aca="false">IF(D613=1,D558,9999999)</f>
        <v>9999999</v>
      </c>
      <c r="E617" s="76" t="n">
        <f aca="false">IF(E613=1,E558,9999999)</f>
        <v>9999999</v>
      </c>
      <c r="F617" s="76" t="n">
        <f aca="false">IF(F613=1,F558,9999999)</f>
        <v>9999999</v>
      </c>
      <c r="G617" s="76" t="n">
        <f aca="false">IF(G613=1,G558,9999999)</f>
        <v>9999999</v>
      </c>
      <c r="H617" s="76" t="n">
        <f aca="false">IF(H613=1,H558,9999999)</f>
        <v>9999999</v>
      </c>
      <c r="I617" s="76" t="n">
        <f aca="false">IF(I613=1,I558,9999999)</f>
        <v>9999999</v>
      </c>
      <c r="J617" s="76" t="n">
        <f aca="false">IF(J613=1,J558,9999999)</f>
        <v>9999999</v>
      </c>
      <c r="K617" s="76" t="n">
        <f aca="false">IF(K613=1,K558,9999999)</f>
        <v>9999999</v>
      </c>
      <c r="L617" s="76" t="n">
        <f aca="false">IF(L613=1,L558,9999999)</f>
        <v>9999999</v>
      </c>
      <c r="M617" s="76" t="n">
        <f aca="false">IF(M613=1,M558,9999999)</f>
        <v>9999999</v>
      </c>
      <c r="N617" s="76" t="n">
        <f aca="false">IF(N613=1,N558,9999999)</f>
        <v>9999999</v>
      </c>
      <c r="O617" s="76" t="n">
        <f aca="false">IF(O613=1,O558,9999999)</f>
        <v>9999999</v>
      </c>
    </row>
    <row r="622" customFormat="false" ht="15" hidden="false" customHeight="false" outlineLevel="0" collapsed="false">
      <c r="B622" s="45" t="str">
        <f aca="false">L$5</f>
        <v>Rachats persistants 5 % par date</v>
      </c>
      <c r="C622" s="45" t="s">
        <v>55</v>
      </c>
      <c r="D622" s="45" t="n">
        <v>10</v>
      </c>
      <c r="E622" s="2"/>
      <c r="F622" s="2"/>
      <c r="G622" s="2"/>
      <c r="H622" s="2"/>
      <c r="I622" s="2"/>
      <c r="J622" s="2"/>
      <c r="K622" s="2"/>
      <c r="L622" s="2"/>
      <c r="M622" s="2"/>
      <c r="N622" s="2"/>
      <c r="O622" s="2"/>
    </row>
    <row r="623" customFormat="false" ht="15" hidden="false" customHeight="false" outlineLevel="0" collapsed="false">
      <c r="B623" s="65" t="s">
        <v>1019</v>
      </c>
      <c r="C623" s="65" t="n">
        <v>0</v>
      </c>
      <c r="D623" s="65" t="n">
        <v>1</v>
      </c>
      <c r="E623" s="65" t="n">
        <v>2</v>
      </c>
      <c r="F623" s="65" t="n">
        <v>3</v>
      </c>
      <c r="G623" s="65" t="n">
        <v>4</v>
      </c>
      <c r="H623" s="65" t="n">
        <v>5</v>
      </c>
      <c r="I623" s="65" t="n">
        <v>6</v>
      </c>
      <c r="J623" s="65" t="n">
        <v>7</v>
      </c>
      <c r="K623" s="65" t="n">
        <v>8</v>
      </c>
      <c r="L623" s="65" t="n">
        <v>9</v>
      </c>
      <c r="M623" s="65" t="n">
        <v>10</v>
      </c>
      <c r="N623" s="65" t="n">
        <v>11</v>
      </c>
      <c r="O623" s="65" t="n">
        <v>12</v>
      </c>
    </row>
    <row r="624" customFormat="false" ht="15" hidden="false" customHeight="false" outlineLevel="0" collapsed="false">
      <c r="B624" s="65" t="s">
        <v>209</v>
      </c>
      <c r="C624" s="71" t="n">
        <f aca="false">Date_depart</f>
        <v>47026</v>
      </c>
      <c r="D624" s="71" t="n">
        <f aca="false">EOMONTH(Date_depart,3*D623)</f>
        <v>47118</v>
      </c>
      <c r="E624" s="71" t="n">
        <f aca="false">EOMONTH(Date_depart,3*E623)</f>
        <v>47208</v>
      </c>
      <c r="F624" s="71" t="n">
        <f aca="false">EOMONTH(Date_depart,3*F623)</f>
        <v>47299</v>
      </c>
      <c r="G624" s="71" t="n">
        <f aca="false">EOMONTH(Date_depart,3*G623)</f>
        <v>47391</v>
      </c>
      <c r="H624" s="71" t="n">
        <f aca="false">EOMONTH(Date_depart,3*H623)</f>
        <v>47483</v>
      </c>
      <c r="I624" s="71" t="n">
        <f aca="false">EOMONTH(Date_depart,3*I623)</f>
        <v>47573</v>
      </c>
      <c r="J624" s="71" t="n">
        <f aca="false">EOMONTH(Date_depart,3*J623)</f>
        <v>47664</v>
      </c>
      <c r="K624" s="71" t="n">
        <f aca="false">EOMONTH(Date_depart,3*K623)</f>
        <v>47756</v>
      </c>
      <c r="L624" s="71" t="n">
        <f aca="false">EOMONTH(Date_depart,3*L623)</f>
        <v>47848</v>
      </c>
      <c r="M624" s="71" t="n">
        <f aca="false">EOMONTH(Date_depart,3*M623)</f>
        <v>47938</v>
      </c>
      <c r="N624" s="71" t="n">
        <f aca="false">EOMONTH(Date_depart,3*N623)</f>
        <v>48029</v>
      </c>
      <c r="O624" s="71" t="n">
        <f aca="false">EOMONTH(Date_depart,3*O623)</f>
        <v>48121</v>
      </c>
    </row>
    <row r="625" customFormat="false" ht="15" hidden="false" customHeight="false" outlineLevel="0" collapsed="false">
      <c r="B625" s="65" t="s">
        <v>1020</v>
      </c>
      <c r="C625" s="65" t="n">
        <v>0</v>
      </c>
      <c r="D625" s="65" t="n">
        <f aca="false">IF(OR(MONTH(D624)=6,MONTH(D624)=12),1,0)</f>
        <v>1</v>
      </c>
      <c r="E625" s="65" t="n">
        <f aca="false">IF(OR(MONTH(E624)=6,MONTH(E624)=12),1,0)</f>
        <v>0</v>
      </c>
      <c r="F625" s="65" t="n">
        <f aca="false">IF(OR(MONTH(F624)=6,MONTH(F624)=12),1,0)</f>
        <v>1</v>
      </c>
      <c r="G625" s="65" t="n">
        <f aca="false">IF(OR(MONTH(G624)=6,MONTH(G624)=12),1,0)</f>
        <v>0</v>
      </c>
      <c r="H625" s="65" t="n">
        <f aca="false">IF(OR(MONTH(H624)=6,MONTH(H624)=12),1,0)</f>
        <v>1</v>
      </c>
      <c r="I625" s="65" t="n">
        <f aca="false">IF(OR(MONTH(I624)=6,MONTH(I624)=12),1,0)</f>
        <v>0</v>
      </c>
      <c r="J625" s="65" t="n">
        <f aca="false">IF(OR(MONTH(J624)=6,MONTH(J624)=12),1,0)</f>
        <v>1</v>
      </c>
      <c r="K625" s="65" t="n">
        <f aca="false">IF(OR(MONTH(K624)=6,MONTH(K624)=12),1,0)</f>
        <v>0</v>
      </c>
      <c r="L625" s="65" t="n">
        <f aca="false">IF(OR(MONTH(L624)=6,MONTH(L624)=12),1,0)</f>
        <v>1</v>
      </c>
      <c r="M625" s="65" t="n">
        <f aca="false">IF(OR(MONTH(M624)=6,MONTH(M624)=12),1,0)</f>
        <v>0</v>
      </c>
      <c r="N625" s="65" t="n">
        <f aca="false">IF(OR(MONTH(N624)=6,MONTH(N624)=12),1,0)</f>
        <v>1</v>
      </c>
      <c r="O625" s="65" t="n">
        <f aca="false">IF(OR(MONTH(O624)=6,MONTH(O624)=12),1,0)</f>
        <v>0</v>
      </c>
    </row>
    <row r="626" customFormat="false" ht="15" hidden="false" customHeight="false" outlineLevel="0" collapsed="false">
      <c r="B626" s="65" t="s">
        <v>1021</v>
      </c>
      <c r="C626" s="65" t="n">
        <v>0</v>
      </c>
      <c r="D626" s="65" t="n">
        <f aca="false">C626+D625</f>
        <v>1</v>
      </c>
      <c r="E626" s="65" t="n">
        <f aca="false">D626+E625</f>
        <v>1</v>
      </c>
      <c r="F626" s="65" t="n">
        <f aca="false">E626+F625</f>
        <v>2</v>
      </c>
      <c r="G626" s="65" t="n">
        <f aca="false">F626+G625</f>
        <v>2</v>
      </c>
      <c r="H626" s="65" t="n">
        <f aca="false">G626+H625</f>
        <v>3</v>
      </c>
      <c r="I626" s="65" t="n">
        <f aca="false">H626+I625</f>
        <v>3</v>
      </c>
      <c r="J626" s="65" t="n">
        <f aca="false">I626+J625</f>
        <v>4</v>
      </c>
      <c r="K626" s="65" t="n">
        <f aca="false">J626+K625</f>
        <v>4</v>
      </c>
      <c r="L626" s="65" t="n">
        <f aca="false">K626+L625</f>
        <v>5</v>
      </c>
      <c r="M626" s="65" t="n">
        <f aca="false">L626+M625</f>
        <v>5</v>
      </c>
      <c r="N626" s="65" t="n">
        <f aca="false">M626+N625</f>
        <v>6</v>
      </c>
      <c r="O626" s="65" t="n">
        <f aca="false">N626+O625</f>
        <v>6</v>
      </c>
    </row>
    <row r="627" customFormat="false" ht="15" hidden="false" customHeight="false" outlineLevel="0" collapsed="false">
      <c r="B627" s="65" t="s">
        <v>1022</v>
      </c>
      <c r="C627" s="25"/>
      <c r="D627" s="72" t="n">
        <f aca="false">IF(D625=1,IF(C637=1,0,IF(D626=1,$L$6,IF(D626=2,$L$7,$L$8))),0)</f>
        <v>0.05</v>
      </c>
      <c r="E627" s="72" t="n">
        <f aca="false">IF(E625=1,IF(D637=1,0,IF(E626=1,$L$6,IF(E626=2,$L$7,$L$8))),0)</f>
        <v>0</v>
      </c>
      <c r="F627" s="72" t="n">
        <f aca="false">IF(F625=1,IF(E637=1,0,IF(F626=1,$L$6,IF(F626=2,$L$7,$L$8))),0)</f>
        <v>0.05</v>
      </c>
      <c r="G627" s="72" t="n">
        <f aca="false">IF(G625=1,IF(F637=1,0,IF(G626=1,$L$6,IF(G626=2,$L$7,$L$8))),0)</f>
        <v>0</v>
      </c>
      <c r="H627" s="72" t="n">
        <f aca="false">IF(H625=1,IF(G637=1,0,IF(H626=1,$L$6,IF(H626=2,$L$7,$L$8))),0)</f>
        <v>0.05</v>
      </c>
      <c r="I627" s="72" t="n">
        <f aca="false">IF(I625=1,IF(H637=1,0,IF(I626=1,$L$6,IF(I626=2,$L$7,$L$8))),0)</f>
        <v>0</v>
      </c>
      <c r="J627" s="72" t="n">
        <f aca="false">IF(J625=1,IF(I637=1,0,IF(J626=1,$L$6,IF(J626=2,$L$7,$L$8))),0)</f>
        <v>0.05</v>
      </c>
      <c r="K627" s="72" t="n">
        <f aca="false">IF(K625=1,IF(J637=1,0,IF(K626=1,$L$6,IF(K626=2,$L$7,$L$8))),0)</f>
        <v>0</v>
      </c>
      <c r="L627" s="72" t="n">
        <f aca="false">IF(L625=1,IF(K637=1,0,IF(L626=1,$L$6,IF(L626=2,$L$7,$L$8))),0)</f>
        <v>0.05</v>
      </c>
      <c r="M627" s="72" t="n">
        <f aca="false">IF(M625=1,IF(L637=1,0,IF(M626=1,$L$6,IF(M626=2,$L$7,$L$8))),0)</f>
        <v>0</v>
      </c>
      <c r="N627" s="72" t="n">
        <f aca="false">IF(N625=1,IF(M637=1,0,IF(N626=1,$L$6,IF(N626=2,$L$7,$L$8))),0)</f>
        <v>0.05</v>
      </c>
      <c r="O627" s="72" t="n">
        <f aca="false">IF(O625=1,IF(N637=1,0,IF(O626=1,$L$6,IF(O626=2,$L$7,$L$8))),0)</f>
        <v>0</v>
      </c>
    </row>
    <row r="628" customFormat="false" ht="15" hidden="false" customHeight="false" outlineLevel="0" collapsed="false">
      <c r="B628" s="65" t="s">
        <v>1023</v>
      </c>
      <c r="C628" s="25"/>
      <c r="D628" s="73" t="n">
        <f aca="false">C672</f>
        <v>50000000</v>
      </c>
      <c r="E628" s="73" t="n">
        <f aca="false">D672</f>
        <v>48100643.75</v>
      </c>
      <c r="F628" s="73" t="n">
        <f aca="false">E672</f>
        <v>48823151.7132813</v>
      </c>
      <c r="G628" s="73" t="n">
        <f aca="false">F672</f>
        <v>47105173.9904901</v>
      </c>
      <c r="H628" s="73" t="n">
        <f aca="false">G672</f>
        <v>47826489.4455393</v>
      </c>
      <c r="I628" s="73" t="n">
        <f aca="false">H672</f>
        <v>46183889.2303444</v>
      </c>
      <c r="J628" s="73" t="n">
        <f aca="false">I672</f>
        <v>46930729.0550004</v>
      </c>
      <c r="K628" s="73" t="n">
        <f aca="false">J672</f>
        <v>45332651.4154555</v>
      </c>
      <c r="L628" s="73" t="n">
        <f aca="false">K672</f>
        <v>46080299.0246774</v>
      </c>
      <c r="M628" s="73" t="n">
        <f aca="false">L672</f>
        <v>44526538.5481027</v>
      </c>
      <c r="N628" s="73" t="n">
        <f aca="false">M672</f>
        <v>45276994.6003227</v>
      </c>
      <c r="O628" s="73" t="n">
        <f aca="false">N672</f>
        <v>43767140.3797592</v>
      </c>
    </row>
    <row r="629" customFormat="false" ht="15" hidden="false" customHeight="false" outlineLevel="0" collapsed="false">
      <c r="B629" s="65" t="s">
        <v>177</v>
      </c>
      <c r="C629" s="25"/>
      <c r="D629" s="73" t="n">
        <f aca="false">IF(C637=1,0,$L$9*D628)</f>
        <v>0</v>
      </c>
      <c r="E629" s="73" t="n">
        <f aca="false">IF(D637=1,0,$L$9*E628)</f>
        <v>0</v>
      </c>
      <c r="F629" s="73" t="n">
        <f aca="false">IF(E637=1,0,$L$9*F628)</f>
        <v>0</v>
      </c>
      <c r="G629" s="73" t="n">
        <f aca="false">IF(F637=1,0,$L$9*G628)</f>
        <v>0</v>
      </c>
      <c r="H629" s="73" t="n">
        <f aca="false">IF(G637=1,0,$L$9*H628)</f>
        <v>0</v>
      </c>
      <c r="I629" s="73" t="n">
        <f aca="false">IF(H637=1,0,$L$9*I628)</f>
        <v>0</v>
      </c>
      <c r="J629" s="73" t="n">
        <f aca="false">IF(I637=1,0,$L$9*J628)</f>
        <v>0</v>
      </c>
      <c r="K629" s="73" t="n">
        <f aca="false">IF(J637=1,0,$L$9*K628)</f>
        <v>0</v>
      </c>
      <c r="L629" s="73" t="n">
        <f aca="false">IF(K637=1,0,$L$9*L628)</f>
        <v>0</v>
      </c>
      <c r="M629" s="73" t="n">
        <f aca="false">IF(L637=1,0,$L$9*M628)</f>
        <v>0</v>
      </c>
      <c r="N629" s="73" t="n">
        <f aca="false">IF(M637=1,0,$L$9*N628)</f>
        <v>0</v>
      </c>
      <c r="O629" s="73" t="n">
        <f aca="false">IF(N637=1,0,$L$9*O628)</f>
        <v>0</v>
      </c>
    </row>
    <row r="630" customFormat="false" ht="15" hidden="false" customHeight="false" outlineLevel="0" collapsed="false">
      <c r="B630" s="65" t="s">
        <v>1024</v>
      </c>
      <c r="C630" s="25"/>
      <c r="D630" s="73" t="n">
        <f aca="false">D627*D628</f>
        <v>2500000</v>
      </c>
      <c r="E630" s="73" t="n">
        <f aca="false">E627*E628</f>
        <v>0</v>
      </c>
      <c r="F630" s="73" t="n">
        <f aca="false">F627*F628</f>
        <v>2441157.58566406</v>
      </c>
      <c r="G630" s="73" t="n">
        <f aca="false">G627*G628</f>
        <v>0</v>
      </c>
      <c r="H630" s="73" t="n">
        <f aca="false">H627*H628</f>
        <v>2391324.47227697</v>
      </c>
      <c r="I630" s="73" t="n">
        <f aca="false">I627*I628</f>
        <v>0</v>
      </c>
      <c r="J630" s="73" t="n">
        <f aca="false">J627*J628</f>
        <v>2346536.45275002</v>
      </c>
      <c r="K630" s="73" t="n">
        <f aca="false">K627*K628</f>
        <v>0</v>
      </c>
      <c r="L630" s="73" t="n">
        <f aca="false">L627*L628</f>
        <v>2304014.95123387</v>
      </c>
      <c r="M630" s="73" t="n">
        <f aca="false">M627*M628</f>
        <v>0</v>
      </c>
      <c r="N630" s="73" t="n">
        <f aca="false">N627*N628</f>
        <v>2263849.73001613</v>
      </c>
      <c r="O630" s="73" t="n">
        <f aca="false">O627*O628</f>
        <v>0</v>
      </c>
    </row>
    <row r="631" customFormat="false" ht="15" hidden="false" customHeight="false" outlineLevel="0" collapsed="false">
      <c r="B631" s="65" t="s">
        <v>1025</v>
      </c>
      <c r="C631" s="25"/>
      <c r="D631" s="73" t="n">
        <f aca="false">C639</f>
        <v>0</v>
      </c>
      <c r="E631" s="73" t="n">
        <f aca="false">D639</f>
        <v>0</v>
      </c>
      <c r="F631" s="73" t="n">
        <f aca="false">E639</f>
        <v>0</v>
      </c>
      <c r="G631" s="73" t="n">
        <f aca="false">F639</f>
        <v>0</v>
      </c>
      <c r="H631" s="73" t="n">
        <f aca="false">G639</f>
        <v>0</v>
      </c>
      <c r="I631" s="73" t="n">
        <f aca="false">H639</f>
        <v>0</v>
      </c>
      <c r="J631" s="73" t="n">
        <f aca="false">I639</f>
        <v>0</v>
      </c>
      <c r="K631" s="73" t="n">
        <f aca="false">J639</f>
        <v>0</v>
      </c>
      <c r="L631" s="73" t="n">
        <f aca="false">K639</f>
        <v>0</v>
      </c>
      <c r="M631" s="73" t="n">
        <f aca="false">L639</f>
        <v>0</v>
      </c>
      <c r="N631" s="73" t="n">
        <f aca="false">M639</f>
        <v>0</v>
      </c>
      <c r="O631" s="73" t="n">
        <f aca="false">N639</f>
        <v>0</v>
      </c>
    </row>
    <row r="632" customFormat="false" ht="15" hidden="false" customHeight="false" outlineLevel="0" collapsed="false">
      <c r="B632" s="65" t="s">
        <v>1026</v>
      </c>
      <c r="C632" s="25"/>
      <c r="D632" s="73" t="n">
        <f aca="false">D630+D631</f>
        <v>2500000</v>
      </c>
      <c r="E632" s="73" t="n">
        <f aca="false">E630+E631</f>
        <v>0</v>
      </c>
      <c r="F632" s="73" t="n">
        <f aca="false">F630+F631</f>
        <v>2441157.58566406</v>
      </c>
      <c r="G632" s="73" t="n">
        <f aca="false">G630+G631</f>
        <v>0</v>
      </c>
      <c r="H632" s="73" t="n">
        <f aca="false">H630+H631</f>
        <v>2391324.47227697</v>
      </c>
      <c r="I632" s="73" t="n">
        <f aca="false">I630+I631</f>
        <v>0</v>
      </c>
      <c r="J632" s="73" t="n">
        <f aca="false">J630+J631</f>
        <v>2346536.45275002</v>
      </c>
      <c r="K632" s="73" t="n">
        <f aca="false">K630+K631</f>
        <v>0</v>
      </c>
      <c r="L632" s="73" t="n">
        <f aca="false">L630+L631</f>
        <v>2304014.95123387</v>
      </c>
      <c r="M632" s="73" t="n">
        <f aca="false">M630+M631</f>
        <v>0</v>
      </c>
      <c r="N632" s="73" t="n">
        <f aca="false">N630+N631</f>
        <v>2263849.73001613</v>
      </c>
      <c r="O632" s="73" t="n">
        <f aca="false">O630+O631</f>
        <v>0</v>
      </c>
    </row>
    <row r="633" customFormat="false" ht="15" hidden="false" customHeight="false" outlineLevel="0" collapsed="false">
      <c r="B633" s="65" t="s">
        <v>1027</v>
      </c>
      <c r="C633" s="25"/>
      <c r="D633" s="73" t="n">
        <f aca="false">IF($L$21=1,Gate*D628+D629,D632)</f>
        <v>2500000</v>
      </c>
      <c r="E633" s="73" t="n">
        <f aca="false">IF($L$21=1,Gate*E628+E629,E632)</f>
        <v>2405032.1875</v>
      </c>
      <c r="F633" s="73" t="n">
        <f aca="false">IF($L$21=1,Gate*F628+F629,F632)</f>
        <v>2441157.58566406</v>
      </c>
      <c r="G633" s="73" t="n">
        <f aca="false">IF($L$21=1,Gate*G628+G629,G632)</f>
        <v>2355258.6995245</v>
      </c>
      <c r="H633" s="73" t="n">
        <f aca="false">IF($L$21=1,Gate*H628+H629,H632)</f>
        <v>2391324.47227697</v>
      </c>
      <c r="I633" s="73" t="n">
        <f aca="false">IF($L$21=1,Gate*I628+I629,I632)</f>
        <v>2309194.46151722</v>
      </c>
      <c r="J633" s="73" t="n">
        <f aca="false">IF($L$21=1,Gate*J628+J629,J632)</f>
        <v>2346536.45275002</v>
      </c>
      <c r="K633" s="73" t="n">
        <f aca="false">IF($L$21=1,Gate*K628+K629,K632)</f>
        <v>2266632.57077278</v>
      </c>
      <c r="L633" s="73" t="n">
        <f aca="false">IF($L$21=1,Gate*L628+L629,L632)</f>
        <v>2304014.95123387</v>
      </c>
      <c r="M633" s="73" t="n">
        <f aca="false">IF($L$21=1,Gate*M628+M629,M632)</f>
        <v>2226326.92740514</v>
      </c>
      <c r="N633" s="73" t="n">
        <f aca="false">IF($L$21=1,Gate*N628+N629,N632)</f>
        <v>2263849.73001613</v>
      </c>
      <c r="O633" s="73" t="n">
        <f aca="false">IF($L$21=1,Gate*O628+O629,O632)</f>
        <v>2188357.01898796</v>
      </c>
    </row>
    <row r="634" customFormat="false" ht="15" hidden="false" customHeight="false" outlineLevel="0" collapsed="false">
      <c r="B634" s="65" t="s">
        <v>1028</v>
      </c>
      <c r="C634" s="25"/>
      <c r="D634" s="73" t="n">
        <f aca="false">IF(D625=1,MIN(D632,D633),0)</f>
        <v>2500000</v>
      </c>
      <c r="E634" s="73" t="n">
        <f aca="false">IF(E625=1,MIN(E632,E633),0)</f>
        <v>0</v>
      </c>
      <c r="F634" s="73" t="n">
        <f aca="false">IF(F625=1,MIN(F632,F633),0)</f>
        <v>2441157.58566406</v>
      </c>
      <c r="G634" s="73" t="n">
        <f aca="false">IF(G625=1,MIN(G632,G633),0)</f>
        <v>0</v>
      </c>
      <c r="H634" s="73" t="n">
        <f aca="false">IF(H625=1,MIN(H632,H633),0)</f>
        <v>2391324.47227697</v>
      </c>
      <c r="I634" s="73" t="n">
        <f aca="false">IF(I625=1,MIN(I632,I633),0)</f>
        <v>0</v>
      </c>
      <c r="J634" s="73" t="n">
        <f aca="false">IF(J625=1,MIN(J632,J633),0)</f>
        <v>2346536.45275002</v>
      </c>
      <c r="K634" s="73" t="n">
        <f aca="false">IF(K625=1,MIN(K632,K633),0)</f>
        <v>0</v>
      </c>
      <c r="L634" s="73" t="n">
        <f aca="false">IF(L625=1,MIN(L632,L633),0)</f>
        <v>2304014.95123387</v>
      </c>
      <c r="M634" s="73" t="n">
        <f aca="false">IF(M625=1,MIN(M632,M633),0)</f>
        <v>0</v>
      </c>
      <c r="N634" s="73" t="n">
        <f aca="false">IF(N625=1,MIN(N632,N633),0)</f>
        <v>2263849.73001613</v>
      </c>
      <c r="O634" s="73" t="n">
        <f aca="false">IF(O625=1,MIN(O632,O633),0)</f>
        <v>0</v>
      </c>
    </row>
    <row r="635" customFormat="false" ht="15" hidden="false" customHeight="false" outlineLevel="0" collapsed="false">
      <c r="B635" s="65" t="s">
        <v>1029</v>
      </c>
      <c r="C635" s="25"/>
      <c r="D635" s="73" t="n">
        <f aca="false">MAX(0,D663+D654+D655-Poche_min_exec*D628-D634-SUM(E660:F660)+MAX(0,MIN($L$20*AN_cible,Emprunt_max*D628)-C671))</f>
        <v>0</v>
      </c>
      <c r="E635" s="73" t="n">
        <f aca="false">MAX(0,E663+E654+E655-Poche_min_exec*E628-E634-SUM(F660:G660)+MAX(0,MIN($L$20*AN_cible,Emprunt_max*E628)-D671))</f>
        <v>502827.0625</v>
      </c>
      <c r="F635" s="73" t="n">
        <f aca="false">MAX(0,F663+F654+F655-Poche_min_exec*F628-F634-SUM(G660:H660)+MAX(0,MIN($L$20*AN_cible,Emprunt_max*F628)-E671))</f>
        <v>0</v>
      </c>
      <c r="G635" s="73" t="n">
        <f aca="false">MAX(0,G663+G654+G655-Poche_min_exec*G628-G634-SUM(H660:I660)+MAX(0,MIN($L$20*AN_cible,Emprunt_max*G628)-F671))</f>
        <v>0</v>
      </c>
      <c r="H635" s="73" t="n">
        <f aca="false">MAX(0,H663+H654+H655-Poche_min_exec*H628-H634-SUM(I660:J660)+MAX(0,MIN($L$20*AN_cible,Emprunt_max*H628)-G671))</f>
        <v>0</v>
      </c>
      <c r="I635" s="73" t="n">
        <f aca="false">MAX(0,I663+I654+I655-Poche_min_exec*I628-I634-SUM(J660:K660)+MAX(0,MIN($L$20*AN_cible,Emprunt_max*I628)-H671))</f>
        <v>0</v>
      </c>
      <c r="J635" s="73" t="n">
        <f aca="false">MAX(0,J663+J654+J655-Poche_min_exec*J628-J634-SUM(K660:L660)+MAX(0,MIN($L$20*AN_cible,Emprunt_max*J628)-I671))</f>
        <v>0</v>
      </c>
      <c r="K635" s="73" t="n">
        <f aca="false">MAX(0,K663+K654+K655-Poche_min_exec*K628-K634-SUM(L660:M660)+MAX(0,MIN($L$20*AN_cible,Emprunt_max*K628)-J671))</f>
        <v>0</v>
      </c>
      <c r="L635" s="73" t="n">
        <f aca="false">MAX(0,L663+L654+L655-Poche_min_exec*L628-L634-SUM(M660:N660)+MAX(0,MIN($L$20*AN_cible,Emprunt_max*L628)-K671))</f>
        <v>0</v>
      </c>
      <c r="M635" s="73" t="n">
        <f aca="false">MAX(0,M663+M654+M655-Poche_min_exec*M628-M634-SUM(N660:O660)+MAX(0,MIN($L$20*AN_cible,Emprunt_max*M628)-L671))</f>
        <v>0</v>
      </c>
      <c r="N635" s="73" t="n">
        <f aca="false">MAX(0,N663+N654+N655-Poche_min_exec*N628-N634-SUM(O660:O660)+MAX(0,MIN($L$20*AN_cible,Emprunt_max*N628)-M671))</f>
        <v>0</v>
      </c>
      <c r="O635" s="73" t="n">
        <f aca="false">MAX(0,O663+O654+O655-Poche_min_exec*O628-O634-0+MAX(0,MIN($L$20*AN_cible,Emprunt_max*O628)-N671))</f>
        <v>0</v>
      </c>
    </row>
    <row r="636" customFormat="false" ht="15" hidden="false" customHeight="false" outlineLevel="0" collapsed="false">
      <c r="B636" s="65" t="s">
        <v>1030</v>
      </c>
      <c r="C636" s="25"/>
      <c r="D636" s="73" t="n">
        <f aca="false">IF(AND(D625=1,$L$21=1,$L$22=1),MIN(D632-D634,D635),0)</f>
        <v>0</v>
      </c>
      <c r="E636" s="73" t="n">
        <f aca="false">IF(AND(E625=1,$L$21=1,$L$22=1),MIN(E632-E634,E635),0)</f>
        <v>0</v>
      </c>
      <c r="F636" s="73" t="n">
        <f aca="false">IF(AND(F625=1,$L$21=1,$L$22=1),MIN(F632-F634,F635),0)</f>
        <v>0</v>
      </c>
      <c r="G636" s="73" t="n">
        <f aca="false">IF(AND(G625=1,$L$21=1,$L$22=1),MIN(G632-G634,G635),0)</f>
        <v>0</v>
      </c>
      <c r="H636" s="73" t="n">
        <f aca="false">IF(AND(H625=1,$L$21=1,$L$22=1),MIN(H632-H634,H635),0)</f>
        <v>0</v>
      </c>
      <c r="I636" s="73" t="n">
        <f aca="false">IF(AND(I625=1,$L$21=1,$L$22=1),MIN(I632-I634,I635),0)</f>
        <v>0</v>
      </c>
      <c r="J636" s="73" t="n">
        <f aca="false">IF(AND(J625=1,$L$21=1,$L$22=1),MIN(J632-J634,J635),0)</f>
        <v>0</v>
      </c>
      <c r="K636" s="73" t="n">
        <f aca="false">IF(AND(K625=1,$L$21=1,$L$22=1),MIN(K632-K634,K635),0)</f>
        <v>0</v>
      </c>
      <c r="L636" s="73" t="n">
        <f aca="false">IF(AND(L625=1,$L$21=1,$L$22=1),MIN(L632-L634,L635),0)</f>
        <v>0</v>
      </c>
      <c r="M636" s="73" t="n">
        <f aca="false">IF(AND(M625=1,$L$21=1,$L$22=1),MIN(M632-M634,M635),0)</f>
        <v>0</v>
      </c>
      <c r="N636" s="73" t="n">
        <f aca="false">IF(AND(N625=1,$L$21=1,$L$22=1),MIN(N632-N634,N635),0)</f>
        <v>0</v>
      </c>
      <c r="O636" s="73" t="n">
        <f aca="false">IF(AND(O625=1,$L$21=1,$L$22=1),MIN(O632-O634,O635),0)</f>
        <v>0</v>
      </c>
    </row>
    <row r="637" customFormat="false" ht="15" hidden="false" customHeight="false" outlineLevel="0" collapsed="false">
      <c r="B637" s="65" t="s">
        <v>1031</v>
      </c>
      <c r="C637" s="65" t="n">
        <v>0</v>
      </c>
      <c r="D637" s="65" t="n">
        <f aca="false">IF(C637=1,1,IF(AND(D625=1,$L$21=1,C641&gt;=Gate_dates,D632-D634-D636&gt;0.000001),1,0))</f>
        <v>0</v>
      </c>
      <c r="E637" s="65" t="n">
        <f aca="false">IF(D637=1,1,IF(AND(E625=1,$L$21=1,D641&gt;=Gate_dates,E632-E634-E636&gt;0.000001),1,0))</f>
        <v>0</v>
      </c>
      <c r="F637" s="65" t="n">
        <f aca="false">IF(E637=1,1,IF(AND(F625=1,$L$21=1,E641&gt;=Gate_dates,F632-F634-F636&gt;0.000001),1,0))</f>
        <v>0</v>
      </c>
      <c r="G637" s="65" t="n">
        <f aca="false">IF(F637=1,1,IF(AND(G625=1,$L$21=1,F641&gt;=Gate_dates,G632-G634-G636&gt;0.000001),1,0))</f>
        <v>0</v>
      </c>
      <c r="H637" s="65" t="n">
        <f aca="false">IF(G637=1,1,IF(AND(H625=1,$L$21=1,G641&gt;=Gate_dates,H632-H634-H636&gt;0.000001),1,0))</f>
        <v>0</v>
      </c>
      <c r="I637" s="65" t="n">
        <f aca="false">IF(H637=1,1,IF(AND(I625=1,$L$21=1,H641&gt;=Gate_dates,I632-I634-I636&gt;0.000001),1,0))</f>
        <v>0</v>
      </c>
      <c r="J637" s="65" t="n">
        <f aca="false">IF(I637=1,1,IF(AND(J625=1,$L$21=1,I641&gt;=Gate_dates,J632-J634-J636&gt;0.000001),1,0))</f>
        <v>0</v>
      </c>
      <c r="K637" s="65" t="n">
        <f aca="false">IF(J637=1,1,IF(AND(K625=1,$L$21=1,J641&gt;=Gate_dates,K632-K634-K636&gt;0.000001),1,0))</f>
        <v>0</v>
      </c>
      <c r="L637" s="65" t="n">
        <f aca="false">IF(K637=1,1,IF(AND(L625=1,$L$21=1,K641&gt;=Gate_dates,L632-L634-L636&gt;0.000001),1,0))</f>
        <v>0</v>
      </c>
      <c r="M637" s="65" t="n">
        <f aca="false">IF(L637=1,1,IF(AND(M625=1,$L$21=1,L641&gt;=Gate_dates,M632-M634-M636&gt;0.000001),1,0))</f>
        <v>0</v>
      </c>
      <c r="N637" s="65" t="n">
        <f aca="false">IF(M637=1,1,IF(AND(N625=1,$L$21=1,M641&gt;=Gate_dates,N632-N634-N636&gt;0.000001),1,0))</f>
        <v>0</v>
      </c>
      <c r="O637" s="65" t="n">
        <f aca="false">IF(N637=1,1,IF(AND(O625=1,$L$21=1,N641&gt;=Gate_dates,O632-O634-O636&gt;0.000001),1,0))</f>
        <v>0</v>
      </c>
    </row>
    <row r="638" customFormat="false" ht="15" hidden="false" customHeight="false" outlineLevel="0" collapsed="false">
      <c r="B638" s="65" t="s">
        <v>1032</v>
      </c>
      <c r="C638" s="25"/>
      <c r="D638" s="73" t="n">
        <f aca="false">IF(D637=1,0,D634+D636)</f>
        <v>2500000</v>
      </c>
      <c r="E638" s="73" t="n">
        <f aca="false">IF(E637=1,0,E634+E636)</f>
        <v>0</v>
      </c>
      <c r="F638" s="73" t="n">
        <f aca="false">IF(F637=1,0,F634+F636)</f>
        <v>2441157.58566406</v>
      </c>
      <c r="G638" s="73" t="n">
        <f aca="false">IF(G637=1,0,G634+G636)</f>
        <v>0</v>
      </c>
      <c r="H638" s="73" t="n">
        <f aca="false">IF(H637=1,0,H634+H636)</f>
        <v>2391324.47227697</v>
      </c>
      <c r="I638" s="73" t="n">
        <f aca="false">IF(I637=1,0,I634+I636)</f>
        <v>0</v>
      </c>
      <c r="J638" s="73" t="n">
        <f aca="false">IF(J637=1,0,J634+J636)</f>
        <v>2346536.45275002</v>
      </c>
      <c r="K638" s="73" t="n">
        <f aca="false">IF(K637=1,0,K634+K636)</f>
        <v>0</v>
      </c>
      <c r="L638" s="73" t="n">
        <f aca="false">IF(L637=1,0,L634+L636)</f>
        <v>2304014.95123387</v>
      </c>
      <c r="M638" s="73" t="n">
        <f aca="false">IF(M637=1,0,M634+M636)</f>
        <v>0</v>
      </c>
      <c r="N638" s="73" t="n">
        <f aca="false">IF(N637=1,0,N634+N636)</f>
        <v>2263849.73001613</v>
      </c>
      <c r="O638" s="73" t="n">
        <f aca="false">IF(O637=1,0,O634+O636)</f>
        <v>0</v>
      </c>
    </row>
    <row r="639" customFormat="false" ht="15" hidden="false" customHeight="false" outlineLevel="0" collapsed="false">
      <c r="B639" s="65" t="s">
        <v>1033</v>
      </c>
      <c r="C639" s="73" t="n">
        <v>0</v>
      </c>
      <c r="D639" s="73" t="n">
        <f aca="false">D632-D638</f>
        <v>0</v>
      </c>
      <c r="E639" s="73" t="n">
        <f aca="false">E632-E638</f>
        <v>0</v>
      </c>
      <c r="F639" s="73" t="n">
        <f aca="false">F632-F638</f>
        <v>0</v>
      </c>
      <c r="G639" s="73" t="n">
        <f aca="false">G632-G638</f>
        <v>0</v>
      </c>
      <c r="H639" s="73" t="n">
        <f aca="false">H632-H638</f>
        <v>0</v>
      </c>
      <c r="I639" s="73" t="n">
        <f aca="false">I632-I638</f>
        <v>0</v>
      </c>
      <c r="J639" s="73" t="n">
        <f aca="false">J632-J638</f>
        <v>0</v>
      </c>
      <c r="K639" s="73" t="n">
        <f aca="false">K632-K638</f>
        <v>0</v>
      </c>
      <c r="L639" s="73" t="n">
        <f aca="false">L632-L638</f>
        <v>0</v>
      </c>
      <c r="M639" s="73" t="n">
        <f aca="false">M632-M638</f>
        <v>0</v>
      </c>
      <c r="N639" s="73" t="n">
        <f aca="false">N632-N638</f>
        <v>0</v>
      </c>
      <c r="O639" s="73" t="n">
        <f aca="false">O632-O638</f>
        <v>0</v>
      </c>
    </row>
    <row r="640" customFormat="false" ht="15" hidden="false" customHeight="false" outlineLevel="0" collapsed="false">
      <c r="B640" s="65" t="s">
        <v>1034</v>
      </c>
      <c r="C640" s="25"/>
      <c r="D640" s="65" t="n">
        <f aca="false">IF(AND(D625=1,D637=0,D639&gt;0.000001),1,0)</f>
        <v>0</v>
      </c>
      <c r="E640" s="65" t="n">
        <f aca="false">IF(AND(E625=1,E637=0,E639&gt;0.000001),1,0)</f>
        <v>0</v>
      </c>
      <c r="F640" s="65" t="n">
        <f aca="false">IF(AND(F625=1,F637=0,F639&gt;0.000001),1,0)</f>
        <v>0</v>
      </c>
      <c r="G640" s="65" t="n">
        <f aca="false">IF(AND(G625=1,G637=0,G639&gt;0.000001),1,0)</f>
        <v>0</v>
      </c>
      <c r="H640" s="65" t="n">
        <f aca="false">IF(AND(H625=1,H637=0,H639&gt;0.000001),1,0)</f>
        <v>0</v>
      </c>
      <c r="I640" s="65" t="n">
        <f aca="false">IF(AND(I625=1,I637=0,I639&gt;0.000001),1,0)</f>
        <v>0</v>
      </c>
      <c r="J640" s="65" t="n">
        <f aca="false">IF(AND(J625=1,J637=0,J639&gt;0.000001),1,0)</f>
        <v>0</v>
      </c>
      <c r="K640" s="65" t="n">
        <f aca="false">IF(AND(K625=1,K637=0,K639&gt;0.000001),1,0)</f>
        <v>0</v>
      </c>
      <c r="L640" s="65" t="n">
        <f aca="false">IF(AND(L625=1,L637=0,L639&gt;0.000001),1,0)</f>
        <v>0</v>
      </c>
      <c r="M640" s="65" t="n">
        <f aca="false">IF(AND(M625=1,M637=0,M639&gt;0.000001),1,0)</f>
        <v>0</v>
      </c>
      <c r="N640" s="65" t="n">
        <f aca="false">IF(AND(N625=1,N637=0,N639&gt;0.000001),1,0)</f>
        <v>0</v>
      </c>
      <c r="O640" s="65" t="n">
        <f aca="false">IF(AND(O625=1,O637=0,O639&gt;0.000001),1,0)</f>
        <v>0</v>
      </c>
    </row>
    <row r="641" customFormat="false" ht="15" hidden="false" customHeight="false" outlineLevel="0" collapsed="false">
      <c r="B641" s="65" t="s">
        <v>843</v>
      </c>
      <c r="C641" s="65" t="n">
        <v>0</v>
      </c>
      <c r="D641" s="65" t="n">
        <f aca="false">IF(D625=1,IF(D640=1,C641+1,0),C641)</f>
        <v>0</v>
      </c>
      <c r="E641" s="65" t="n">
        <f aca="false">IF(E625=1,IF(E640=1,D641+1,0),D641)</f>
        <v>0</v>
      </c>
      <c r="F641" s="65" t="n">
        <f aca="false">IF(F625=1,IF(F640=1,E641+1,0),E641)</f>
        <v>0</v>
      </c>
      <c r="G641" s="65" t="n">
        <f aca="false">IF(G625=1,IF(G640=1,F641+1,0),F641)</f>
        <v>0</v>
      </c>
      <c r="H641" s="65" t="n">
        <f aca="false">IF(H625=1,IF(H640=1,G641+1,0),G641)</f>
        <v>0</v>
      </c>
      <c r="I641" s="65" t="n">
        <f aca="false">IF(I625=1,IF(I640=1,H641+1,0),H641)</f>
        <v>0</v>
      </c>
      <c r="J641" s="65" t="n">
        <f aca="false">IF(J625=1,IF(J640=1,I641+1,0),I641)</f>
        <v>0</v>
      </c>
      <c r="K641" s="65" t="n">
        <f aca="false">IF(K625=1,IF(K640=1,J641+1,0),J641)</f>
        <v>0</v>
      </c>
      <c r="L641" s="65" t="n">
        <f aca="false">IF(L625=1,IF(L640=1,K641+1,0),K641)</f>
        <v>0</v>
      </c>
      <c r="M641" s="65" t="n">
        <f aca="false">IF(M625=1,IF(M640=1,L641+1,0),L641)</f>
        <v>0</v>
      </c>
      <c r="N641" s="65" t="n">
        <f aca="false">IF(N625=1,IF(N640=1,M641+1,0),M641)</f>
        <v>0</v>
      </c>
      <c r="O641" s="65" t="n">
        <f aca="false">IF(O625=1,IF(O640=1,N641+1,0),N641)</f>
        <v>0</v>
      </c>
    </row>
    <row r="642" customFormat="false" ht="15" hidden="false" customHeight="false" outlineLevel="0" collapsed="false">
      <c r="B642" s="65" t="s">
        <v>1035</v>
      </c>
      <c r="C642" s="73" t="n">
        <f aca="false">AN_cible*Ws_MAPIF</f>
        <v>12500000</v>
      </c>
      <c r="D642" s="73" t="n">
        <f aca="false">C642*(1+Rend_MAPIF/4)*IF(D623=1,(1-(Cap_MAPIF*$L$15+(1-Cap_MAPIF)*$L$16))*(1+1*$L$14),1)+D652-D646-D667*IF((C642+C643+C644+C645)&gt;0,C642/(C642+C643+C644+C645),0)</f>
        <v>12971562.5</v>
      </c>
      <c r="E642" s="73" t="n">
        <f aca="false">D642*(1+Rend_MAPIF/4)*IF(E623=1,(1-(Cap_MAPIF*$L$15+(1-Cap_MAPIF)*$L$16))*(1+1*$L$14),1)+E652-E646-E667*IF((D642+D643+D644+D645)&gt;0,D642/(D642+D643+D644+D645),0)</f>
        <v>13446767.8203125</v>
      </c>
      <c r="F642" s="73" t="n">
        <f aca="false">E642*(1+Rend_MAPIF/4)*IF(F623=1,(1-(Cap_MAPIF*$L$15+(1-Cap_MAPIF)*$L$16))*(1+1*$L$14),1)+F652-F646-F667*IF((E642+E643+E644+E645)&gt;0,E642/(E642+E643+E644+E645),0)</f>
        <v>13925644.1017244</v>
      </c>
      <c r="G642" s="73" t="n">
        <f aca="false">F642*(1+Rend_MAPIF/4)*IF(G623=1,(1-(Cap_MAPIF*$L$15+(1-Cap_MAPIF)*$L$16))*(1+1*$L$14),1)+G652-G646-G667*IF((F642+F643+F644+F645)&gt;0,F642/(F642+F643+F644+F645),0)</f>
        <v>14408219.7024102</v>
      </c>
      <c r="H642" s="73" t="n">
        <f aca="false">G642*(1+Rend_MAPIF/4)*IF(H623=1,(1-(Cap_MAPIF*$L$15+(1-Cap_MAPIF)*$L$16))*(1+1*$L$14),1)+H652-H646-H667*IF((G642+G643+G644+G645)&gt;0,G642/(G642+G643+G644+G645),0)</f>
        <v>14894523.1996114</v>
      </c>
      <c r="I642" s="73" t="n">
        <f aca="false">H642*(1+Rend_MAPIF/4)*IF(I623=1,(1-(Cap_MAPIF*$L$15+(1-Cap_MAPIF)*$L$16))*(1+1*$L$14),1)+I652-I646-I667*IF((H642+H643+H644+H645)&gt;0,H642/(H642+H643+H644+H645),0)</f>
        <v>15384583.3913284</v>
      </c>
      <c r="J642" s="73" t="n">
        <f aca="false">I642*(1+Rend_MAPIF/4)*IF(J623=1,(1-(Cap_MAPIF*$L$15+(1-Cap_MAPIF)*$L$16))*(1+1*$L$14),1)+J652-J646-J667*IF((I642+I643+I644+I645)&gt;0,I642/(I642+I643+I644+I645),0)</f>
        <v>15878429.2980264</v>
      </c>
      <c r="K642" s="73" t="n">
        <f aca="false">J642*(1+Rend_MAPIF/4)*IF(K623=1,(1-(Cap_MAPIF*$L$15+(1-Cap_MAPIF)*$L$16))*(1+1*$L$14),1)+K652-K646-K667*IF((J642+J643+J644+J645)&gt;0,J642/(J642+J643+J644+J645),0)</f>
        <v>16376090.1643536</v>
      </c>
      <c r="L642" s="73" t="n">
        <f aca="false">K642*(1+Rend_MAPIF/4)*IF(L623=1,(1-(Cap_MAPIF*$L$15+(1-Cap_MAPIF)*$L$16))*(1+1*$L$14),1)+L652-L646-L667*IF((K642+K643+K644+K645)&gt;0,K642/(K642+K643+K644+K645),0)</f>
        <v>16877595.4608733</v>
      </c>
      <c r="M642" s="73" t="n">
        <f aca="false">L642*(1+Rend_MAPIF/4)*IF(M623=1,(1-(Cap_MAPIF*$L$15+(1-Cap_MAPIF)*$L$16))*(1+1*$L$14),1)+M652-M646-M667*IF((L642+L643+L644+L645)&gt;0,L642/(L642+L643+L644+L645),0)</f>
        <v>17382974.8858085</v>
      </c>
      <c r="N642" s="73" t="n">
        <f aca="false">M642*(1+Rend_MAPIF/4)*IF(N623=1,(1-(Cap_MAPIF*$L$15+(1-Cap_MAPIF)*$L$16))*(1+1*$L$14),1)+N652-N646-N667*IF((M642+M643+M644+M645)&gt;0,M642/(M642+M643+M644+M645),0)</f>
        <v>17892258.3668014</v>
      </c>
      <c r="O642" s="73" t="n">
        <f aca="false">N642*(1+Rend_MAPIF/4)*IF(O623=1,(1-(Cap_MAPIF*$L$15+(1-Cap_MAPIF)*$L$16))*(1+1*$L$14),1)+O652-O646-O667*IF((N642+N643+N644+N645)&gt;0,N642/(N642+N643+N644+N645),0)</f>
        <v>18405476.0626849</v>
      </c>
    </row>
    <row r="643" customFormat="false" ht="15" hidden="false" customHeight="false" outlineLevel="0" collapsed="false">
      <c r="B643" s="65" t="s">
        <v>1036</v>
      </c>
      <c r="C643" s="73" t="n">
        <f aca="false">AN_cible*Ws_MSIG</f>
        <v>5500000</v>
      </c>
      <c r="D643" s="73" t="n">
        <f aca="false">C643*(1+Rend_MSIG/4)*IF(D623=1,(1-(Cap_MSIG*$L$15+(1-Cap_MSIG)*$L$16))*(1+MSIG_USD*$L$14),1)+D653-D647-D667*IF((C642+C643+C644+C645)&gt;0,C643/(C642+C643+C644+C645),0)</f>
        <v>5773237.5</v>
      </c>
      <c r="E643" s="73" t="n">
        <f aca="false">D643*(1+Rend_MSIG/4)*IF(E623=1,(1-(Cap_MSIG*$L$15+(1-Cap_MSIG)*$L$16))*(1+MSIG_USD*$L$14),1)+E653-E647-E667*IF((D642+D643+D644+D645)&gt;0,D643/(D642+D643+D644+D645),0)</f>
        <v>6047629.4284375</v>
      </c>
      <c r="F643" s="73" t="n">
        <f aca="false">E643*(1+Rend_MSIG/4)*IF(F623=1,(1-(Cap_MSIG*$L$15+(1-Cap_MSIG)*$L$16))*(1+MSIG_USD*$L$14),1)+F653-F647-F667*IF((E642+E643+E644+E645)&gt;0,E643/(E642+E643+E644+E645),0)</f>
        <v>6323180.66277265</v>
      </c>
      <c r="G643" s="73" t="n">
        <f aca="false">F643*(1+Rend_MSIG/4)*IF(G623=1,(1-(Cap_MSIG*$L$15+(1-Cap_MSIG)*$L$16))*(1+MSIG_USD*$L$14),1)+G653-G647-G667*IF((F642+F643+F644+F645)&gt;0,F643/(F642+F643+F644+F645),0)</f>
        <v>6599896.10107286</v>
      </c>
      <c r="H643" s="73" t="n">
        <f aca="false">G643*(1+Rend_MSIG/4)*IF(H623=1,(1-(Cap_MSIG*$L$15+(1-Cap_MSIG)*$L$16))*(1+MSIG_USD*$L$14),1)+H653-H647-H667*IF((G642+G643+G644+G645)&gt;0,G643/(G642+G643+G644+G645),0)</f>
        <v>6877780.6620999</v>
      </c>
      <c r="I643" s="73" t="n">
        <f aca="false">H643*(1+Rend_MSIG/4)*IF(I623=1,(1-(Cap_MSIG*$L$15+(1-Cap_MSIG)*$L$16))*(1+MSIG_USD*$L$14),1)+I653-I647-I667*IF((H642+H643+H644+H645)&gt;0,H643/(H642+H643+H644+H645),0)</f>
        <v>7156839.28539727</v>
      </c>
      <c r="J643" s="73" t="n">
        <f aca="false">I643*(1+Rend_MSIG/4)*IF(J623=1,(1-(Cap_MSIG*$L$15+(1-Cap_MSIG)*$L$16))*(1+MSIG_USD*$L$14),1)+J653-J647-J667*IF((I642+I643+I644+I645)&gt;0,I643/(I642+I643+I644+I645),0)</f>
        <v>7437076.93137807</v>
      </c>
      <c r="K643" s="73" t="n">
        <f aca="false">J643*(1+Rend_MSIG/4)*IF(K623=1,(1-(Cap_MSIG*$L$15+(1-Cap_MSIG)*$L$16))*(1+MSIG_USD*$L$14),1)+K653-K647-K667*IF((J642+J643+J644+J645)&gt;0,J643/(J642+J643+J644+J645),0)</f>
        <v>7718498.58141314</v>
      </c>
      <c r="L643" s="73" t="n">
        <f aca="false">K643*(1+Rend_MSIG/4)*IF(L623=1,(1-(Cap_MSIG*$L$15+(1-Cap_MSIG)*$L$16))*(1+MSIG_USD*$L$14),1)+L653-L647-L667*IF((K642+K643+K644+K645)&gt;0,K643/(K642+K643+K644+K645),0)</f>
        <v>8001109.23791962</v>
      </c>
      <c r="M643" s="73" t="n">
        <f aca="false">L643*(1+Rend_MSIG/4)*IF(M623=1,(1-(Cap_MSIG*$L$15+(1-Cap_MSIG)*$L$16))*(1+MSIG_USD*$L$14),1)+M653-M647-M667*IF((L642+L643+L644+L645)&gt;0,L643/(L642+L643+L644+L645),0)</f>
        <v>8284913.92444983</v>
      </c>
      <c r="N643" s="73" t="n">
        <f aca="false">M643*(1+Rend_MSIG/4)*IF(N623=1,(1-(Cap_MSIG*$L$15+(1-Cap_MSIG)*$L$16))*(1+MSIG_USD*$L$14),1)+N653-N647-N667*IF((M642+M643+M644+M645)&gt;0,M643/(M642+M643+M644+M645),0)</f>
        <v>8569917.68578063</v>
      </c>
      <c r="O643" s="73" t="n">
        <f aca="false">N643*(1+Rend_MSIG/4)*IF(O623=1,(1-(Cap_MSIG*$L$15+(1-Cap_MSIG)*$L$16))*(1+MSIG_USD*$L$14),1)+O653-O647-O667*IF((N642+N643+N644+N645)&gt;0,N643/(N642+N643+N644+N645),0)</f>
        <v>8856125.58800305</v>
      </c>
    </row>
    <row r="644" customFormat="false" ht="15" hidden="false" customHeight="false" outlineLevel="0" collapsed="false">
      <c r="B644" s="65" t="s">
        <v>1037</v>
      </c>
      <c r="C644" s="73" t="n">
        <f aca="false">AN_cible*Ws_PG</f>
        <v>12250000</v>
      </c>
      <c r="D644" s="73" t="n">
        <f aca="false">C644*(1+Rend_PG/4)*IF(D623=1,(1-(Cap_PG*$L$15+(1-Cap_PG)*$L$16))*(1+0*$L$14),1)-D648-D664*IF((D654+D655)&gt;0,D654/(D654+D655),0)+D669/2-D667*IF((C642+C643+C644+C645)&gt;0,C644/(C642+C643+C644+C645),0)</f>
        <v>11888931.25</v>
      </c>
      <c r="E644" s="73" t="n">
        <f aca="false">D644*(1+Rend_PG/4)*IF(E623=1,(1-(Cap_PG*$L$15+(1-Cap_PG)*$L$16))*(1+0*$L$14),1)-E648-E664*IF((E654+E655)&gt;0,E654/(E654+E655),0)+E669/2-E667*IF((D642+D643+D644+D645)&gt;0,D644/(D642+D643+D644+D645),0)</f>
        <v>11538505.0014063</v>
      </c>
      <c r="F644" s="73" t="n">
        <f aca="false">E644*(1+Rend_PG/4)*IF(F623=1,(1-(Cap_PG*$L$15+(1-Cap_PG)*$L$16))*(1+0*$L$14),1)-F648-F664*IF((F654+F655)&gt;0,F654/(F654+F655),0)+F669/2-F667*IF((E642+E643+E644+E645)&gt;0,E644/(E642+E643+E644+E645),0)</f>
        <v>11198407.5664898</v>
      </c>
      <c r="G644" s="73" t="n">
        <f aca="false">F644*(1+Rend_PG/4)*IF(G623=1,(1-(Cap_PG*$L$15+(1-Cap_PG)*$L$16))*(1+0*$L$14),1)-G648-G664*IF((G654+G655)&gt;0,G654/(G654+G655),0)+G669/2-G667*IF((F642+F643+F644+F645)&gt;0,F644/(F642+F643+F644+F645),0)</f>
        <v>10868334.5034675</v>
      </c>
      <c r="H644" s="73" t="n">
        <f aca="false">G644*(1+Rend_PG/4)*IF(H623=1,(1-(Cap_PG*$L$15+(1-Cap_PG)*$L$16))*(1+0*$L$14),1)-H648-H664*IF((H654+H655)&gt;0,H654/(H654+H655),0)+H669/2-H667*IF((G642+G643+G644+G645)&gt;0,G644/(G642+G643+G644+G645),0)</f>
        <v>10547990.3439778</v>
      </c>
      <c r="I644" s="73" t="n">
        <f aca="false">H644*(1+Rend_PG/4)*IF(I623=1,(1-(Cap_PG*$L$15+(1-Cap_PG)*$L$16))*(1+0*$L$14),1)-I648-I664*IF((I654+I655)&gt;0,I654/(I654+I655),0)+I669/2-I667*IF((H642+H643+H644+H645)&gt;0,H644/(H642+H643+H644+H645),0)</f>
        <v>10237088.3285891</v>
      </c>
      <c r="J644" s="73" t="n">
        <f aca="false">I644*(1+Rend_PG/4)*IF(J623=1,(1-(Cap_PG*$L$15+(1-Cap_PG)*$L$16))*(1+0*$L$14),1)-J648-J664*IF((J654+J655)&gt;0,J654/(J654+J655),0)+J669/2-J667*IF((I642+I643+I644+I645)&gt;0,I644/(I642+I643+I644+I645),0)</f>
        <v>9935350.1501039</v>
      </c>
      <c r="K644" s="73" t="n">
        <f aca="false">J644*(1+Rend_PG/4)*IF(K623=1,(1-(Cap_PG*$L$15+(1-Cap_PG)*$L$16))*(1+0*$L$14),1)-K648-K664*IF((K654+K655)&gt;0,K654/(K654+K655),0)+K669/2-K667*IF((J642+J643+J644+J645)&gt;0,J644/(J642+J643+J644+J645),0)</f>
        <v>9642505.70442959</v>
      </c>
      <c r="L644" s="73" t="n">
        <f aca="false">K644*(1+Rend_PG/4)*IF(L623=1,(1-(Cap_PG*$L$15+(1-Cap_PG)*$L$16))*(1+0*$L$14),1)-L648-L664*IF((L654+L655)&gt;0,L654/(L654+L655),0)+L669/2-L667*IF((K642+K643+K644+K645)&gt;0,K644/(K642+K643+K644+K645),0)</f>
        <v>9358292.84879153</v>
      </c>
      <c r="M644" s="73" t="n">
        <f aca="false">L644*(1+Rend_PG/4)*IF(M623=1,(1-(Cap_PG*$L$15+(1-Cap_PG)*$L$16))*(1+0*$L$14),1)-M648-M664*IF((M654+M655)&gt;0,M654/(M654+M655),0)+M669/2-M667*IF((L642+L643+L644+L645)&gt;0,L644/(L642+L643+L644+L645),0)</f>
        <v>9082457.1670734</v>
      </c>
      <c r="N644" s="73" t="n">
        <f aca="false">M644*(1+Rend_PG/4)*IF(N623=1,(1-(Cap_PG*$L$15+(1-Cap_PG)*$L$16))*(1+0*$L$14),1)-N648-N664*IF((N654+N655)&gt;0,N654/(N654+N655),0)+N669/2-N667*IF((M642+M643+M644+M645)&gt;0,M644/(M642+M643+M644+M645),0)</f>
        <v>8814751.74207391</v>
      </c>
      <c r="O644" s="73" t="n">
        <f aca="false">N644*(1+Rend_PG/4)*IF(O623=1,(1-(Cap_PG*$L$15+(1-Cap_PG)*$L$16))*(1+0*$L$14),1)-O648-O664*IF((O654+O655)&gt;0,O654/(O654+O655),0)+O669/2-O667*IF((N642+N643+N644+N645)&gt;0,N644/(N642+N643+N644+N645),0)</f>
        <v>8554936.93447628</v>
      </c>
    </row>
    <row r="645" customFormat="false" ht="15" hidden="false" customHeight="false" outlineLevel="0" collapsed="false">
      <c r="B645" s="65" t="s">
        <v>1038</v>
      </c>
      <c r="C645" s="73" t="n">
        <f aca="false">AN_cible*Ws_ARES</f>
        <v>12250000</v>
      </c>
      <c r="D645" s="73" t="n">
        <f aca="false">C645*(1+Rend_ARES/4)*IF(D623=1,(1-(Cap_ARES*$L$15+(1-Cap_ARES)*$L$16))*(1+0*$L$14),1)-D649-D664*IF((D654+D655)&gt;0,D655/(D654+D655),0)/(1-IF(D623&lt;=Deduc_trim,Deduc_ares,0))+D669/2-D667*IF((C642+C643+C644+C645)&gt;0,C645/(C642+C643+C644+C645),0)</f>
        <v>11727537.5</v>
      </c>
      <c r="E645" s="73" t="n">
        <f aca="false">D645*(1+Rend_ARES/4)*IF(E623=1,(1-(Cap_ARES*$L$15+(1-Cap_ARES)*$L$16))*(1+0*$L$14),1)-E649-E664*IF((E654+E655)&gt;0,E655/(E654+E655),0)/(1-IF(E623&lt;=Deduc_trim,Deduc_ares,0))+E669/2-E667*IF((D642+D643+D644+D645)&gt;0,D645/(D642+D643+D644+D645),0)</f>
        <v>11227358.025625</v>
      </c>
      <c r="F645" s="73" t="n">
        <f aca="false">E645*(1+Rend_ARES/4)*IF(F623=1,(1-(Cap_ARES*$L$15+(1-Cap_ARES)*$L$16))*(1+0*$L$14),1)-F649-F664*IF((F654+F655)&gt;0,F655/(F654+F655),0)/(1-IF(F623&lt;=Deduc_trim,Deduc_ares,0))+F669/2-F667*IF((E642+E643+E644+E645)&gt;0,E645/(E642+E643+E644+E645),0)</f>
        <v>10748511.2058321</v>
      </c>
      <c r="G645" s="73" t="n">
        <f aca="false">F645*(1+Rend_ARES/4)*IF(G623=1,(1-(Cap_ARES*$L$15+(1-Cap_ARES)*$L$16))*(1+0*$L$14),1)-G649-G664*IF((G654+G655)&gt;0,G655/(G654+G655),0)/(1-IF(G623&lt;=Deduc_trim,Deduc_ares,0))+G669/2-G667*IF((F642+F643+F644+F645)&gt;0,F645/(F642+F643+F644+F645),0)</f>
        <v>10290087.2029034</v>
      </c>
      <c r="H645" s="73" t="n">
        <f aca="false">G645*(1+Rend_ARES/4)*IF(H623=1,(1-(Cap_ARES*$L$15+(1-Cap_ARES)*$L$16))*(1+0*$L$14),1)-H649-H664*IF((H654+H655)&gt;0,H655/(H654+H655),0)/(1-IF(H623&lt;=Deduc_trim,Deduc_ares,0))+H669/2-H667*IF((G642+G643+G644+G645)&gt;0,G645/(G642+G643+G644+G645),0)</f>
        <v>9851214.98369952</v>
      </c>
      <c r="I645" s="73" t="n">
        <f aca="false">H645*(1+Rend_ARES/4)*IF(I623=1,(1-(Cap_ARES*$L$15+(1-Cap_ARES)*$L$16))*(1+0*$L$14),1)-I649-I664*IF((I654+I655)&gt;0,I655/(I654+I655),0)/(1-IF(I623&lt;=Deduc_trim,Deduc_ares,0))+I669/2-I667*IF((H642+H643+H644+H645)&gt;0,H645/(H642+H643+H644+H645),0)</f>
        <v>9431060.66464474</v>
      </c>
      <c r="J645" s="73" t="n">
        <f aca="false">I645*(1+Rend_ARES/4)*IF(J623=1,(1-(Cap_ARES*$L$15+(1-Cap_ARES)*$L$16))*(1+0*$L$14),1)-J649-J664*IF((J654+J655)&gt;0,J655/(J654+J655),0)/(1-IF(J623&lt;=Deduc_trim,Deduc_ares,0))+J669/2-J667*IF((I642+I643+I644+I645)&gt;0,I645/(I642+I643+I644+I645),0)</f>
        <v>9028825.92729764</v>
      </c>
      <c r="K645" s="73" t="n">
        <f aca="false">J645*(1+Rend_ARES/4)*IF(K623=1,(1-(Cap_ARES*$L$15+(1-Cap_ARES)*$L$16))*(1+0*$L$14),1)-K649-K664*IF((K654+K655)&gt;0,K655/(K654+K655),0)/(1-IF(K623&lt;=Deduc_trim,Deduc_ares,0))+K669/2-K667*IF((J642+J643+J644+J645)&gt;0,J645/(J642+J643+J644+J645),0)</f>
        <v>8643746.5014984</v>
      </c>
      <c r="L645" s="73" t="n">
        <f aca="false">K645*(1+Rend_ARES/4)*IF(L623=1,(1-(Cap_ARES*$L$15+(1-Cap_ARES)*$L$16))*(1+0*$L$14),1)-L649-L664*IF((L654+L655)&gt;0,L655/(L654+L655),0)/(1-IF(L623&lt;=Deduc_trim,Deduc_ares,0))+L669/2-L667*IF((K642+K643+K644+K645)&gt;0,K645/(K642+K643+K644+K645),0)</f>
        <v>8275090.71320949</v>
      </c>
      <c r="M645" s="73" t="n">
        <f aca="false">L645*(1+Rend_ARES/4)*IF(M623=1,(1-(Cap_ARES*$L$15+(1-Cap_ARES)*$L$16))*(1+0*$L$14),1)-M649-M664*IF((M654+M655)&gt;0,M655/(M654+M655),0)/(1-IF(M623&lt;=Deduc_trim,Deduc_ares,0))+M669/2-M667*IF((L642+L643+L644+L645)&gt;0,L645/(L642+L643+L644+L645),0)</f>
        <v>7922158.0942911</v>
      </c>
      <c r="N645" s="73" t="n">
        <f aca="false">M645*(1+Rend_ARES/4)*IF(N623=1,(1-(Cap_ARES*$L$15+(1-Cap_ARES)*$L$16))*(1+0*$L$14),1)-N649-N664*IF((N654+N655)&gt;0,N655/(N654+N655),0)/(1-IF(N623&lt;=Deduc_trim,Deduc_ares,0))+N669/2-N667*IF((M642+M643+M644+M645)&gt;0,M645/(M642+M643+M644+M645),0)</f>
        <v>7584278.05156959</v>
      </c>
      <c r="O645" s="73" t="n">
        <f aca="false">N645*(1+Rend_ARES/4)*IF(O623=1,(1-(Cap_ARES*$L$15+(1-Cap_ARES)*$L$16))*(1+0*$L$14),1)-O649-O664*IF((O654+O655)&gt;0,O655/(O654+O655),0)/(1-IF(O623&lt;=Deduc_trim,Deduc_ares,0))+O669/2-O667*IF((N642+N643+N644+N645)&gt;0,N645/(N642+N643+N644+N645),0)</f>
        <v>7260808.59267014</v>
      </c>
    </row>
    <row r="646" customFormat="false" ht="15" hidden="false" customHeight="false" outlineLevel="0" collapsed="false">
      <c r="B646" s="65" t="s">
        <v>1039</v>
      </c>
      <c r="C646" s="25"/>
      <c r="D646" s="73" t="n">
        <f aca="false">C642*Dist_MAPIF/4*IF(D623&lt;=$L$11,0,$L$10)</f>
        <v>187500</v>
      </c>
      <c r="E646" s="73" t="n">
        <f aca="false">D642*Dist_MAPIF/4*IF(E623&lt;=$L$11,0,$L$10)</f>
        <v>194573.4375</v>
      </c>
      <c r="F646" s="73" t="n">
        <f aca="false">E642*Dist_MAPIF/4*IF(F623&lt;=$L$11,0,$L$10)</f>
        <v>201701.517304688</v>
      </c>
      <c r="G646" s="73" t="n">
        <f aca="false">F642*Dist_MAPIF/4*IF(G623&lt;=$L$11,0,$L$10)</f>
        <v>208884.661525866</v>
      </c>
      <c r="H646" s="73" t="n">
        <f aca="false">G642*Dist_MAPIF/4*IF(H623&lt;=$L$11,0,$L$10)</f>
        <v>216123.295536154</v>
      </c>
      <c r="I646" s="73" t="n">
        <f aca="false">H642*Dist_MAPIF/4*IF(I623&lt;=$L$11,0,$L$10)</f>
        <v>223417.84799417</v>
      </c>
      <c r="J646" s="73" t="n">
        <f aca="false">I642*Dist_MAPIF/4*IF(J623&lt;=$L$11,0,$L$10)</f>
        <v>230768.750869925</v>
      </c>
      <c r="K646" s="73" t="n">
        <f aca="false">J642*Dist_MAPIF/4*IF(K623&lt;=$L$11,0,$L$10)</f>
        <v>238176.439470396</v>
      </c>
      <c r="L646" s="73" t="n">
        <f aca="false">K642*Dist_MAPIF/4*IF(L623&lt;=$L$11,0,$L$10)</f>
        <v>245641.352465304</v>
      </c>
      <c r="M646" s="73" t="n">
        <f aca="false">L642*Dist_MAPIF/4*IF(M623&lt;=$L$11,0,$L$10)</f>
        <v>253163.931913099</v>
      </c>
      <c r="N646" s="73" t="n">
        <f aca="false">M642*Dist_MAPIF/4*IF(N623&lt;=$L$11,0,$L$10)</f>
        <v>260744.623287128</v>
      </c>
      <c r="O646" s="73" t="n">
        <f aca="false">N642*Dist_MAPIF/4*IF(O623&lt;=$L$11,0,$L$10)</f>
        <v>268383.875502021</v>
      </c>
    </row>
    <row r="647" customFormat="false" ht="15" hidden="false" customHeight="false" outlineLevel="0" collapsed="false">
      <c r="B647" s="65" t="s">
        <v>1040</v>
      </c>
      <c r="C647" s="25"/>
      <c r="D647" s="73" t="n">
        <f aca="false">C643*Dist_MSIG/4*IF(D623&lt;=$L$11,0,$L$10)</f>
        <v>96250</v>
      </c>
      <c r="E647" s="73" t="n">
        <f aca="false">D643*Dist_MSIG/4*IF(E623&lt;=$L$11,0,$L$10)</f>
        <v>101031.65625</v>
      </c>
      <c r="F647" s="73" t="n">
        <f aca="false">E643*Dist_MSIG/4*IF(F623&lt;=$L$11,0,$L$10)</f>
        <v>105833.514997656</v>
      </c>
      <c r="G647" s="73" t="n">
        <f aca="false">F643*Dist_MSIG/4*IF(G623&lt;=$L$11,0,$L$10)</f>
        <v>110655.661598521</v>
      </c>
      <c r="H647" s="73" t="n">
        <f aca="false">G643*Dist_MSIG/4*IF(H623&lt;=$L$11,0,$L$10)</f>
        <v>115498.181768775</v>
      </c>
      <c r="I647" s="73" t="n">
        <f aca="false">H643*Dist_MSIG/4*IF(I623&lt;=$L$11,0,$L$10)</f>
        <v>120361.161586748</v>
      </c>
      <c r="J647" s="73" t="n">
        <f aca="false">I643*Dist_MSIG/4*IF(J623&lt;=$L$11,0,$L$10)</f>
        <v>125244.687494452</v>
      </c>
      <c r="K647" s="73" t="n">
        <f aca="false">J643*Dist_MSIG/4*IF(K623&lt;=$L$11,0,$L$10)</f>
        <v>130148.846299116</v>
      </c>
      <c r="L647" s="73" t="n">
        <f aca="false">K643*Dist_MSIG/4*IF(L623&lt;=$L$11,0,$L$10)</f>
        <v>135073.72517473</v>
      </c>
      <c r="M647" s="73" t="n">
        <f aca="false">L643*Dist_MSIG/4*IF(M623&lt;=$L$11,0,$L$10)</f>
        <v>140019.411663593</v>
      </c>
      <c r="N647" s="73" t="n">
        <f aca="false">M643*Dist_MSIG/4*IF(N623&lt;=$L$11,0,$L$10)</f>
        <v>144985.993677872</v>
      </c>
      <c r="O647" s="73" t="n">
        <f aca="false">N643*Dist_MSIG/4*IF(O623&lt;=$L$11,0,$L$10)</f>
        <v>149973.559501161</v>
      </c>
    </row>
    <row r="648" customFormat="false" ht="15" hidden="false" customHeight="false" outlineLevel="0" collapsed="false">
      <c r="B648" s="65" t="s">
        <v>1041</v>
      </c>
      <c r="C648" s="25"/>
      <c r="D648" s="73" t="n">
        <f aca="false">C644*Dist_PG/4*IF(D623&lt;=$L$11,0,$L$10)</f>
        <v>61250</v>
      </c>
      <c r="E648" s="73" t="n">
        <f aca="false">D644*Dist_PG/4*IF(E623&lt;=$L$11,0,$L$10)</f>
        <v>59444.65625</v>
      </c>
      <c r="F648" s="73" t="n">
        <f aca="false">E644*Dist_PG/4*IF(F623&lt;=$L$11,0,$L$10)</f>
        <v>57692.5250070313</v>
      </c>
      <c r="G648" s="73" t="n">
        <f aca="false">F644*Dist_PG/4*IF(G623&lt;=$L$11,0,$L$10)</f>
        <v>55992.037832449</v>
      </c>
      <c r="H648" s="73" t="n">
        <f aca="false">G644*Dist_PG/4*IF(H623&lt;=$L$11,0,$L$10)</f>
        <v>54341.6725173376</v>
      </c>
      <c r="I648" s="73" t="n">
        <f aca="false">H644*Dist_PG/4*IF(I623&lt;=$L$11,0,$L$10)</f>
        <v>52739.9517198891</v>
      </c>
      <c r="J648" s="73" t="n">
        <f aca="false">I644*Dist_PG/4*IF(J623&lt;=$L$11,0,$L$10)</f>
        <v>51185.4416429453</v>
      </c>
      <c r="K648" s="73" t="n">
        <f aca="false">J644*Dist_PG/4*IF(K623&lt;=$L$11,0,$L$10)</f>
        <v>49676.7507505195</v>
      </c>
      <c r="L648" s="73" t="n">
        <f aca="false">K644*Dist_PG/4*IF(L623&lt;=$L$11,0,$L$10)</f>
        <v>48212.528522148</v>
      </c>
      <c r="M648" s="73" t="n">
        <f aca="false">L644*Dist_PG/4*IF(M623&lt;=$L$11,0,$L$10)</f>
        <v>46791.4642439576</v>
      </c>
      <c r="N648" s="73" t="n">
        <f aca="false">M644*Dist_PG/4*IF(N623&lt;=$L$11,0,$L$10)</f>
        <v>45412.285835367</v>
      </c>
      <c r="O648" s="73" t="n">
        <f aca="false">N644*Dist_PG/4*IF(O623&lt;=$L$11,0,$L$10)</f>
        <v>44073.7587103696</v>
      </c>
    </row>
    <row r="649" customFormat="false" ht="15" hidden="false" customHeight="false" outlineLevel="0" collapsed="false">
      <c r="B649" s="65" t="s">
        <v>1042</v>
      </c>
      <c r="C649" s="25"/>
      <c r="D649" s="73" t="n">
        <f aca="false">C645*Dist_ARES/4*IF(D623&lt;=$L$11,0,$L$10)</f>
        <v>153125</v>
      </c>
      <c r="E649" s="73" t="n">
        <f aca="false">D645*Dist_ARES/4*IF(E623&lt;=$L$11,0,$L$10)</f>
        <v>146594.21875</v>
      </c>
      <c r="F649" s="73" t="n">
        <f aca="false">E645*Dist_ARES/4*IF(F623&lt;=$L$11,0,$L$10)</f>
        <v>140341.975320313</v>
      </c>
      <c r="G649" s="73" t="n">
        <f aca="false">F645*Dist_ARES/4*IF(G623&lt;=$L$11,0,$L$10)</f>
        <v>134356.390072901</v>
      </c>
      <c r="H649" s="73" t="n">
        <f aca="false">G645*Dist_ARES/4*IF(H623&lt;=$L$11,0,$L$10)</f>
        <v>128626.090036292</v>
      </c>
      <c r="I649" s="73" t="n">
        <f aca="false">H645*Dist_ARES/4*IF(I623&lt;=$L$11,0,$L$10)</f>
        <v>123140.187296244</v>
      </c>
      <c r="J649" s="73" t="n">
        <f aca="false">I645*Dist_ARES/4*IF(J623&lt;=$L$11,0,$L$10)</f>
        <v>117888.258308059</v>
      </c>
      <c r="K649" s="73" t="n">
        <f aca="false">J645*Dist_ARES/4*IF(K623&lt;=$L$11,0,$L$10)</f>
        <v>112860.324091221</v>
      </c>
      <c r="L649" s="73" t="n">
        <f aca="false">K645*Dist_ARES/4*IF(L623&lt;=$L$11,0,$L$10)</f>
        <v>108046.83126873</v>
      </c>
      <c r="M649" s="73" t="n">
        <f aca="false">L645*Dist_ARES/4*IF(M623&lt;=$L$11,0,$L$10)</f>
        <v>103438.633915119</v>
      </c>
      <c r="N649" s="73" t="n">
        <f aca="false">M645*Dist_ARES/4*IF(N623&lt;=$L$11,0,$L$10)</f>
        <v>99026.9761786388</v>
      </c>
      <c r="O649" s="73" t="n">
        <f aca="false">N645*Dist_ARES/4*IF(O623&lt;=$L$11,0,$L$10)</f>
        <v>94803.4756446198</v>
      </c>
    </row>
    <row r="650" customFormat="false" ht="15" hidden="false" customHeight="false" outlineLevel="0" collapsed="false">
      <c r="B650" s="65" t="s">
        <v>1043</v>
      </c>
      <c r="C650" s="73" t="n">
        <f aca="false">AN_cible*$L$12*Part_MAPIF_NA</f>
        <v>4500000</v>
      </c>
      <c r="D650" s="73" t="n">
        <f aca="false">C650*IF(D623=1,1+$L$14,1)-D652</f>
        <v>4125000</v>
      </c>
      <c r="E650" s="73" t="n">
        <f aca="false">D650*IF(E623=1,1+$L$14,1)-E652</f>
        <v>3750000</v>
      </c>
      <c r="F650" s="73" t="n">
        <f aca="false">E650*IF(F623=1,1+$L$14,1)-F652</f>
        <v>3375000</v>
      </c>
      <c r="G650" s="73" t="n">
        <f aca="false">F650*IF(G623=1,1+$L$14,1)-G652</f>
        <v>3000000</v>
      </c>
      <c r="H650" s="73" t="n">
        <f aca="false">G650*IF(H623=1,1+$L$14,1)-H652</f>
        <v>2625000</v>
      </c>
      <c r="I650" s="73" t="n">
        <f aca="false">H650*IF(I623=1,1+$L$14,1)-I652</f>
        <v>2250000</v>
      </c>
      <c r="J650" s="73" t="n">
        <f aca="false">I650*IF(J623=1,1+$L$14,1)-J652</f>
        <v>1875000</v>
      </c>
      <c r="K650" s="73" t="n">
        <f aca="false">J650*IF(K623=1,1+$L$14,1)-K652</f>
        <v>1500000</v>
      </c>
      <c r="L650" s="73" t="n">
        <f aca="false">K650*IF(L623=1,1+$L$14,1)-L652</f>
        <v>1125000</v>
      </c>
      <c r="M650" s="73" t="n">
        <f aca="false">L650*IF(M623=1,1+$L$14,1)-M652</f>
        <v>750000</v>
      </c>
      <c r="N650" s="73" t="n">
        <f aca="false">M650*IF(N623=1,1+$L$14,1)-N652</f>
        <v>375000</v>
      </c>
      <c r="O650" s="73" t="n">
        <f aca="false">N650*IF(O623=1,1+$L$14,1)-O652</f>
        <v>0</v>
      </c>
    </row>
    <row r="651" customFormat="false" ht="15" hidden="false" customHeight="false" outlineLevel="0" collapsed="false">
      <c r="B651" s="65" t="s">
        <v>1044</v>
      </c>
      <c r="C651" s="73" t="n">
        <f aca="false">AN_cible*$L$12*(1-Part_MAPIF_NA)</f>
        <v>3000000</v>
      </c>
      <c r="D651" s="73" t="n">
        <f aca="false">C651*IF(D623=1,1+MSIG_USD*$L$14,1)-D653</f>
        <v>2750000</v>
      </c>
      <c r="E651" s="73" t="n">
        <f aca="false">D651*IF(E623=1,1+MSIG_USD*$L$14,1)-E653</f>
        <v>2500000</v>
      </c>
      <c r="F651" s="73" t="n">
        <f aca="false">E651*IF(F623=1,1+MSIG_USD*$L$14,1)-F653</f>
        <v>2250000</v>
      </c>
      <c r="G651" s="73" t="n">
        <f aca="false">F651*IF(G623=1,1+MSIG_USD*$L$14,1)-G653</f>
        <v>2000000</v>
      </c>
      <c r="H651" s="73" t="n">
        <f aca="false">G651*IF(H623=1,1+MSIG_USD*$L$14,1)-H653</f>
        <v>1750000</v>
      </c>
      <c r="I651" s="73" t="n">
        <f aca="false">H651*IF(I623=1,1+MSIG_USD*$L$14,1)-I653</f>
        <v>1500000</v>
      </c>
      <c r="J651" s="73" t="n">
        <f aca="false">I651*IF(J623=1,1+MSIG_USD*$L$14,1)-J653</f>
        <v>1250000</v>
      </c>
      <c r="K651" s="73" t="n">
        <f aca="false">J651*IF(K623=1,1+MSIG_USD*$L$14,1)-K653</f>
        <v>1000000</v>
      </c>
      <c r="L651" s="73" t="n">
        <f aca="false">K651*IF(L623=1,1+MSIG_USD*$L$14,1)-L653</f>
        <v>750000</v>
      </c>
      <c r="M651" s="73" t="n">
        <f aca="false">L651*IF(M623=1,1+MSIG_USD*$L$14,1)-M653</f>
        <v>500000</v>
      </c>
      <c r="N651" s="73" t="n">
        <f aca="false">M651*IF(N623=1,1+MSIG_USD*$L$14,1)-N653</f>
        <v>250000</v>
      </c>
      <c r="O651" s="73" t="n">
        <f aca="false">N651*IF(O623=1,1+MSIG_USD*$L$14,1)-O653</f>
        <v>0</v>
      </c>
    </row>
    <row r="652" customFormat="false" ht="15" hidden="false" customHeight="false" outlineLevel="0" collapsed="false">
      <c r="B652" s="65" t="s">
        <v>1045</v>
      </c>
      <c r="C652" s="25"/>
      <c r="D652" s="73" t="n">
        <f aca="false">MIN(C650*IF(D623=1,1+$L$14,1),$C650*(1+$L$14)*IF(D623&lt;=4,$L$13/4,Appels_base))</f>
        <v>375000</v>
      </c>
      <c r="E652" s="73" t="n">
        <f aca="false">MIN(D650*IF(E623=1,1+$L$14,1),$C650*(1+$L$14)*IF(E623&lt;=4,$L$13/4,Appels_base))</f>
        <v>375000</v>
      </c>
      <c r="F652" s="73" t="n">
        <f aca="false">MIN(E650*IF(F623=1,1+$L$14,1),$C650*(1+$L$14)*IF(F623&lt;=4,$L$13/4,Appels_base))</f>
        <v>375000</v>
      </c>
      <c r="G652" s="73" t="n">
        <f aca="false">MIN(F650*IF(G623=1,1+$L$14,1),$C650*(1+$L$14)*IF(G623&lt;=4,$L$13/4,Appels_base))</f>
        <v>375000</v>
      </c>
      <c r="H652" s="73" t="n">
        <f aca="false">MIN(G650*IF(H623=1,1+$L$14,1),$C650*(1+$L$14)*IF(H623&lt;=4,$L$13/4,Appels_base))</f>
        <v>375000</v>
      </c>
      <c r="I652" s="73" t="n">
        <f aca="false">MIN(H650*IF(I623=1,1+$L$14,1),$C650*(1+$L$14)*IF(I623&lt;=4,$L$13/4,Appels_base))</f>
        <v>375000</v>
      </c>
      <c r="J652" s="73" t="n">
        <f aca="false">MIN(I650*IF(J623=1,1+$L$14,1),$C650*(1+$L$14)*IF(J623&lt;=4,$L$13/4,Appels_base))</f>
        <v>375000</v>
      </c>
      <c r="K652" s="73" t="n">
        <f aca="false">MIN(J650*IF(K623=1,1+$L$14,1),$C650*(1+$L$14)*IF(K623&lt;=4,$L$13/4,Appels_base))</f>
        <v>375000</v>
      </c>
      <c r="L652" s="73" t="n">
        <f aca="false">MIN(K650*IF(L623=1,1+$L$14,1),$C650*(1+$L$14)*IF(L623&lt;=4,$L$13/4,Appels_base))</f>
        <v>375000</v>
      </c>
      <c r="M652" s="73" t="n">
        <f aca="false">MIN(L650*IF(M623=1,1+$L$14,1),$C650*(1+$L$14)*IF(M623&lt;=4,$L$13/4,Appels_base))</f>
        <v>375000</v>
      </c>
      <c r="N652" s="73" t="n">
        <f aca="false">MIN(M650*IF(N623=1,1+$L$14,1),$C650*(1+$L$14)*IF(N623&lt;=4,$L$13/4,Appels_base))</f>
        <v>375000</v>
      </c>
      <c r="O652" s="73" t="n">
        <f aca="false">MIN(N650*IF(O623=1,1+$L$14,1),$C650*(1+$L$14)*IF(O623&lt;=4,$L$13/4,Appels_base))</f>
        <v>375000</v>
      </c>
    </row>
    <row r="653" customFormat="false" ht="15" hidden="false" customHeight="false" outlineLevel="0" collapsed="false">
      <c r="B653" s="65" t="s">
        <v>1046</v>
      </c>
      <c r="C653" s="25"/>
      <c r="D653" s="73" t="n">
        <f aca="false">MIN(C651*IF(D623=1,1+MSIG_USD*$L$14,1),$C651*(1+MSIG_USD*$L$14)*IF(D623&lt;=4,$L$13/4,Appels_base))</f>
        <v>250000</v>
      </c>
      <c r="E653" s="73" t="n">
        <f aca="false">MIN(D651*IF(E623=1,1+MSIG_USD*$L$14,1),$C651*(1+MSIG_USD*$L$14)*IF(E623&lt;=4,$L$13/4,Appels_base))</f>
        <v>250000</v>
      </c>
      <c r="F653" s="73" t="n">
        <f aca="false">MIN(E651*IF(F623=1,1+MSIG_USD*$L$14,1),$C651*(1+MSIG_USD*$L$14)*IF(F623&lt;=4,$L$13/4,Appels_base))</f>
        <v>250000</v>
      </c>
      <c r="G653" s="73" t="n">
        <f aca="false">MIN(F651*IF(G623=1,1+MSIG_USD*$L$14,1),$C651*(1+MSIG_USD*$L$14)*IF(G623&lt;=4,$L$13/4,Appels_base))</f>
        <v>250000</v>
      </c>
      <c r="H653" s="73" t="n">
        <f aca="false">MIN(G651*IF(H623=1,1+MSIG_USD*$L$14,1),$C651*(1+MSIG_USD*$L$14)*IF(H623&lt;=4,$L$13/4,Appels_base))</f>
        <v>250000</v>
      </c>
      <c r="I653" s="73" t="n">
        <f aca="false">MIN(H651*IF(I623=1,1+MSIG_USD*$L$14,1),$C651*(1+MSIG_USD*$L$14)*IF(I623&lt;=4,$L$13/4,Appels_base))</f>
        <v>250000</v>
      </c>
      <c r="J653" s="73" t="n">
        <f aca="false">MIN(I651*IF(J623=1,1+MSIG_USD*$L$14,1),$C651*(1+MSIG_USD*$L$14)*IF(J623&lt;=4,$L$13/4,Appels_base))</f>
        <v>250000</v>
      </c>
      <c r="K653" s="73" t="n">
        <f aca="false">MIN(J651*IF(K623=1,1+MSIG_USD*$L$14,1),$C651*(1+MSIG_USD*$L$14)*IF(K623&lt;=4,$L$13/4,Appels_base))</f>
        <v>250000</v>
      </c>
      <c r="L653" s="73" t="n">
        <f aca="false">MIN(K651*IF(L623=1,1+MSIG_USD*$L$14,1),$C651*(1+MSIG_USD*$L$14)*IF(L623&lt;=4,$L$13/4,Appels_base))</f>
        <v>250000</v>
      </c>
      <c r="M653" s="73" t="n">
        <f aca="false">MIN(L651*IF(M623=1,1+MSIG_USD*$L$14,1),$C651*(1+MSIG_USD*$L$14)*IF(M623&lt;=4,$L$13/4,Appels_base))</f>
        <v>250000</v>
      </c>
      <c r="N653" s="73" t="n">
        <f aca="false">MIN(M651*IF(N623=1,1+MSIG_USD*$L$14,1),$C651*(1+MSIG_USD*$L$14)*IF(N623&lt;=4,$L$13/4,Appels_base))</f>
        <v>250000</v>
      </c>
      <c r="O653" s="73" t="n">
        <f aca="false">MIN(N651*IF(O623=1,1+MSIG_USD*$L$14,1),$C651*(1+MSIG_USD*$L$14)*IF(O623&lt;=4,$L$13/4,Appels_base))</f>
        <v>250000</v>
      </c>
    </row>
    <row r="654" customFormat="false" ht="15" hidden="false" customHeight="false" outlineLevel="0" collapsed="false">
      <c r="B654" s="65" t="s">
        <v>1047</v>
      </c>
      <c r="C654" s="25"/>
      <c r="D654" s="73" t="n">
        <f aca="false">C644*Capacite_evg*IF(D623&lt;=4,$L$17,$L$18)</f>
        <v>612500</v>
      </c>
      <c r="E654" s="73" t="n">
        <f aca="false">D644*Capacite_evg*IF(E623&lt;=4,$L$17,$L$18)</f>
        <v>594446.5625</v>
      </c>
      <c r="F654" s="73" t="n">
        <f aca="false">E644*Capacite_evg*IF(F623&lt;=4,$L$17,$L$18)</f>
        <v>576925.250070313</v>
      </c>
      <c r="G654" s="73" t="n">
        <f aca="false">F644*Capacite_evg*IF(G623&lt;=4,$L$17,$L$18)</f>
        <v>559920.37832449</v>
      </c>
      <c r="H654" s="73" t="n">
        <f aca="false">G644*Capacite_evg*IF(H623&lt;=4,$L$17,$L$18)</f>
        <v>543416.725173376</v>
      </c>
      <c r="I654" s="73" t="n">
        <f aca="false">H644*Capacite_evg*IF(I623&lt;=4,$L$17,$L$18)</f>
        <v>527399.517198891</v>
      </c>
      <c r="J654" s="73" t="n">
        <f aca="false">I644*Capacite_evg*IF(J623&lt;=4,$L$17,$L$18)</f>
        <v>511854.416429453</v>
      </c>
      <c r="K654" s="73" t="n">
        <f aca="false">J644*Capacite_evg*IF(K623&lt;=4,$L$17,$L$18)</f>
        <v>496767.507505195</v>
      </c>
      <c r="L654" s="73" t="n">
        <f aca="false">K644*Capacite_evg*IF(L623&lt;=4,$L$17,$L$18)</f>
        <v>482125.28522148</v>
      </c>
      <c r="M654" s="73" t="n">
        <f aca="false">L644*Capacite_evg*IF(M623&lt;=4,$L$17,$L$18)</f>
        <v>467914.642439576</v>
      </c>
      <c r="N654" s="73" t="n">
        <f aca="false">M644*Capacite_evg*IF(N623&lt;=4,$L$17,$L$18)</f>
        <v>454122.85835367</v>
      </c>
      <c r="O654" s="73" t="n">
        <f aca="false">N644*Capacite_evg*IF(O623&lt;=4,$L$17,$L$18)</f>
        <v>440737.587103696</v>
      </c>
    </row>
    <row r="655" customFormat="false" ht="15" hidden="false" customHeight="false" outlineLevel="0" collapsed="false">
      <c r="B655" s="65" t="s">
        <v>1048</v>
      </c>
      <c r="C655" s="25"/>
      <c r="D655" s="73" t="n">
        <f aca="false">C645*Capacite_evg*IF(D623&lt;=4,$L$17,$L$19)*(1-IF(D623&lt;=Deduc_trim,Deduc_ares,0))</f>
        <v>581875</v>
      </c>
      <c r="E655" s="73" t="n">
        <f aca="false">D645*Capacite_evg*IF(E623&lt;=4,$L$17,$L$19)*(1-IF(E623&lt;=Deduc_trim,Deduc_ares,0))</f>
        <v>557058.03125</v>
      </c>
      <c r="F655" s="73" t="n">
        <f aca="false">E645*Capacite_evg*IF(F623&lt;=4,$L$17,$L$19)*(1-IF(F623&lt;=Deduc_trim,Deduc_ares,0))</f>
        <v>533299.506217187</v>
      </c>
      <c r="G655" s="73" t="n">
        <f aca="false">F645*Capacite_evg*IF(G623&lt;=4,$L$17,$L$19)*(1-IF(G623&lt;=Deduc_trim,Deduc_ares,0))</f>
        <v>510554.282277024</v>
      </c>
      <c r="H655" s="73" t="n">
        <f aca="false">G645*Capacite_evg*IF(H623&lt;=4,$L$17,$L$19)*(1-IF(H623&lt;=Deduc_trim,Deduc_ares,0))</f>
        <v>514504.360145168</v>
      </c>
      <c r="I655" s="73" t="n">
        <f aca="false">H645*Capacite_evg*IF(I623&lt;=4,$L$17,$L$19)*(1-IF(I623&lt;=Deduc_trim,Deduc_ares,0))</f>
        <v>492560.749184976</v>
      </c>
      <c r="J655" s="73" t="n">
        <f aca="false">I645*Capacite_evg*IF(J623&lt;=4,$L$17,$L$19)*(1-IF(J623&lt;=Deduc_trim,Deduc_ares,0))</f>
        <v>471553.033232237</v>
      </c>
      <c r="K655" s="73" t="n">
        <f aca="false">J645*Capacite_evg*IF(K623&lt;=4,$L$17,$L$19)*(1-IF(K623&lt;=Deduc_trim,Deduc_ares,0))</f>
        <v>451441.296364882</v>
      </c>
      <c r="L655" s="73" t="n">
        <f aca="false">K645*Capacite_evg*IF(L623&lt;=4,$L$17,$L$19)*(1-IF(L623&lt;=Deduc_trim,Deduc_ares,0))</f>
        <v>432187.32507492</v>
      </c>
      <c r="M655" s="73" t="n">
        <f aca="false">L645*Capacite_evg*IF(M623&lt;=4,$L$17,$L$19)*(1-IF(M623&lt;=Deduc_trim,Deduc_ares,0))</f>
        <v>413754.535660474</v>
      </c>
      <c r="N655" s="73" t="n">
        <f aca="false">M645*Capacite_evg*IF(N623&lt;=4,$L$17,$L$19)*(1-IF(N623&lt;=Deduc_trim,Deduc_ares,0))</f>
        <v>396107.904714555</v>
      </c>
      <c r="O655" s="73" t="n">
        <f aca="false">N645*Capacite_evg*IF(O623&lt;=4,$L$17,$L$19)*(1-IF(O623&lt;=Deduc_trim,Deduc_ares,0))</f>
        <v>379213.902578479</v>
      </c>
    </row>
    <row r="656" customFormat="false" ht="15" hidden="false" customHeight="false" outlineLevel="0" collapsed="false">
      <c r="B656" s="65" t="s">
        <v>1049</v>
      </c>
      <c r="C656" s="25"/>
      <c r="D656" s="73" t="n">
        <f aca="false">C670</f>
        <v>7500000</v>
      </c>
      <c r="E656" s="73" t="n">
        <f aca="false">D670</f>
        <v>5739375</v>
      </c>
      <c r="F656" s="73" t="n">
        <f aca="false">E670</f>
        <v>6562891.4375</v>
      </c>
      <c r="G656" s="73" t="n">
        <f aca="false">F670</f>
        <v>4909430.45367109</v>
      </c>
      <c r="H656" s="73" t="n">
        <f aca="false">G670</f>
        <v>5659951.93568534</v>
      </c>
      <c r="I656" s="73" t="n">
        <f aca="false">H670</f>
        <v>4012380.04095581</v>
      </c>
      <c r="J656" s="73" t="n">
        <f aca="false">I670</f>
        <v>4721157.38504098</v>
      </c>
      <c r="K656" s="73" t="n">
        <f aca="false">J670</f>
        <v>3052969.10864954</v>
      </c>
      <c r="L656" s="73" t="n">
        <f aca="false">K670</f>
        <v>3699458.07298265</v>
      </c>
      <c r="M656" s="73" t="n">
        <f aca="false">L670</f>
        <v>2014450.28730884</v>
      </c>
      <c r="N656" s="73" t="n">
        <f aca="false">M670</f>
        <v>2604490.52869983</v>
      </c>
      <c r="O656" s="73" t="n">
        <f aca="false">N670</f>
        <v>905934.533533687</v>
      </c>
    </row>
    <row r="657" customFormat="false" ht="15" hidden="false" customHeight="false" outlineLevel="0" collapsed="false">
      <c r="B657" s="65" t="s">
        <v>1050</v>
      </c>
      <c r="C657" s="25"/>
      <c r="D657" s="73" t="n">
        <f aca="false">D656*Taux_treso/4</f>
        <v>46875</v>
      </c>
      <c r="E657" s="73" t="n">
        <f aca="false">E656*Taux_treso/4</f>
        <v>35871.09375</v>
      </c>
      <c r="F657" s="73" t="n">
        <f aca="false">F656*Taux_treso/4</f>
        <v>41018.071484375</v>
      </c>
      <c r="G657" s="73" t="n">
        <f aca="false">G656*Taux_treso/4</f>
        <v>30683.9403354443</v>
      </c>
      <c r="H657" s="73" t="n">
        <f aca="false">H656*Taux_treso/4</f>
        <v>35374.6995980334</v>
      </c>
      <c r="I657" s="73" t="n">
        <f aca="false">I656*Taux_treso/4</f>
        <v>25077.3752559738</v>
      </c>
      <c r="J657" s="73" t="n">
        <f aca="false">J656*Taux_treso/4</f>
        <v>29507.2336565061</v>
      </c>
      <c r="K657" s="73" t="n">
        <f aca="false">K656*Taux_treso/4</f>
        <v>19081.0569290596</v>
      </c>
      <c r="L657" s="73" t="n">
        <f aca="false">L656*Taux_treso/4</f>
        <v>23121.6129561415</v>
      </c>
      <c r="M657" s="73" t="n">
        <f aca="false">M656*Taux_treso/4</f>
        <v>12590.3142956803</v>
      </c>
      <c r="N657" s="73" t="n">
        <f aca="false">N656*Taux_treso/4</f>
        <v>16278.0658043739</v>
      </c>
      <c r="O657" s="73" t="n">
        <f aca="false">O656*Taux_treso/4</f>
        <v>5662.09083458554</v>
      </c>
    </row>
    <row r="658" customFormat="false" ht="15" hidden="false" customHeight="false" outlineLevel="0" collapsed="false">
      <c r="B658" s="65" t="s">
        <v>1051</v>
      </c>
      <c r="C658" s="25"/>
      <c r="D658" s="73" t="n">
        <f aca="false">SUM(D646:D649)</f>
        <v>498125</v>
      </c>
      <c r="E658" s="73" t="n">
        <f aca="false">SUM(E646:E649)</f>
        <v>501643.96875</v>
      </c>
      <c r="F658" s="73" t="n">
        <f aca="false">SUM(F646:F649)</f>
        <v>505569.532629688</v>
      </c>
      <c r="G658" s="73" t="n">
        <f aca="false">SUM(G646:G649)</f>
        <v>509888.751029738</v>
      </c>
      <c r="H658" s="73" t="n">
        <f aca="false">SUM(H646:H649)</f>
        <v>514589.239858558</v>
      </c>
      <c r="I658" s="73" t="n">
        <f aca="false">SUM(I646:I649)</f>
        <v>519659.148597052</v>
      </c>
      <c r="J658" s="73" t="n">
        <f aca="false">SUM(J646:J649)</f>
        <v>525087.138315382</v>
      </c>
      <c r="K658" s="73" t="n">
        <f aca="false">SUM(K646:K649)</f>
        <v>530862.360611252</v>
      </c>
      <c r="L658" s="73" t="n">
        <f aca="false">SUM(L646:L649)</f>
        <v>536974.437430912</v>
      </c>
      <c r="M658" s="73" t="n">
        <f aca="false">SUM(M646:M649)</f>
        <v>543413.441735769</v>
      </c>
      <c r="N658" s="73" t="n">
        <f aca="false">SUM(N646:N649)</f>
        <v>550169.878979005</v>
      </c>
      <c r="O658" s="73" t="n">
        <f aca="false">SUM(O646:O649)</f>
        <v>557234.669358171</v>
      </c>
    </row>
    <row r="659" customFormat="false" ht="15" hidden="false" customHeight="false" outlineLevel="0" collapsed="false">
      <c r="B659" s="65" t="s">
        <v>1052</v>
      </c>
      <c r="C659" s="25"/>
      <c r="D659" s="73" t="n">
        <f aca="false">IF(AND(Distrib_tension=1,OR(D631&gt;0.000001,C673&lt;Liq_min,C637=1)),0,MIN(Dist_porteurs/4*Part_d*D628,D658))</f>
        <v>125000</v>
      </c>
      <c r="E659" s="73" t="n">
        <f aca="false">IF(AND(Distrib_tension=1,OR(E631&gt;0.000001,D673&lt;Liq_min,D637=1)),0,MIN(Dist_porteurs/4*Part_d*E628,E658))</f>
        <v>0</v>
      </c>
      <c r="F659" s="73" t="n">
        <f aca="false">IF(AND(Distrib_tension=1,OR(F631&gt;0.000001,E673&lt;Liq_min,E637=1)),0,MIN(Dist_porteurs/4*Part_d*F628,F658))</f>
        <v>0</v>
      </c>
      <c r="G659" s="73" t="n">
        <f aca="false">IF(AND(Distrib_tension=1,OR(G631&gt;0.000001,F673&lt;Liq_min,F637=1)),0,MIN(Dist_porteurs/4*Part_d*G628,G658))</f>
        <v>0</v>
      </c>
      <c r="H659" s="73" t="n">
        <f aca="false">IF(AND(Distrib_tension=1,OR(H631&gt;0.000001,G673&lt;Liq_min,G637=1)),0,MIN(Dist_porteurs/4*Part_d*H628,H658))</f>
        <v>0</v>
      </c>
      <c r="I659" s="73" t="n">
        <f aca="false">IF(AND(Distrib_tension=1,OR(I631&gt;0.000001,H673&lt;Liq_min,H637=1)),0,MIN(Dist_porteurs/4*Part_d*I628,I658))</f>
        <v>0</v>
      </c>
      <c r="J659" s="73" t="n">
        <f aca="false">IF(AND(Distrib_tension=1,OR(J631&gt;0.000001,I673&lt;Liq_min,I637=1)),0,MIN(Dist_porteurs/4*Part_d*J628,J658))</f>
        <v>0</v>
      </c>
      <c r="K659" s="73" t="n">
        <f aca="false">IF(AND(Distrib_tension=1,OR(K631&gt;0.000001,J673&lt;Liq_min,J637=1)),0,MIN(Dist_porteurs/4*Part_d*K628,K658))</f>
        <v>0</v>
      </c>
      <c r="L659" s="73" t="n">
        <f aca="false">IF(AND(Distrib_tension=1,OR(L631&gt;0.000001,K673&lt;Liq_min,K637=1)),0,MIN(Dist_porteurs/4*Part_d*L628,L658))</f>
        <v>0</v>
      </c>
      <c r="M659" s="73" t="n">
        <f aca="false">IF(AND(Distrib_tension=1,OR(M631&gt;0.000001,L673&lt;Liq_min,L637=1)),0,MIN(Dist_porteurs/4*Part_d*M628,M658))</f>
        <v>0</v>
      </c>
      <c r="N659" s="73" t="n">
        <f aca="false">IF(AND(Distrib_tension=1,OR(N631&gt;0.000001,M673&lt;Liq_min,M637=1)),0,MIN(Dist_porteurs/4*Part_d*N628,N658))</f>
        <v>0</v>
      </c>
      <c r="O659" s="73" t="n">
        <f aca="false">IF(AND(Distrib_tension=1,OR(O631&gt;0.000001,N673&lt;Liq_min,N637=1)),0,MIN(Dist_porteurs/4*Part_d*O628,O658))</f>
        <v>0</v>
      </c>
    </row>
    <row r="660" customFormat="false" ht="15" hidden="false" customHeight="false" outlineLevel="0" collapsed="false">
      <c r="B660" s="65" t="s">
        <v>1053</v>
      </c>
      <c r="C660" s="25"/>
      <c r="D660" s="73" t="n">
        <f aca="false">D652+D653</f>
        <v>625000</v>
      </c>
      <c r="E660" s="73" t="n">
        <f aca="false">E652+E653</f>
        <v>625000</v>
      </c>
      <c r="F660" s="73" t="n">
        <f aca="false">F652+F653</f>
        <v>625000</v>
      </c>
      <c r="G660" s="73" t="n">
        <f aca="false">G652+G653</f>
        <v>625000</v>
      </c>
      <c r="H660" s="73" t="n">
        <f aca="false">H652+H653</f>
        <v>625000</v>
      </c>
      <c r="I660" s="73" t="n">
        <f aca="false">I652+I653</f>
        <v>625000</v>
      </c>
      <c r="J660" s="73" t="n">
        <f aca="false">J652+J653</f>
        <v>625000</v>
      </c>
      <c r="K660" s="73" t="n">
        <f aca="false">K652+K653</f>
        <v>625000</v>
      </c>
      <c r="L660" s="73" t="n">
        <f aca="false">L652+L653</f>
        <v>625000</v>
      </c>
      <c r="M660" s="73" t="n">
        <f aca="false">M652+M653</f>
        <v>625000</v>
      </c>
      <c r="N660" s="73" t="n">
        <f aca="false">N652+N653</f>
        <v>625000</v>
      </c>
      <c r="O660" s="73" t="n">
        <f aca="false">O652+O653</f>
        <v>625000</v>
      </c>
    </row>
    <row r="661" customFormat="false" ht="15" hidden="false" customHeight="false" outlineLevel="0" collapsed="false">
      <c r="B661" s="65" t="s">
        <v>1054</v>
      </c>
      <c r="C661" s="25"/>
      <c r="D661" s="73" t="n">
        <f aca="false">D628*Frais_an/4</f>
        <v>250000</v>
      </c>
      <c r="E661" s="73" t="n">
        <f aca="false">E628*Frais_an/4</f>
        <v>240503.21875</v>
      </c>
      <c r="F661" s="73" t="n">
        <f aca="false">F628*Frais_an/4</f>
        <v>244115.758566406</v>
      </c>
      <c r="G661" s="73" t="n">
        <f aca="false">G628*Frais_an/4</f>
        <v>235525.86995245</v>
      </c>
      <c r="H661" s="73" t="n">
        <f aca="false">H628*Frais_an/4</f>
        <v>239132.447227697</v>
      </c>
      <c r="I661" s="73" t="n">
        <f aca="false">I628*Frais_an/4</f>
        <v>230919.446151722</v>
      </c>
      <c r="J661" s="73" t="n">
        <f aca="false">J628*Frais_an/4</f>
        <v>234653.645275002</v>
      </c>
      <c r="K661" s="73" t="n">
        <f aca="false">K628*Frais_an/4</f>
        <v>226663.257077278</v>
      </c>
      <c r="L661" s="73" t="n">
        <f aca="false">L628*Frais_an/4</f>
        <v>230401.495123387</v>
      </c>
      <c r="M661" s="73" t="n">
        <f aca="false">M628*Frais_an/4</f>
        <v>222632.692740514</v>
      </c>
      <c r="N661" s="73" t="n">
        <f aca="false">N628*Frais_an/4</f>
        <v>226384.973001613</v>
      </c>
      <c r="O661" s="73" t="n">
        <f aca="false">O628*Frais_an/4</f>
        <v>218835.701898796</v>
      </c>
    </row>
    <row r="662" customFormat="false" ht="15" hidden="false" customHeight="false" outlineLevel="0" collapsed="false">
      <c r="B662" s="65" t="s">
        <v>1055</v>
      </c>
      <c r="C662" s="25"/>
      <c r="D662" s="73" t="n">
        <f aca="false">C671*Taux_emprunt/4</f>
        <v>0</v>
      </c>
      <c r="E662" s="73" t="n">
        <f aca="false">D671*Taux_emprunt/4</f>
        <v>0</v>
      </c>
      <c r="F662" s="73" t="n">
        <f aca="false">E671*Taux_emprunt/4</f>
        <v>0</v>
      </c>
      <c r="G662" s="73" t="n">
        <f aca="false">F671*Taux_emprunt/4</f>
        <v>0</v>
      </c>
      <c r="H662" s="73" t="n">
        <f aca="false">G671*Taux_emprunt/4</f>
        <v>0</v>
      </c>
      <c r="I662" s="73" t="n">
        <f aca="false">H671*Taux_emprunt/4</f>
        <v>0</v>
      </c>
      <c r="J662" s="73" t="n">
        <f aca="false">I671*Taux_emprunt/4</f>
        <v>0</v>
      </c>
      <c r="K662" s="73" t="n">
        <f aca="false">J671*Taux_emprunt/4</f>
        <v>0</v>
      </c>
      <c r="L662" s="73" t="n">
        <f aca="false">K671*Taux_emprunt/4</f>
        <v>0</v>
      </c>
      <c r="M662" s="73" t="n">
        <f aca="false">L671*Taux_emprunt/4</f>
        <v>0</v>
      </c>
      <c r="N662" s="73" t="n">
        <f aca="false">M671*Taux_emprunt/4</f>
        <v>0</v>
      </c>
      <c r="O662" s="73" t="n">
        <f aca="false">N671*Taux_emprunt/4</f>
        <v>0</v>
      </c>
    </row>
    <row r="663" customFormat="false" ht="15" hidden="false" customHeight="false" outlineLevel="0" collapsed="false">
      <c r="B663" s="65" t="s">
        <v>1056</v>
      </c>
      <c r="C663" s="25"/>
      <c r="D663" s="73" t="n">
        <f aca="false">D656+D657+D658-D659+D629-D660-D661-D662</f>
        <v>7045000</v>
      </c>
      <c r="E663" s="73" t="n">
        <f aca="false">E656+E657+E658-E659+E629-E660-E661-E662</f>
        <v>5411386.84375</v>
      </c>
      <c r="F663" s="73" t="n">
        <f aca="false">F656+F657+F658-F659+F629-F660-F661-F662</f>
        <v>6240363.28304766</v>
      </c>
      <c r="G663" s="73" t="n">
        <f aca="false">G656+G657+G658-G659+G629-G660-G661-G662</f>
        <v>4589477.27508382</v>
      </c>
      <c r="H663" s="73" t="n">
        <f aca="false">H656+H657+H658-H659+H629-H660-H661-H662</f>
        <v>5345783.42791423</v>
      </c>
      <c r="I663" s="73" t="n">
        <f aca="false">I656+I657+I658-I659+I629-I660-I661-I662</f>
        <v>3701197.11865711</v>
      </c>
      <c r="J663" s="73" t="n">
        <f aca="false">J656+J657+J658-J659+J629-J660-J661-J662</f>
        <v>4416098.11173787</v>
      </c>
      <c r="K663" s="73" t="n">
        <f aca="false">K656+K657+K658-K659+K629-K660-K661-K662</f>
        <v>2751249.26911257</v>
      </c>
      <c r="L663" s="73" t="n">
        <f aca="false">L656+L657+L658-L659+L629-L660-L661-L662</f>
        <v>3404152.62824631</v>
      </c>
      <c r="M663" s="73" t="n">
        <f aca="false">M656+M657+M658-M659+M629-M660-M661-M662</f>
        <v>1722821.35059978</v>
      </c>
      <c r="N663" s="73" t="n">
        <f aca="false">N656+N657+N658-N659+N629-N660-N661-N662</f>
        <v>2319553.5004816</v>
      </c>
      <c r="O663" s="73" t="n">
        <f aca="false">O656+O657+O658-O659+O629-O660-O661-O662</f>
        <v>624995.591827647</v>
      </c>
    </row>
    <row r="664" customFormat="false" ht="15" hidden="false" customHeight="false" outlineLevel="0" collapsed="false">
      <c r="B664" s="65" t="s">
        <v>1057</v>
      </c>
      <c r="C664" s="25"/>
      <c r="D664" s="73" t="n">
        <f aca="false">MIN(D654+D655,MAX(0,Liq_cible*D628-(D663-D638)))</f>
        <v>1194375</v>
      </c>
      <c r="E664" s="73" t="n">
        <f aca="false">MIN(E654+E655,MAX(0,Liq_cible*E628-(E663-E638)))</f>
        <v>1151504.59375</v>
      </c>
      <c r="F664" s="73" t="n">
        <f aca="false">MIN(F654+F655,MAX(0,Liq_cible*F628-(F663-F638)))</f>
        <v>1110224.7562875</v>
      </c>
      <c r="G664" s="73" t="n">
        <f aca="false">MIN(G654+G655,MAX(0,Liq_cible*G628-(G663-G638)))</f>
        <v>1070474.66060151</v>
      </c>
      <c r="H664" s="73" t="n">
        <f aca="false">MIN(H654+H655,MAX(0,Liq_cible*H628-(H663-H638)))</f>
        <v>1057921.08531854</v>
      </c>
      <c r="I664" s="73" t="n">
        <f aca="false">MIN(I654+I655,MAX(0,Liq_cible*I628-(I663-I638)))</f>
        <v>1019960.26638387</v>
      </c>
      <c r="J664" s="73" t="n">
        <f aca="false">MIN(J654+J655,MAX(0,Liq_cible*J628-(J663-J638)))</f>
        <v>983407.44966169</v>
      </c>
      <c r="K664" s="73" t="n">
        <f aca="false">MIN(K654+K655,MAX(0,Liq_cible*K628-(K663-K638)))</f>
        <v>948208.803870077</v>
      </c>
      <c r="L664" s="73" t="n">
        <f aca="false">MIN(L654+L655,MAX(0,Liq_cible*L628-(L663-L638)))</f>
        <v>914312.610296399</v>
      </c>
      <c r="M664" s="73" t="n">
        <f aca="false">MIN(M654+M655,MAX(0,Liq_cible*M628-(M663-M638)))</f>
        <v>881669.178100051</v>
      </c>
      <c r="N664" s="73" t="n">
        <f aca="false">MIN(N654+N655,MAX(0,Liq_cible*N628-(N663-N638)))</f>
        <v>850230.763068225</v>
      </c>
      <c r="O664" s="73" t="n">
        <f aca="false">MIN(O654+O655,MAX(0,Liq_cible*O628-(O663-O638)))</f>
        <v>819951.489682175</v>
      </c>
    </row>
    <row r="665" customFormat="false" ht="15" hidden="false" customHeight="false" outlineLevel="0" collapsed="false">
      <c r="B665" s="65" t="s">
        <v>1058</v>
      </c>
      <c r="C665" s="25"/>
      <c r="D665" s="73" t="n">
        <f aca="false">D663-D638+D664</f>
        <v>5739375</v>
      </c>
      <c r="E665" s="73" t="n">
        <f aca="false">E663-E638+E664</f>
        <v>6562891.4375</v>
      </c>
      <c r="F665" s="73" t="n">
        <f aca="false">F663-F638+F664</f>
        <v>4909430.45367109</v>
      </c>
      <c r="G665" s="73" t="n">
        <f aca="false">G663-G638+G664</f>
        <v>5659951.93568534</v>
      </c>
      <c r="H665" s="73" t="n">
        <f aca="false">H663-H638+H664</f>
        <v>4012380.04095581</v>
      </c>
      <c r="I665" s="73" t="n">
        <f aca="false">I663-I638+I664</f>
        <v>4721157.38504098</v>
      </c>
      <c r="J665" s="73" t="n">
        <f aca="false">J663-J638+J664</f>
        <v>3052969.10864954</v>
      </c>
      <c r="K665" s="73" t="n">
        <f aca="false">K663-K638+K664</f>
        <v>3699458.07298265</v>
      </c>
      <c r="L665" s="73" t="n">
        <f aca="false">L663-L638+L664</f>
        <v>2014450.28730884</v>
      </c>
      <c r="M665" s="73" t="n">
        <f aca="false">M663-M638+M664</f>
        <v>2604490.52869983</v>
      </c>
      <c r="N665" s="73" t="n">
        <f aca="false">N663-N638+N664</f>
        <v>905934.533533687</v>
      </c>
      <c r="O665" s="73" t="n">
        <f aca="false">O663-O638+O664</f>
        <v>1444947.08150982</v>
      </c>
    </row>
    <row r="666" customFormat="false" ht="15" hidden="false" customHeight="false" outlineLevel="0" collapsed="false">
      <c r="B666" s="65" t="s">
        <v>1059</v>
      </c>
      <c r="C666" s="25"/>
      <c r="D666" s="73" t="n">
        <f aca="false">MIN(MAX(0,MIN($L$20*AN_cible,Emprunt_max*D628)-C671),MAX(0,IF($L$20&gt;0,Poche_min_exec*D628,0)-D665))-IF(D665&gt;Liq_cible*D628,MIN(C671,D665-Liq_cible*D628),0)</f>
        <v>0</v>
      </c>
      <c r="E666" s="73" t="n">
        <f aca="false">MIN(MAX(0,MIN($L$20*AN_cible,Emprunt_max*E628)-D671),MAX(0,IF($L$20&gt;0,Poche_min_exec*E628,0)-E665))-IF(E665&gt;Liq_cible*E628,MIN(D671,E665-Liq_cible*E628),0)</f>
        <v>0</v>
      </c>
      <c r="F666" s="73" t="n">
        <f aca="false">MIN(MAX(0,MIN($L$20*AN_cible,Emprunt_max*F628)-E671),MAX(0,IF($L$20&gt;0,Poche_min_exec*F628,0)-F665))-IF(F665&gt;Liq_cible*F628,MIN(E671,F665-Liq_cible*F628),0)</f>
        <v>0</v>
      </c>
      <c r="G666" s="73" t="n">
        <f aca="false">MIN(MAX(0,MIN($L$20*AN_cible,Emprunt_max*G628)-F671),MAX(0,IF($L$20&gt;0,Poche_min_exec*G628,0)-G665))-IF(G665&gt;Liq_cible*G628,MIN(F671,G665-Liq_cible*G628),0)</f>
        <v>0</v>
      </c>
      <c r="H666" s="73" t="n">
        <f aca="false">MIN(MAX(0,MIN($L$20*AN_cible,Emprunt_max*H628)-G671),MAX(0,IF($L$20&gt;0,Poche_min_exec*H628,0)-H665))-IF(H665&gt;Liq_cible*H628,MIN(G671,H665-Liq_cible*H628),0)</f>
        <v>0</v>
      </c>
      <c r="I666" s="73" t="n">
        <f aca="false">MIN(MAX(0,MIN($L$20*AN_cible,Emprunt_max*I628)-H671),MAX(0,IF($L$20&gt;0,Poche_min_exec*I628,0)-I665))-IF(I665&gt;Liq_cible*I628,MIN(H671,I665-Liq_cible*I628),0)</f>
        <v>0</v>
      </c>
      <c r="J666" s="73" t="n">
        <f aca="false">MIN(MAX(0,MIN($L$20*AN_cible,Emprunt_max*J628)-I671),MAX(0,IF($L$20&gt;0,Poche_min_exec*J628,0)-J665))-IF(J665&gt;Liq_cible*J628,MIN(I671,J665-Liq_cible*J628),0)</f>
        <v>0</v>
      </c>
      <c r="K666" s="73" t="n">
        <f aca="false">MIN(MAX(0,MIN($L$20*AN_cible,Emprunt_max*K628)-J671),MAX(0,IF($L$20&gt;0,Poche_min_exec*K628,0)-K665))-IF(K665&gt;Liq_cible*K628,MIN(J671,K665-Liq_cible*K628),0)</f>
        <v>0</v>
      </c>
      <c r="L666" s="73" t="n">
        <f aca="false">MIN(MAX(0,MIN($L$20*AN_cible,Emprunt_max*L628)-K671),MAX(0,IF($L$20&gt;0,Poche_min_exec*L628,0)-L665))-IF(L665&gt;Liq_cible*L628,MIN(K671,L665-Liq_cible*L628),0)</f>
        <v>0</v>
      </c>
      <c r="M666" s="73" t="n">
        <f aca="false">MIN(MAX(0,MIN($L$20*AN_cible,Emprunt_max*M628)-L671),MAX(0,IF($L$20&gt;0,Poche_min_exec*M628,0)-M665))-IF(M665&gt;Liq_cible*M628,MIN(L671,M665-Liq_cible*M628),0)</f>
        <v>0</v>
      </c>
      <c r="N666" s="73" t="n">
        <f aca="false">MIN(MAX(0,MIN($L$20*AN_cible,Emprunt_max*N628)-M671),MAX(0,IF($L$20&gt;0,Poche_min_exec*N628,0)-N665))-IF(N665&gt;Liq_cible*N628,MIN(M671,N665-Liq_cible*N628),0)</f>
        <v>0</v>
      </c>
      <c r="O666" s="73" t="n">
        <f aca="false">MIN(MAX(0,MIN($L$20*AN_cible,Emprunt_max*O628)-N671),MAX(0,IF($L$20&gt;0,Poche_min_exec*O628,0)-O665))-IF(O665&gt;Liq_cible*O628,MIN(N671,O665-Liq_cible*O628),0)</f>
        <v>0</v>
      </c>
    </row>
    <row r="667" customFormat="false" ht="15" hidden="false" customHeight="false" outlineLevel="0" collapsed="false">
      <c r="B667" s="65" t="s">
        <v>1060</v>
      </c>
      <c r="C667" s="25"/>
      <c r="D667" s="73" t="n">
        <f aca="false">MIN((C642+C643+C644+C645),MAX(0,-(D665+D666))/(1-Decote))</f>
        <v>0</v>
      </c>
      <c r="E667" s="73" t="n">
        <f aca="false">MIN((D642+D643+D644+D645),MAX(0,-(E665+E666))/(1-Decote))</f>
        <v>0</v>
      </c>
      <c r="F667" s="73" t="n">
        <f aca="false">MIN((E642+E643+E644+E645),MAX(0,-(F665+F666))/(1-Decote))</f>
        <v>0</v>
      </c>
      <c r="G667" s="73" t="n">
        <f aca="false">MIN((F642+F643+F644+F645),MAX(0,-(G665+G666))/(1-Decote))</f>
        <v>0</v>
      </c>
      <c r="H667" s="73" t="n">
        <f aca="false">MIN((G642+G643+G644+G645),MAX(0,-(H665+H666))/(1-Decote))</f>
        <v>0</v>
      </c>
      <c r="I667" s="73" t="n">
        <f aca="false">MIN((H642+H643+H644+H645),MAX(0,-(I665+I666))/(1-Decote))</f>
        <v>0</v>
      </c>
      <c r="J667" s="73" t="n">
        <f aca="false">MIN((I642+I643+I644+I645),MAX(0,-(J665+J666))/(1-Decote))</f>
        <v>0</v>
      </c>
      <c r="K667" s="73" t="n">
        <f aca="false">MIN((J642+J643+J644+J645),MAX(0,-(K665+K666))/(1-Decote))</f>
        <v>0</v>
      </c>
      <c r="L667" s="73" t="n">
        <f aca="false">MIN((K642+K643+K644+K645),MAX(0,-(L665+L666))/(1-Decote))</f>
        <v>0</v>
      </c>
      <c r="M667" s="73" t="n">
        <f aca="false">MIN((L642+L643+L644+L645),MAX(0,-(M665+M666))/(1-Decote))</f>
        <v>0</v>
      </c>
      <c r="N667" s="73" t="n">
        <f aca="false">MIN((M642+M643+M644+M645),MAX(0,-(N665+N666))/(1-Decote))</f>
        <v>0</v>
      </c>
      <c r="O667" s="73" t="n">
        <f aca="false">MIN((N642+N643+N644+N645),MAX(0,-(O665+O666))/(1-Decote))</f>
        <v>0</v>
      </c>
    </row>
    <row r="668" customFormat="false" ht="15" hidden="false" customHeight="false" outlineLevel="0" collapsed="false">
      <c r="B668" s="65" t="s">
        <v>1061</v>
      </c>
      <c r="C668" s="25"/>
      <c r="D668" s="73" t="n">
        <f aca="false">D667*Decote</f>
        <v>0</v>
      </c>
      <c r="E668" s="73" t="n">
        <f aca="false">E667*Decote</f>
        <v>0</v>
      </c>
      <c r="F668" s="73" t="n">
        <f aca="false">F667*Decote</f>
        <v>0</v>
      </c>
      <c r="G668" s="73" t="n">
        <f aca="false">G667*Decote</f>
        <v>0</v>
      </c>
      <c r="H668" s="73" t="n">
        <f aca="false">H667*Decote</f>
        <v>0</v>
      </c>
      <c r="I668" s="73" t="n">
        <f aca="false">I667*Decote</f>
        <v>0</v>
      </c>
      <c r="J668" s="73" t="n">
        <f aca="false">J667*Decote</f>
        <v>0</v>
      </c>
      <c r="K668" s="73" t="n">
        <f aca="false">K667*Decote</f>
        <v>0</v>
      </c>
      <c r="L668" s="73" t="n">
        <f aca="false">L667*Decote</f>
        <v>0</v>
      </c>
      <c r="M668" s="73" t="n">
        <f aca="false">M667*Decote</f>
        <v>0</v>
      </c>
      <c r="N668" s="73" t="n">
        <f aca="false">N667*Decote</f>
        <v>0</v>
      </c>
      <c r="O668" s="73" t="n">
        <f aca="false">O667*Decote</f>
        <v>0</v>
      </c>
    </row>
    <row r="669" customFormat="false" ht="15" hidden="false" customHeight="false" outlineLevel="0" collapsed="false">
      <c r="B669" s="65" t="s">
        <v>1062</v>
      </c>
      <c r="C669" s="25"/>
      <c r="D669" s="73" t="n">
        <f aca="false">IF(AND(D639&lt;0.000001,C671+D666&lt;0.000001),MAX(0,D665+D666-Seuil_reinv*D628),0)</f>
        <v>0</v>
      </c>
      <c r="E669" s="73" t="n">
        <f aca="false">IF(AND(E639&lt;0.000001,D671+E666&lt;0.000001),MAX(0,E665+E666-Seuil_reinv*E628),0)</f>
        <v>0</v>
      </c>
      <c r="F669" s="73" t="n">
        <f aca="false">IF(AND(F639&lt;0.000001,E671+F666&lt;0.000001),MAX(0,F665+F666-Seuil_reinv*F628),0)</f>
        <v>0</v>
      </c>
      <c r="G669" s="73" t="n">
        <f aca="false">IF(AND(G639&lt;0.000001,F671+G666&lt;0.000001),MAX(0,G665+G666-Seuil_reinv*G628),0)</f>
        <v>0</v>
      </c>
      <c r="H669" s="73" t="n">
        <f aca="false">IF(AND(H639&lt;0.000001,G671+H666&lt;0.000001),MAX(0,H665+H666-Seuil_reinv*H628),0)</f>
        <v>0</v>
      </c>
      <c r="I669" s="73" t="n">
        <f aca="false">IF(AND(I639&lt;0.000001,H671+I666&lt;0.000001),MAX(0,I665+I666-Seuil_reinv*I628),0)</f>
        <v>0</v>
      </c>
      <c r="J669" s="73" t="n">
        <f aca="false">IF(AND(J639&lt;0.000001,I671+J666&lt;0.000001),MAX(0,J665+J666-Seuil_reinv*J628),0)</f>
        <v>0</v>
      </c>
      <c r="K669" s="73" t="n">
        <f aca="false">IF(AND(K639&lt;0.000001,J671+K666&lt;0.000001),MAX(0,K665+K666-Seuil_reinv*K628),0)</f>
        <v>0</v>
      </c>
      <c r="L669" s="73" t="n">
        <f aca="false">IF(AND(L639&lt;0.000001,K671+L666&lt;0.000001),MAX(0,L665+L666-Seuil_reinv*L628),0)</f>
        <v>0</v>
      </c>
      <c r="M669" s="73" t="n">
        <f aca="false">IF(AND(M639&lt;0.000001,L671+M666&lt;0.000001),MAX(0,M665+M666-Seuil_reinv*M628),0)</f>
        <v>0</v>
      </c>
      <c r="N669" s="73" t="n">
        <f aca="false">IF(AND(N639&lt;0.000001,M671+N666&lt;0.000001),MAX(0,N665+N666-Seuil_reinv*N628),0)</f>
        <v>0</v>
      </c>
      <c r="O669" s="73" t="n">
        <f aca="false">IF(AND(O639&lt;0.000001,N671+O666&lt;0.000001),MAX(0,O665+O666-Seuil_reinv*O628),0)</f>
        <v>0</v>
      </c>
    </row>
    <row r="670" customFormat="false" ht="15" hidden="false" customHeight="false" outlineLevel="0" collapsed="false">
      <c r="B670" s="65" t="s">
        <v>1063</v>
      </c>
      <c r="C670" s="73" t="n">
        <f aca="false">AN_cible*Ws_LIQ</f>
        <v>7500000</v>
      </c>
      <c r="D670" s="73" t="n">
        <f aca="false">D665+D666+D667-D668-D669</f>
        <v>5739375</v>
      </c>
      <c r="E670" s="73" t="n">
        <f aca="false">E665+E666+E667-E668-E669</f>
        <v>6562891.4375</v>
      </c>
      <c r="F670" s="73" t="n">
        <f aca="false">F665+F666+F667-F668-F669</f>
        <v>4909430.45367109</v>
      </c>
      <c r="G670" s="73" t="n">
        <f aca="false">G665+G666+G667-G668-G669</f>
        <v>5659951.93568534</v>
      </c>
      <c r="H670" s="73" t="n">
        <f aca="false">H665+H666+H667-H668-H669</f>
        <v>4012380.04095581</v>
      </c>
      <c r="I670" s="73" t="n">
        <f aca="false">I665+I666+I667-I668-I669</f>
        <v>4721157.38504098</v>
      </c>
      <c r="J670" s="73" t="n">
        <f aca="false">J665+J666+J667-J668-J669</f>
        <v>3052969.10864954</v>
      </c>
      <c r="K670" s="73" t="n">
        <f aca="false">K665+K666+K667-K668-K669</f>
        <v>3699458.07298265</v>
      </c>
      <c r="L670" s="73" t="n">
        <f aca="false">L665+L666+L667-L668-L669</f>
        <v>2014450.28730884</v>
      </c>
      <c r="M670" s="73" t="n">
        <f aca="false">M665+M666+M667-M668-M669</f>
        <v>2604490.52869983</v>
      </c>
      <c r="N670" s="73" t="n">
        <f aca="false">N665+N666+N667-N668-N669</f>
        <v>905934.533533687</v>
      </c>
      <c r="O670" s="73" t="n">
        <f aca="false">O665+O666+O667-O668-O669</f>
        <v>1444947.08150982</v>
      </c>
    </row>
    <row r="671" customFormat="false" ht="15" hidden="false" customHeight="false" outlineLevel="0" collapsed="false">
      <c r="B671" s="65" t="s">
        <v>1064</v>
      </c>
      <c r="C671" s="73" t="n">
        <v>0</v>
      </c>
      <c r="D671" s="73" t="n">
        <f aca="false">C671+D666</f>
        <v>0</v>
      </c>
      <c r="E671" s="73" t="n">
        <f aca="false">D671+E666</f>
        <v>0</v>
      </c>
      <c r="F671" s="73" t="n">
        <f aca="false">E671+F666</f>
        <v>0</v>
      </c>
      <c r="G671" s="73" t="n">
        <f aca="false">F671+G666</f>
        <v>0</v>
      </c>
      <c r="H671" s="73" t="n">
        <f aca="false">G671+H666</f>
        <v>0</v>
      </c>
      <c r="I671" s="73" t="n">
        <f aca="false">H671+I666</f>
        <v>0</v>
      </c>
      <c r="J671" s="73" t="n">
        <f aca="false">I671+J666</f>
        <v>0</v>
      </c>
      <c r="K671" s="73" t="n">
        <f aca="false">J671+K666</f>
        <v>0</v>
      </c>
      <c r="L671" s="73" t="n">
        <f aca="false">K671+L666</f>
        <v>0</v>
      </c>
      <c r="M671" s="73" t="n">
        <f aca="false">L671+M666</f>
        <v>0</v>
      </c>
      <c r="N671" s="73" t="n">
        <f aca="false">M671+N666</f>
        <v>0</v>
      </c>
      <c r="O671" s="73" t="n">
        <f aca="false">N671+O666</f>
        <v>0</v>
      </c>
    </row>
    <row r="672" customFormat="false" ht="15" hidden="false" customHeight="false" outlineLevel="0" collapsed="false">
      <c r="B672" s="74" t="s">
        <v>1065</v>
      </c>
      <c r="C672" s="73" t="n">
        <f aca="false">C642+C643+C644+C645+C670-C671</f>
        <v>50000000</v>
      </c>
      <c r="D672" s="73" t="n">
        <f aca="false">D642+D643+D644+D645+D670-D671</f>
        <v>48100643.75</v>
      </c>
      <c r="E672" s="73" t="n">
        <f aca="false">E642+E643+E644+E645+E670-E671</f>
        <v>48823151.7132813</v>
      </c>
      <c r="F672" s="73" t="n">
        <f aca="false">F642+F643+F644+F645+F670-F671</f>
        <v>47105173.9904901</v>
      </c>
      <c r="G672" s="73" t="n">
        <f aca="false">G642+G643+G644+G645+G670-G671</f>
        <v>47826489.4455393</v>
      </c>
      <c r="H672" s="73" t="n">
        <f aca="false">H642+H643+H644+H645+H670-H671</f>
        <v>46183889.2303444</v>
      </c>
      <c r="I672" s="73" t="n">
        <f aca="false">I642+I643+I644+I645+I670-I671</f>
        <v>46930729.0550004</v>
      </c>
      <c r="J672" s="73" t="n">
        <f aca="false">J642+J643+J644+J645+J670-J671</f>
        <v>45332651.4154555</v>
      </c>
      <c r="K672" s="73" t="n">
        <f aca="false">K642+K643+K644+K645+K670-K671</f>
        <v>46080299.0246774</v>
      </c>
      <c r="L672" s="73" t="n">
        <f aca="false">L642+L643+L644+L645+L670-L671</f>
        <v>44526538.5481027</v>
      </c>
      <c r="M672" s="73" t="n">
        <f aca="false">M642+M643+M644+M645+M670-M671</f>
        <v>45276994.6003227</v>
      </c>
      <c r="N672" s="73" t="n">
        <f aca="false">N642+N643+N644+N645+N670-N671</f>
        <v>43767140.3797592</v>
      </c>
      <c r="O672" s="73" t="n">
        <f aca="false">O642+O643+O644+O645+O670-O671</f>
        <v>44522294.2593442</v>
      </c>
    </row>
    <row r="673" customFormat="false" ht="15" hidden="false" customHeight="false" outlineLevel="0" collapsed="false">
      <c r="B673" s="65" t="s">
        <v>1066</v>
      </c>
      <c r="C673" s="72" t="n">
        <f aca="false">IF((C672+C671)&gt;0,C670/(C672+C671),0)</f>
        <v>0.15</v>
      </c>
      <c r="D673" s="72" t="n">
        <f aca="false">IF((D672+D671)&gt;0,D670/(D672+D671),0)</f>
        <v>0.119320128641729</v>
      </c>
      <c r="E673" s="72" t="n">
        <f aca="false">IF((E672+E671)&gt;0,E670/(E672+E671),0)</f>
        <v>0.134421707882384</v>
      </c>
      <c r="F673" s="72" t="n">
        <f aca="false">IF((F672+F671)&gt;0,F670/(F672+F671),0)</f>
        <v>0.104222743231184</v>
      </c>
      <c r="G673" s="72" t="n">
        <f aca="false">IF((G672+G671)&gt;0,G670/(G672+G671),0)</f>
        <v>0.118343453623758</v>
      </c>
      <c r="H673" s="72" t="n">
        <f aca="false">IF((H672+H671)&gt;0,H670/(H672+H671),0)</f>
        <v>0.0868783488749479</v>
      </c>
      <c r="I673" s="72" t="n">
        <f aca="false">IF((I672+I671)&gt;0,I670/(I672+I671),0)</f>
        <v>0.100598424105196</v>
      </c>
      <c r="J673" s="72" t="n">
        <f aca="false">IF((J672+J671)&gt;0,J670/(J672+J671),0)</f>
        <v>0.0673459198463885</v>
      </c>
      <c r="K673" s="72" t="n">
        <f aca="false">IF((K672+K671)&gt;0,K670/(K672+K671),0)</f>
        <v>0.0802828573443387</v>
      </c>
      <c r="L673" s="72" t="n">
        <f aca="false">IF((L672+L671)&gt;0,L670/(L672+L671),0)</f>
        <v>0.0452415649856231</v>
      </c>
      <c r="M673" s="72" t="n">
        <f aca="false">IF((M672+M671)&gt;0,M670/(M672+M671),0)</f>
        <v>0.0575234851979612</v>
      </c>
      <c r="N673" s="72" t="n">
        <f aca="false">IF((N672+N671)&gt;0,N670/(N672+N671),0)</f>
        <v>0.0206989656092005</v>
      </c>
      <c r="O673" s="72" t="n">
        <f aca="false">IF((O672+O671)&gt;0,O670/(O672+O671),0)</f>
        <v>0.0324544614231456</v>
      </c>
    </row>
    <row r="674" customFormat="false" ht="15" hidden="false" customHeight="false" outlineLevel="0" collapsed="false">
      <c r="B674" s="65" t="s">
        <v>1067</v>
      </c>
      <c r="C674" s="72" t="n">
        <f aca="false">0</f>
        <v>0</v>
      </c>
      <c r="D674" s="72" t="n">
        <f aca="false">IF(D672&gt;0,D639/D672,0)</f>
        <v>0</v>
      </c>
      <c r="E674" s="72" t="n">
        <f aca="false">IF(E672&gt;0,E639/E672,0)</f>
        <v>0</v>
      </c>
      <c r="F674" s="72" t="n">
        <f aca="false">IF(F672&gt;0,F639/F672,0)</f>
        <v>0</v>
      </c>
      <c r="G674" s="72" t="n">
        <f aca="false">IF(G672&gt;0,G639/G672,0)</f>
        <v>0</v>
      </c>
      <c r="H674" s="72" t="n">
        <f aca="false">IF(H672&gt;0,H639/H672,0)</f>
        <v>0</v>
      </c>
      <c r="I674" s="72" t="n">
        <f aca="false">IF(I672&gt;0,I639/I672,0)</f>
        <v>0</v>
      </c>
      <c r="J674" s="72" t="n">
        <f aca="false">IF(J672&gt;0,J639/J672,0)</f>
        <v>0</v>
      </c>
      <c r="K674" s="72" t="n">
        <f aca="false">IF(K672&gt;0,K639/K672,0)</f>
        <v>0</v>
      </c>
      <c r="L674" s="72" t="n">
        <f aca="false">IF(L672&gt;0,L639/L672,0)</f>
        <v>0</v>
      </c>
      <c r="M674" s="72" t="n">
        <f aca="false">IF(M672&gt;0,M639/M672,0)</f>
        <v>0</v>
      </c>
      <c r="N674" s="72" t="n">
        <f aca="false">IF(N672&gt;0,N639/N672,0)</f>
        <v>0</v>
      </c>
      <c r="O674" s="72" t="n">
        <f aca="false">IF(O672&gt;0,O639/O672,0)</f>
        <v>0</v>
      </c>
    </row>
    <row r="675" customFormat="false" ht="15" hidden="false" customHeight="false" outlineLevel="0" collapsed="false">
      <c r="B675" s="65" t="s">
        <v>1068</v>
      </c>
      <c r="C675" s="75" t="n">
        <f aca="false">IF((C639+SUM(D630:G630)+SUM(D660:G660)+SUM(D661:G661)+SUM(D659:G659))&lt;=0,9.99,MIN(9.99,(C670+SUM(D658:G658)+SUM(D654:G655)+MAX(0,MIN($L$20*AN_cible,Emprunt_max*C672)-C671))/(C639+SUM(D630:G630)+SUM(D660:G660)+SUM(D661:G661)+SUM(D659:G659))))</f>
        <v>1.64495182467708</v>
      </c>
      <c r="D675" s="73" t="n">
        <f aca="false">IF((D639+SUM(E630:H630)+SUM(E660:H660)+SUM(E661:H661)+SUM(E659:H659))&lt;=0,9.99,MIN(9.99,(D670+SUM(E658:H658)+SUM(E654:H655)+MAX(0,MIN($L$20*AN_cible,Emprunt_max*D672)-D671))/(D639+SUM(E630:H630)+SUM(E660:H660)+SUM(E661:H661)+SUM(E659:H659))))</f>
        <v>1.46665997785505</v>
      </c>
      <c r="E675" s="73" t="n">
        <f aca="false">IF((E639+SUM(F630:I630)+SUM(F660:I660)+SUM(F661:I661)+SUM(F659:I659))&lt;=0,9.99,MIN(9.99,(E670+SUM(F658:I658)+SUM(F654:I655)+MAX(0,MIN($L$20*AN_cible,Emprunt_max*E672)-E671))/(E639+SUM(F630:I630)+SUM(F660:I660)+SUM(F661:I661)+SUM(F659:I659))))</f>
        <v>1.55408186582495</v>
      </c>
      <c r="F675" s="73" t="n">
        <f aca="false">IF((F639+SUM(G630:J630)+SUM(G660:J660)+SUM(G661:J661)+SUM(G659:J659))&lt;=0,9.99,MIN(9.99,(F670+SUM(G658:J658)+SUM(G654:J655)+MAX(0,MIN($L$20*AN_cible,Emprunt_max*F672)-F671))/(F639+SUM(G630:J630)+SUM(G660:J660)+SUM(G661:J661)+SUM(G659:J659))))</f>
        <v>1.35855866382724</v>
      </c>
      <c r="G675" s="73" t="n">
        <f aca="false">IF((G639+SUM(H630:K630)+SUM(H660:K660)+SUM(H661:K661)+SUM(H659:K659))&lt;=0,9.99,MIN(9.99,(G670+SUM(H658:K658)+SUM(H654:K655)+MAX(0,MIN($L$20*AN_cible,Emprunt_max*G672)-G671))/(G639+SUM(H630:K630)+SUM(H660:K660)+SUM(H661:K661)+SUM(H659:K659))))</f>
        <v>1.43950504885663</v>
      </c>
      <c r="H675" s="73" t="n">
        <f aca="false">IF((H639+SUM(I630:L630)+SUM(I660:L660)+SUM(I661:L661)+SUM(I659:L659))&lt;=0,9.99,MIN(9.99,(H670+SUM(I658:L658)+SUM(I654:L655)+MAX(0,MIN($L$20*AN_cible,Emprunt_max*H672)-H671))/(H639+SUM(I630:L630)+SUM(I660:L660)+SUM(I661:L661)+SUM(I659:L659))))</f>
        <v>1.23753475233825</v>
      </c>
      <c r="I675" s="73" t="n">
        <f aca="false">IF((I639+SUM(J630:M630)+SUM(J660:M660)+SUM(J661:M661)+SUM(J659:M659))&lt;=0,9.99,MIN(9.99,(I670+SUM(J658:M658)+SUM(J654:M655)+MAX(0,MIN($L$20*AN_cible,Emprunt_max*I672)-I671))/(I639+SUM(J630:M630)+SUM(J660:M660)+SUM(J661:M661)+SUM(J659:M659))))</f>
        <v>1.31248862744154</v>
      </c>
      <c r="J675" s="73" t="n">
        <f aca="false">IF((J639+SUM(K630:N630)+SUM(K660:N660)+SUM(K661:N661)+SUM(K659:N659))&lt;=0,9.99,MIN(9.99,(J670+SUM(K658:N658)+SUM(K654:N655)+MAX(0,MIN($L$20*AN_cible,Emprunt_max*J672)-J671))/(J639+SUM(K630:N630)+SUM(K660:N660)+SUM(K661:N661)+SUM(K659:N659))))</f>
        <v>1.10469889919798</v>
      </c>
      <c r="K675" s="73" t="n">
        <f aca="false">IF((K639+SUM(L630:O630)+SUM(L660:O660)+SUM(L661:O661)+SUM(L659:O659))&lt;=0,9.99,MIN(9.99,(K670+SUM(L658:O658)+SUM(L654:O655)+MAX(0,MIN($L$20*AN_cible,Emprunt_max*K672)-K671))/(K639+SUM(L630:O630)+SUM(L660:O660)+SUM(L661:O661)+SUM(L659:O659))))</f>
        <v>1.17414940736879</v>
      </c>
      <c r="L675" s="73" t="n">
        <f aca="false">IF((L639+SUM(M630:O630)+SUM(M660:O660)+SUM(M661:O661)+SUM(M659:O659))&lt;=0,9.99,MIN(9.99,(L670+SUM(M658:O658)+SUM(M654:O655)+MAX(0,MIN($L$20*AN_cible,Emprunt_max*L672)-L671))/(L639+SUM(M630:O630)+SUM(M660:O660)+SUM(M661:O661)+SUM(M659:O659))))</f>
        <v>1.29342702927973</v>
      </c>
      <c r="M675" s="73" t="n">
        <f aca="false">IF((M639+SUM(N630:O630)+SUM(N660:O660)+SUM(N661:O661)+SUM(N659:O659))&lt;=0,9.99,MIN(9.99,(M670+SUM(N658:O658)+SUM(N654:O655)+MAX(0,MIN($L$20*AN_cible,Emprunt_max*M672)-M671))/(M639+SUM(N630:O630)+SUM(N660:O660)+SUM(N661:O661)+SUM(N659:O659))))</f>
        <v>1.35942955778299</v>
      </c>
      <c r="N675" s="73" t="n">
        <f aca="false">IF((N639+SUM(O630:O630)+SUM(O660:O660)+SUM(O661:O661)+SUM(O659:O659))&lt;=0,9.99,MIN(9.99,(N670+SUM(O658:O658)+SUM(O654:O655)+MAX(0,MIN($L$20*AN_cible,Emprunt_max*N672)-N671))/(N639+SUM(O630:O630)+SUM(O660:O660)+SUM(O661:O661)+SUM(O659:O659))))</f>
        <v>2.70564600127319</v>
      </c>
      <c r="O675" s="73" t="n">
        <f aca="false">9.99</f>
        <v>9.99</v>
      </c>
    </row>
    <row r="676" customFormat="false" ht="15" hidden="false" customHeight="false" outlineLevel="0" collapsed="false">
      <c r="B676" s="65" t="s">
        <v>1069</v>
      </c>
      <c r="C676" s="72" t="n">
        <f aca="false">(C642+C643+C644+C645+C650+C651)/C672</f>
        <v>1</v>
      </c>
      <c r="D676" s="72" t="n">
        <f aca="false">(D642+D643+D644+D645+D650+D651)/D672</f>
        <v>1.02360935138212</v>
      </c>
      <c r="E676" s="72" t="n">
        <f aca="false">(E642+E643+E644+E645+E650+E651)/E672</f>
        <v>0.993591330618362</v>
      </c>
      <c r="F676" s="72" t="n">
        <f aca="false">(F642+F643+F644+F645+F650+F651)/F672</f>
        <v>1.01519089063281</v>
      </c>
      <c r="G676" s="72" t="n">
        <f aca="false">(G642+G643+G644+G645+G650+G651)/G672</f>
        <v>0.986201121108067</v>
      </c>
      <c r="H676" s="72" t="n">
        <f aca="false">(H642+H643+H644+H645+H650+H651)/H672</f>
        <v>1.00785165487548</v>
      </c>
      <c r="I676" s="72" t="n">
        <f aca="false">(I642+I643+I644+I645+I650+I651)/I672</f>
        <v>0.979306577916085</v>
      </c>
      <c r="J676" s="72" t="n">
        <f aca="false">(J642+J643+J644+J645+J650+J651)/J672</f>
        <v>1.0015889406223</v>
      </c>
      <c r="K676" s="72" t="n">
        <f aca="false">(K642+K643+K644+K645+K650+K651)/K672</f>
        <v>0.97397026281578</v>
      </c>
      <c r="L676" s="72" t="n">
        <f aca="false">(L642+L643+L644+L645+L650+L651)/L672</f>
        <v>0.996868153423644</v>
      </c>
      <c r="M676" s="72" t="n">
        <f aca="false">(M642+M643+M644+M645+M650+M651)/M672</f>
        <v>0.970084354302744</v>
      </c>
      <c r="N676" s="72" t="n">
        <f aca="false">(N642+N643+N644+N645+N650+N651)/N672</f>
        <v>0.993581154009696</v>
      </c>
      <c r="O676" s="72" t="n">
        <f aca="false">(O642+O643+O644+O645+O650+O651)/O672</f>
        <v>0.967545538576854</v>
      </c>
    </row>
    <row r="677" customFormat="false" ht="15" hidden="false" customHeight="false" outlineLevel="0" collapsed="false">
      <c r="B677" s="65" t="s">
        <v>849</v>
      </c>
      <c r="C677" s="72" t="n">
        <f aca="false">(C672+C671)/C672</f>
        <v>1</v>
      </c>
      <c r="D677" s="72" t="n">
        <f aca="false">(D672+D671)/D672</f>
        <v>1</v>
      </c>
      <c r="E677" s="72" t="n">
        <f aca="false">(E672+E671)/E672</f>
        <v>1</v>
      </c>
      <c r="F677" s="72" t="n">
        <f aca="false">(F672+F671)/F672</f>
        <v>1</v>
      </c>
      <c r="G677" s="72" t="n">
        <f aca="false">(G672+G671)/G672</f>
        <v>1</v>
      </c>
      <c r="H677" s="72" t="n">
        <f aca="false">(H672+H671)/H672</f>
        <v>1</v>
      </c>
      <c r="I677" s="72" t="n">
        <f aca="false">(I672+I671)/I672</f>
        <v>1</v>
      </c>
      <c r="J677" s="72" t="n">
        <f aca="false">(J672+J671)/J672</f>
        <v>1</v>
      </c>
      <c r="K677" s="72" t="n">
        <f aca="false">(K672+K671)/K672</f>
        <v>1</v>
      </c>
      <c r="L677" s="72" t="n">
        <f aca="false">(L672+L671)/L672</f>
        <v>1</v>
      </c>
      <c r="M677" s="72" t="n">
        <f aca="false">(M672+M671)/M672</f>
        <v>1</v>
      </c>
      <c r="N677" s="72" t="n">
        <f aca="false">(N672+N671)/N672</f>
        <v>1</v>
      </c>
      <c r="O677" s="72" t="n">
        <f aca="false">(O672+O671)/O672</f>
        <v>1</v>
      </c>
    </row>
    <row r="678" customFormat="false" ht="15" hidden="false" customHeight="false" outlineLevel="0" collapsed="false">
      <c r="B678" s="65" t="s">
        <v>1070</v>
      </c>
      <c r="C678" s="72" t="n">
        <f aca="false">(C642+C643*MSIG_USD)/C672</f>
        <v>0.25</v>
      </c>
      <c r="D678" s="72" t="n">
        <f aca="false">(D642+D643*MSIG_USD)/D672</f>
        <v>0.269675444832274</v>
      </c>
      <c r="E678" s="72" t="n">
        <f aca="false">(E642+E643*MSIG_USD)/E672</f>
        <v>0.27541785707076</v>
      </c>
      <c r="F678" s="72" t="n">
        <f aca="false">(F642+F643*MSIG_USD)/F672</f>
        <v>0.295628758414858</v>
      </c>
      <c r="G678" s="72" t="n">
        <f aca="false">(G642+G643*MSIG_USD)/G672</f>
        <v>0.301260240286235</v>
      </c>
      <c r="H678" s="72" t="n">
        <f aca="false">(H642+H643*MSIG_USD)/H672</f>
        <v>0.3225047402423</v>
      </c>
      <c r="I678" s="72" t="n">
        <f aca="false">(I642+I643*MSIG_USD)/I672</f>
        <v>0.327814711194842</v>
      </c>
      <c r="J678" s="72" t="n">
        <f aca="false">(J642+J643*MSIG_USD)/J672</f>
        <v>0.350264738598829</v>
      </c>
      <c r="K678" s="72" t="n">
        <f aca="false">(K642+K643*MSIG_USD)/K672</f>
        <v>0.355381594975843</v>
      </c>
      <c r="L678" s="72" t="n">
        <f aca="false">(L642+L643*MSIG_USD)/L672</f>
        <v>0.379045755884216</v>
      </c>
      <c r="M678" s="72" t="n">
        <f aca="false">(M642+M643*MSIG_USD)/M672</f>
        <v>0.383925104553751</v>
      </c>
      <c r="N678" s="72" t="n">
        <f aca="false">(N642+N643*MSIG_USD)/N672</f>
        <v>0.408805743568203</v>
      </c>
      <c r="O678" s="72" t="n">
        <f aca="false">(O642+O643*MSIG_USD)/O672</f>
        <v>0.413399092945935</v>
      </c>
    </row>
    <row r="679" customFormat="false" ht="15" hidden="false" customHeight="false" outlineLevel="0" collapsed="false">
      <c r="B679" s="65" t="s">
        <v>1071</v>
      </c>
      <c r="C679" s="25"/>
      <c r="D679" s="65" t="n">
        <f aca="false">IF(AND($L$9&lt;0.5*Collecte_norm,IF(D623&lt;=$L$11,0,$L$10)&lt;0.5,IF(D623&lt;=4,$L$17,($L$18+$L$19)/2)&lt;0.7),1,0)</f>
        <v>0</v>
      </c>
      <c r="E679" s="65" t="n">
        <f aca="false">IF(AND($L$9&lt;0.5*Collecte_norm,IF(E623&lt;=$L$11,0,$L$10)&lt;0.5,IF(E623&lt;=4,$L$17,($L$18+$L$19)/2)&lt;0.7),1,0)</f>
        <v>0</v>
      </c>
      <c r="F679" s="65" t="n">
        <f aca="false">IF(AND($L$9&lt;0.5*Collecte_norm,IF(F623&lt;=$L$11,0,$L$10)&lt;0.5,IF(F623&lt;=4,$L$17,($L$18+$L$19)/2)&lt;0.7),1,0)</f>
        <v>0</v>
      </c>
      <c r="G679" s="65" t="n">
        <f aca="false">IF(AND($L$9&lt;0.5*Collecte_norm,IF(G623&lt;=$L$11,0,$L$10)&lt;0.5,IF(G623&lt;=4,$L$17,($L$18+$L$19)/2)&lt;0.7),1,0)</f>
        <v>0</v>
      </c>
      <c r="H679" s="65" t="n">
        <f aca="false">IF(AND($L$9&lt;0.5*Collecte_norm,IF(H623&lt;=$L$11,0,$L$10)&lt;0.5,IF(H623&lt;=4,$L$17,($L$18+$L$19)/2)&lt;0.7),1,0)</f>
        <v>0</v>
      </c>
      <c r="I679" s="65" t="n">
        <f aca="false">IF(AND($L$9&lt;0.5*Collecte_norm,IF(I623&lt;=$L$11,0,$L$10)&lt;0.5,IF(I623&lt;=4,$L$17,($L$18+$L$19)/2)&lt;0.7),1,0)</f>
        <v>0</v>
      </c>
      <c r="J679" s="65" t="n">
        <f aca="false">IF(AND($L$9&lt;0.5*Collecte_norm,IF(J623&lt;=$L$11,0,$L$10)&lt;0.5,IF(J623&lt;=4,$L$17,($L$18+$L$19)/2)&lt;0.7),1,0)</f>
        <v>0</v>
      </c>
      <c r="K679" s="65" t="n">
        <f aca="false">IF(AND($L$9&lt;0.5*Collecte_norm,IF(K623&lt;=$L$11,0,$L$10)&lt;0.5,IF(K623&lt;=4,$L$17,($L$18+$L$19)/2)&lt;0.7),1,0)</f>
        <v>0</v>
      </c>
      <c r="L679" s="65" t="n">
        <f aca="false">IF(AND($L$9&lt;0.5*Collecte_norm,IF(L623&lt;=$L$11,0,$L$10)&lt;0.5,IF(L623&lt;=4,$L$17,($L$18+$L$19)/2)&lt;0.7),1,0)</f>
        <v>0</v>
      </c>
      <c r="M679" s="65" t="n">
        <f aca="false">IF(AND($L$9&lt;0.5*Collecte_norm,IF(M623&lt;=$L$11,0,$L$10)&lt;0.5,IF(M623&lt;=4,$L$17,($L$18+$L$19)/2)&lt;0.7),1,0)</f>
        <v>0</v>
      </c>
      <c r="N679" s="65" t="n">
        <f aca="false">IF(AND($L$9&lt;0.5*Collecte_norm,IF(N623&lt;=$L$11,0,$L$10)&lt;0.5,IF(N623&lt;=4,$L$17,($L$18+$L$19)/2)&lt;0.7),1,0)</f>
        <v>0</v>
      </c>
      <c r="O679" s="65" t="n">
        <f aca="false">IF(AND($L$9&lt;0.5*Collecte_norm,IF(O623&lt;=$L$11,0,$L$10)&lt;0.5,IF(O623&lt;=4,$L$17,($L$18+$L$19)/2)&lt;0.7),1,0)</f>
        <v>0</v>
      </c>
    </row>
    <row r="680" customFormat="false" ht="15" hidden="false" customHeight="false" outlineLevel="0" collapsed="false">
      <c r="B680" s="76" t="s">
        <v>1072</v>
      </c>
      <c r="C680" s="76" t="n">
        <v>99</v>
      </c>
      <c r="D680" s="76" t="n">
        <f aca="false">IF(D640=1,D626,99)</f>
        <v>99</v>
      </c>
      <c r="E680" s="76" t="n">
        <f aca="false">IF(E640=1,E626,99)</f>
        <v>99</v>
      </c>
      <c r="F680" s="76" t="n">
        <f aca="false">IF(F640=1,F626,99)</f>
        <v>99</v>
      </c>
      <c r="G680" s="76" t="n">
        <f aca="false">IF(G640=1,G626,99)</f>
        <v>99</v>
      </c>
      <c r="H680" s="76" t="n">
        <f aca="false">IF(H640=1,H626,99)</f>
        <v>99</v>
      </c>
      <c r="I680" s="76" t="n">
        <f aca="false">IF(I640=1,I626,99)</f>
        <v>99</v>
      </c>
      <c r="J680" s="76" t="n">
        <f aca="false">IF(J640=1,J626,99)</f>
        <v>99</v>
      </c>
      <c r="K680" s="76" t="n">
        <f aca="false">IF(K640=1,K626,99)</f>
        <v>99</v>
      </c>
      <c r="L680" s="76" t="n">
        <f aca="false">IF(L640=1,L626,99)</f>
        <v>99</v>
      </c>
      <c r="M680" s="76" t="n">
        <f aca="false">IF(M640=1,M626,99)</f>
        <v>99</v>
      </c>
      <c r="N680" s="76" t="n">
        <f aca="false">IF(N640=1,N626,99)</f>
        <v>99</v>
      </c>
      <c r="O680" s="76" t="n">
        <f aca="false">IF(O640=1,O626,99)</f>
        <v>99</v>
      </c>
    </row>
    <row r="681" customFormat="false" ht="15" hidden="false" customHeight="false" outlineLevel="0" collapsed="false">
      <c r="B681" s="76" t="s">
        <v>1073</v>
      </c>
      <c r="C681" s="76" t="n">
        <v>99</v>
      </c>
      <c r="D681" s="76" t="n">
        <f aca="false">IF(AND(D625=1,D626&gt;MIN($D680:$O680),D639&lt;=0.000001),D626,99)</f>
        <v>99</v>
      </c>
      <c r="E681" s="76" t="n">
        <f aca="false">IF(AND(E625=1,E626&gt;MIN($D680:$O680),E639&lt;=0.000001),E626,99)</f>
        <v>99</v>
      </c>
      <c r="F681" s="76" t="n">
        <f aca="false">IF(AND(F625=1,F626&gt;MIN($D680:$O680),F639&lt;=0.000001),F626,99)</f>
        <v>99</v>
      </c>
      <c r="G681" s="76" t="n">
        <f aca="false">IF(AND(G625=1,G626&gt;MIN($D680:$O680),G639&lt;=0.000001),G626,99)</f>
        <v>99</v>
      </c>
      <c r="H681" s="76" t="n">
        <f aca="false">IF(AND(H625=1,H626&gt;MIN($D680:$O680),H639&lt;=0.000001),H626,99)</f>
        <v>99</v>
      </c>
      <c r="I681" s="76" t="n">
        <f aca="false">IF(AND(I625=1,I626&gt;MIN($D680:$O680),I639&lt;=0.000001),I626,99)</f>
        <v>99</v>
      </c>
      <c r="J681" s="76" t="n">
        <f aca="false">IF(AND(J625=1,J626&gt;MIN($D680:$O680),J639&lt;=0.000001),J626,99)</f>
        <v>99</v>
      </c>
      <c r="K681" s="76" t="n">
        <f aca="false">IF(AND(K625=1,K626&gt;MIN($D680:$O680),K639&lt;=0.000001),K626,99)</f>
        <v>99</v>
      </c>
      <c r="L681" s="76" t="n">
        <f aca="false">IF(AND(L625=1,L626&gt;MIN($D680:$O680),L639&lt;=0.000001),L626,99)</f>
        <v>99</v>
      </c>
      <c r="M681" s="76" t="n">
        <f aca="false">IF(AND(M625=1,M626&gt;MIN($D680:$O680),M639&lt;=0.000001),M626,99)</f>
        <v>99</v>
      </c>
      <c r="N681" s="76" t="n">
        <f aca="false">IF(AND(N625=1,N626&gt;MIN($D680:$O680),N639&lt;=0.000001),N626,99)</f>
        <v>99</v>
      </c>
      <c r="O681" s="76" t="n">
        <f aca="false">IF(AND(O625=1,O626&gt;MIN($D680:$O680),O639&lt;=0.000001),O626,99)</f>
        <v>99</v>
      </c>
    </row>
    <row r="682" customFormat="false" ht="15" hidden="false" customHeight="false" outlineLevel="0" collapsed="false">
      <c r="B682" s="76" t="s">
        <v>1074</v>
      </c>
      <c r="C682" s="76" t="n">
        <v>9999999</v>
      </c>
      <c r="D682" s="76" t="n">
        <f aca="false">IF(D637=1,D624,9999999)</f>
        <v>9999999</v>
      </c>
      <c r="E682" s="76" t="n">
        <f aca="false">IF(E637=1,E624,9999999)</f>
        <v>9999999</v>
      </c>
      <c r="F682" s="76" t="n">
        <f aca="false">IF(F637=1,F624,9999999)</f>
        <v>9999999</v>
      </c>
      <c r="G682" s="76" t="n">
        <f aca="false">IF(G637=1,G624,9999999)</f>
        <v>9999999</v>
      </c>
      <c r="H682" s="76" t="n">
        <f aca="false">IF(H637=1,H624,9999999)</f>
        <v>9999999</v>
      </c>
      <c r="I682" s="76" t="n">
        <f aca="false">IF(I637=1,I624,9999999)</f>
        <v>9999999</v>
      </c>
      <c r="J682" s="76" t="n">
        <f aca="false">IF(J637=1,J624,9999999)</f>
        <v>9999999</v>
      </c>
      <c r="K682" s="76" t="n">
        <f aca="false">IF(K637=1,K624,9999999)</f>
        <v>9999999</v>
      </c>
      <c r="L682" s="76" t="n">
        <f aca="false">IF(L637=1,L624,9999999)</f>
        <v>9999999</v>
      </c>
      <c r="M682" s="76" t="n">
        <f aca="false">IF(M637=1,M624,9999999)</f>
        <v>9999999</v>
      </c>
      <c r="N682" s="76" t="n">
        <f aca="false">IF(N637=1,N624,9999999)</f>
        <v>9999999</v>
      </c>
      <c r="O682" s="76" t="n">
        <f aca="false">IF(O637=1,O624,9999999)</f>
        <v>9999999</v>
      </c>
    </row>
    <row r="683" customFormat="false" ht="15" hidden="false" customHeight="false" outlineLevel="0" collapsed="false">
      <c r="B683" s="76" t="s">
        <v>1075</v>
      </c>
      <c r="C683" s="76" t="n">
        <v>9999999</v>
      </c>
      <c r="D683" s="76" t="n">
        <f aca="false">IF(D679=1,D624,9999999)</f>
        <v>9999999</v>
      </c>
      <c r="E683" s="76" t="n">
        <f aca="false">IF(E679=1,E624,9999999)</f>
        <v>9999999</v>
      </c>
      <c r="F683" s="76" t="n">
        <f aca="false">IF(F679=1,F624,9999999)</f>
        <v>9999999</v>
      </c>
      <c r="G683" s="76" t="n">
        <f aca="false">IF(G679=1,G624,9999999)</f>
        <v>9999999</v>
      </c>
      <c r="H683" s="76" t="n">
        <f aca="false">IF(H679=1,H624,9999999)</f>
        <v>9999999</v>
      </c>
      <c r="I683" s="76" t="n">
        <f aca="false">IF(I679=1,I624,9999999)</f>
        <v>9999999</v>
      </c>
      <c r="J683" s="76" t="n">
        <f aca="false">IF(J679=1,J624,9999999)</f>
        <v>9999999</v>
      </c>
      <c r="K683" s="76" t="n">
        <f aca="false">IF(K679=1,K624,9999999)</f>
        <v>9999999</v>
      </c>
      <c r="L683" s="76" t="n">
        <f aca="false">IF(L679=1,L624,9999999)</f>
        <v>9999999</v>
      </c>
      <c r="M683" s="76" t="n">
        <f aca="false">IF(M679=1,M624,9999999)</f>
        <v>9999999</v>
      </c>
      <c r="N683" s="76" t="n">
        <f aca="false">IF(N679=1,N624,9999999)</f>
        <v>9999999</v>
      </c>
      <c r="O683" s="76" t="n">
        <f aca="false">IF(O679=1,O624,9999999)</f>
        <v>9999999</v>
      </c>
    </row>
    <row r="688" customFormat="false" ht="15" hidden="false" customHeight="false" outlineLevel="0" collapsed="false">
      <c r="B688" s="45" t="str">
        <f aca="false">M$5</f>
        <v>Rachats persistants 7.5 % par date</v>
      </c>
      <c r="C688" s="45" t="s">
        <v>55</v>
      </c>
      <c r="D688" s="45" t="n">
        <v>11</v>
      </c>
      <c r="E688" s="2"/>
      <c r="F688" s="2"/>
      <c r="G688" s="2"/>
      <c r="H688" s="2"/>
      <c r="I688" s="2"/>
      <c r="J688" s="2"/>
      <c r="K688" s="2"/>
      <c r="L688" s="2"/>
      <c r="M688" s="2"/>
      <c r="N688" s="2"/>
      <c r="O688" s="2"/>
    </row>
    <row r="689" customFormat="false" ht="15" hidden="false" customHeight="false" outlineLevel="0" collapsed="false">
      <c r="B689" s="65" t="s">
        <v>1019</v>
      </c>
      <c r="C689" s="65" t="n">
        <v>0</v>
      </c>
      <c r="D689" s="65" t="n">
        <v>1</v>
      </c>
      <c r="E689" s="65" t="n">
        <v>2</v>
      </c>
      <c r="F689" s="65" t="n">
        <v>3</v>
      </c>
      <c r="G689" s="65" t="n">
        <v>4</v>
      </c>
      <c r="H689" s="65" t="n">
        <v>5</v>
      </c>
      <c r="I689" s="65" t="n">
        <v>6</v>
      </c>
      <c r="J689" s="65" t="n">
        <v>7</v>
      </c>
      <c r="K689" s="65" t="n">
        <v>8</v>
      </c>
      <c r="L689" s="65" t="n">
        <v>9</v>
      </c>
      <c r="M689" s="65" t="n">
        <v>10</v>
      </c>
      <c r="N689" s="65" t="n">
        <v>11</v>
      </c>
      <c r="O689" s="65" t="n">
        <v>12</v>
      </c>
    </row>
    <row r="690" customFormat="false" ht="15" hidden="false" customHeight="false" outlineLevel="0" collapsed="false">
      <c r="B690" s="65" t="s">
        <v>209</v>
      </c>
      <c r="C690" s="71" t="n">
        <f aca="false">Date_depart</f>
        <v>47026</v>
      </c>
      <c r="D690" s="71" t="n">
        <f aca="false">EOMONTH(Date_depart,3*D689)</f>
        <v>47118</v>
      </c>
      <c r="E690" s="71" t="n">
        <f aca="false">EOMONTH(Date_depart,3*E689)</f>
        <v>47208</v>
      </c>
      <c r="F690" s="71" t="n">
        <f aca="false">EOMONTH(Date_depart,3*F689)</f>
        <v>47299</v>
      </c>
      <c r="G690" s="71" t="n">
        <f aca="false">EOMONTH(Date_depart,3*G689)</f>
        <v>47391</v>
      </c>
      <c r="H690" s="71" t="n">
        <f aca="false">EOMONTH(Date_depart,3*H689)</f>
        <v>47483</v>
      </c>
      <c r="I690" s="71" t="n">
        <f aca="false">EOMONTH(Date_depart,3*I689)</f>
        <v>47573</v>
      </c>
      <c r="J690" s="71" t="n">
        <f aca="false">EOMONTH(Date_depart,3*J689)</f>
        <v>47664</v>
      </c>
      <c r="K690" s="71" t="n">
        <f aca="false">EOMONTH(Date_depart,3*K689)</f>
        <v>47756</v>
      </c>
      <c r="L690" s="71" t="n">
        <f aca="false">EOMONTH(Date_depart,3*L689)</f>
        <v>47848</v>
      </c>
      <c r="M690" s="71" t="n">
        <f aca="false">EOMONTH(Date_depart,3*M689)</f>
        <v>47938</v>
      </c>
      <c r="N690" s="71" t="n">
        <f aca="false">EOMONTH(Date_depart,3*N689)</f>
        <v>48029</v>
      </c>
      <c r="O690" s="71" t="n">
        <f aca="false">EOMONTH(Date_depart,3*O689)</f>
        <v>48121</v>
      </c>
    </row>
    <row r="691" customFormat="false" ht="15" hidden="false" customHeight="false" outlineLevel="0" collapsed="false">
      <c r="B691" s="65" t="s">
        <v>1020</v>
      </c>
      <c r="C691" s="65" t="n">
        <v>0</v>
      </c>
      <c r="D691" s="65" t="n">
        <f aca="false">IF(OR(MONTH(D690)=6,MONTH(D690)=12),1,0)</f>
        <v>1</v>
      </c>
      <c r="E691" s="65" t="n">
        <f aca="false">IF(OR(MONTH(E690)=6,MONTH(E690)=12),1,0)</f>
        <v>0</v>
      </c>
      <c r="F691" s="65" t="n">
        <f aca="false">IF(OR(MONTH(F690)=6,MONTH(F690)=12),1,0)</f>
        <v>1</v>
      </c>
      <c r="G691" s="65" t="n">
        <f aca="false">IF(OR(MONTH(G690)=6,MONTH(G690)=12),1,0)</f>
        <v>0</v>
      </c>
      <c r="H691" s="65" t="n">
        <f aca="false">IF(OR(MONTH(H690)=6,MONTH(H690)=12),1,0)</f>
        <v>1</v>
      </c>
      <c r="I691" s="65" t="n">
        <f aca="false">IF(OR(MONTH(I690)=6,MONTH(I690)=12),1,0)</f>
        <v>0</v>
      </c>
      <c r="J691" s="65" t="n">
        <f aca="false">IF(OR(MONTH(J690)=6,MONTH(J690)=12),1,0)</f>
        <v>1</v>
      </c>
      <c r="K691" s="65" t="n">
        <f aca="false">IF(OR(MONTH(K690)=6,MONTH(K690)=12),1,0)</f>
        <v>0</v>
      </c>
      <c r="L691" s="65" t="n">
        <f aca="false">IF(OR(MONTH(L690)=6,MONTH(L690)=12),1,0)</f>
        <v>1</v>
      </c>
      <c r="M691" s="65" t="n">
        <f aca="false">IF(OR(MONTH(M690)=6,MONTH(M690)=12),1,0)</f>
        <v>0</v>
      </c>
      <c r="N691" s="65" t="n">
        <f aca="false">IF(OR(MONTH(N690)=6,MONTH(N690)=12),1,0)</f>
        <v>1</v>
      </c>
      <c r="O691" s="65" t="n">
        <f aca="false">IF(OR(MONTH(O690)=6,MONTH(O690)=12),1,0)</f>
        <v>0</v>
      </c>
    </row>
    <row r="692" customFormat="false" ht="15" hidden="false" customHeight="false" outlineLevel="0" collapsed="false">
      <c r="B692" s="65" t="s">
        <v>1021</v>
      </c>
      <c r="C692" s="65" t="n">
        <v>0</v>
      </c>
      <c r="D692" s="65" t="n">
        <f aca="false">C692+D691</f>
        <v>1</v>
      </c>
      <c r="E692" s="65" t="n">
        <f aca="false">D692+E691</f>
        <v>1</v>
      </c>
      <c r="F692" s="65" t="n">
        <f aca="false">E692+F691</f>
        <v>2</v>
      </c>
      <c r="G692" s="65" t="n">
        <f aca="false">F692+G691</f>
        <v>2</v>
      </c>
      <c r="H692" s="65" t="n">
        <f aca="false">G692+H691</f>
        <v>3</v>
      </c>
      <c r="I692" s="65" t="n">
        <f aca="false">H692+I691</f>
        <v>3</v>
      </c>
      <c r="J692" s="65" t="n">
        <f aca="false">I692+J691</f>
        <v>4</v>
      </c>
      <c r="K692" s="65" t="n">
        <f aca="false">J692+K691</f>
        <v>4</v>
      </c>
      <c r="L692" s="65" t="n">
        <f aca="false">K692+L691</f>
        <v>5</v>
      </c>
      <c r="M692" s="65" t="n">
        <f aca="false">L692+M691</f>
        <v>5</v>
      </c>
      <c r="N692" s="65" t="n">
        <f aca="false">M692+N691</f>
        <v>6</v>
      </c>
      <c r="O692" s="65" t="n">
        <f aca="false">N692+O691</f>
        <v>6</v>
      </c>
    </row>
    <row r="693" customFormat="false" ht="15" hidden="false" customHeight="false" outlineLevel="0" collapsed="false">
      <c r="B693" s="65" t="s">
        <v>1022</v>
      </c>
      <c r="C693" s="25"/>
      <c r="D693" s="72" t="n">
        <f aca="false">IF(D691=1,IF(C703=1,0,IF(D692=1,$M$6,IF(D692=2,$M$7,$M$8))),0)</f>
        <v>0.075</v>
      </c>
      <c r="E693" s="72" t="n">
        <f aca="false">IF(E691=1,IF(D703=1,0,IF(E692=1,$M$6,IF(E692=2,$M$7,$M$8))),0)</f>
        <v>0</v>
      </c>
      <c r="F693" s="72" t="n">
        <f aca="false">IF(F691=1,IF(E703=1,0,IF(F692=1,$M$6,IF(F692=2,$M$7,$M$8))),0)</f>
        <v>0.075</v>
      </c>
      <c r="G693" s="72" t="n">
        <f aca="false">IF(G691=1,IF(F703=1,0,IF(G692=1,$M$6,IF(G692=2,$M$7,$M$8))),0)</f>
        <v>0</v>
      </c>
      <c r="H693" s="72" t="n">
        <f aca="false">IF(H691=1,IF(G703=1,0,IF(H692=1,$M$6,IF(H692=2,$M$7,$M$8))),0)</f>
        <v>0.075</v>
      </c>
      <c r="I693" s="72" t="n">
        <f aca="false">IF(I691=1,IF(H703=1,0,IF(I692=1,$M$6,IF(I692=2,$M$7,$M$8))),0)</f>
        <v>0</v>
      </c>
      <c r="J693" s="72" t="n">
        <f aca="false">IF(J691=1,IF(I703=1,0,IF(J692=1,$M$6,IF(J692=2,$M$7,$M$8))),0)</f>
        <v>0.075</v>
      </c>
      <c r="K693" s="72" t="n">
        <f aca="false">IF(K691=1,IF(J703=1,0,IF(K692=1,$M$6,IF(K692=2,$M$7,$M$8))),0)</f>
        <v>0</v>
      </c>
      <c r="L693" s="72" t="n">
        <f aca="false">IF(L691=1,IF(K703=1,0,IF(L692=1,$M$6,IF(L692=2,$M$7,$M$8))),0)</f>
        <v>0.075</v>
      </c>
      <c r="M693" s="72" t="n">
        <f aca="false">IF(M691=1,IF(L703=1,0,IF(M692=1,$M$6,IF(M692=2,$M$7,$M$8))),0)</f>
        <v>0</v>
      </c>
      <c r="N693" s="72" t="n">
        <f aca="false">IF(N691=1,IF(M703=1,0,IF(N692=1,$M$6,IF(N692=2,$M$7,$M$8))),0)</f>
        <v>0</v>
      </c>
      <c r="O693" s="72" t="n">
        <f aca="false">IF(O691=1,IF(N703=1,0,IF(O692=1,$M$6,IF(O692=2,$M$7,$M$8))),0)</f>
        <v>0</v>
      </c>
    </row>
    <row r="694" customFormat="false" ht="15" hidden="false" customHeight="false" outlineLevel="0" collapsed="false">
      <c r="B694" s="65" t="s">
        <v>1023</v>
      </c>
      <c r="C694" s="25"/>
      <c r="D694" s="73" t="n">
        <f aca="false">C738</f>
        <v>50000000</v>
      </c>
      <c r="E694" s="73" t="n">
        <f aca="false">D738</f>
        <v>48100643.75</v>
      </c>
      <c r="F694" s="73" t="n">
        <f aca="false">E738</f>
        <v>48823151.7132813</v>
      </c>
      <c r="G694" s="73" t="n">
        <f aca="false">F738</f>
        <v>47105173.9904901</v>
      </c>
      <c r="H694" s="73" t="n">
        <f aca="false">G738</f>
        <v>47826489.4455393</v>
      </c>
      <c r="I694" s="73" t="n">
        <f aca="false">H738</f>
        <v>46183889.2303444</v>
      </c>
      <c r="J694" s="73" t="n">
        <f aca="false">I738</f>
        <v>46930729.0550004</v>
      </c>
      <c r="K694" s="73" t="n">
        <f aca="false">J738</f>
        <v>45332651.4154555</v>
      </c>
      <c r="L694" s="73" t="n">
        <f aca="false">K738</f>
        <v>46080299.0246774</v>
      </c>
      <c r="M694" s="73" t="n">
        <f aca="false">L738</f>
        <v>46830553.4993366</v>
      </c>
      <c r="N694" s="73" t="n">
        <f aca="false">M738</f>
        <v>47583889.5702456</v>
      </c>
      <c r="O694" s="73" t="n">
        <f aca="false">N738</f>
        <v>48340768.6984106</v>
      </c>
    </row>
    <row r="695" customFormat="false" ht="15" hidden="false" customHeight="false" outlineLevel="0" collapsed="false">
      <c r="B695" s="65" t="s">
        <v>177</v>
      </c>
      <c r="C695" s="25"/>
      <c r="D695" s="73" t="n">
        <f aca="false">IF(C703=1,0,$M$9*D694)</f>
        <v>0</v>
      </c>
      <c r="E695" s="73" t="n">
        <f aca="false">IF(D703=1,0,$M$9*E694)</f>
        <v>0</v>
      </c>
      <c r="F695" s="73" t="n">
        <f aca="false">IF(E703=1,0,$M$9*F694)</f>
        <v>0</v>
      </c>
      <c r="G695" s="73" t="n">
        <f aca="false">IF(F703=1,0,$M$9*G694)</f>
        <v>0</v>
      </c>
      <c r="H695" s="73" t="n">
        <f aca="false">IF(G703=1,0,$M$9*H694)</f>
        <v>0</v>
      </c>
      <c r="I695" s="73" t="n">
        <f aca="false">IF(H703=1,0,$M$9*I694)</f>
        <v>0</v>
      </c>
      <c r="J695" s="73" t="n">
        <f aca="false">IF(I703=1,0,$M$9*J694)</f>
        <v>0</v>
      </c>
      <c r="K695" s="73" t="n">
        <f aca="false">IF(J703=1,0,$M$9*K694)</f>
        <v>0</v>
      </c>
      <c r="L695" s="73" t="n">
        <f aca="false">IF(K703=1,0,$M$9*L694)</f>
        <v>0</v>
      </c>
      <c r="M695" s="73" t="n">
        <f aca="false">IF(L703=1,0,$M$9*M694)</f>
        <v>0</v>
      </c>
      <c r="N695" s="73" t="n">
        <f aca="false">IF(M703=1,0,$M$9*N694)</f>
        <v>0</v>
      </c>
      <c r="O695" s="73" t="n">
        <f aca="false">IF(N703=1,0,$M$9*O694)</f>
        <v>0</v>
      </c>
    </row>
    <row r="696" customFormat="false" ht="15" hidden="false" customHeight="false" outlineLevel="0" collapsed="false">
      <c r="B696" s="65" t="s">
        <v>1024</v>
      </c>
      <c r="C696" s="25"/>
      <c r="D696" s="73" t="n">
        <f aca="false">D693*D694</f>
        <v>3750000</v>
      </c>
      <c r="E696" s="73" t="n">
        <f aca="false">E693*E694</f>
        <v>0</v>
      </c>
      <c r="F696" s="73" t="n">
        <f aca="false">F693*F694</f>
        <v>3661736.37849609</v>
      </c>
      <c r="G696" s="73" t="n">
        <f aca="false">G693*G694</f>
        <v>0</v>
      </c>
      <c r="H696" s="73" t="n">
        <f aca="false">H693*H694</f>
        <v>3586986.70841545</v>
      </c>
      <c r="I696" s="73" t="n">
        <f aca="false">I693*I694</f>
        <v>0</v>
      </c>
      <c r="J696" s="73" t="n">
        <f aca="false">J693*J694</f>
        <v>3519804.67912503</v>
      </c>
      <c r="K696" s="73" t="n">
        <f aca="false">K693*K694</f>
        <v>0</v>
      </c>
      <c r="L696" s="73" t="n">
        <f aca="false">L693*L694</f>
        <v>3456022.42685081</v>
      </c>
      <c r="M696" s="73" t="n">
        <f aca="false">M693*M694</f>
        <v>0</v>
      </c>
      <c r="N696" s="73" t="n">
        <f aca="false">N693*N694</f>
        <v>0</v>
      </c>
      <c r="O696" s="73" t="n">
        <f aca="false">O693*O694</f>
        <v>0</v>
      </c>
    </row>
    <row r="697" customFormat="false" ht="15" hidden="false" customHeight="false" outlineLevel="0" collapsed="false">
      <c r="B697" s="65" t="s">
        <v>1025</v>
      </c>
      <c r="C697" s="25"/>
      <c r="D697" s="73" t="n">
        <f aca="false">C705</f>
        <v>0</v>
      </c>
      <c r="E697" s="73" t="n">
        <f aca="false">D705</f>
        <v>1250000</v>
      </c>
      <c r="F697" s="73" t="n">
        <f aca="false">E705</f>
        <v>1250000</v>
      </c>
      <c r="G697" s="73" t="n">
        <f aca="false">F705</f>
        <v>2470578.79283203</v>
      </c>
      <c r="H697" s="73" t="n">
        <f aca="false">G705</f>
        <v>2470578.79283203</v>
      </c>
      <c r="I697" s="73" t="n">
        <f aca="false">H705</f>
        <v>3666241.02897051</v>
      </c>
      <c r="J697" s="73" t="n">
        <f aca="false">I705</f>
        <v>3666241.02897051</v>
      </c>
      <c r="K697" s="73" t="n">
        <f aca="false">J705</f>
        <v>4839509.25534552</v>
      </c>
      <c r="L697" s="73" t="n">
        <f aca="false">K705</f>
        <v>4839509.25534552</v>
      </c>
      <c r="M697" s="73" t="n">
        <f aca="false">L705</f>
        <v>8295531.68219633</v>
      </c>
      <c r="N697" s="73" t="n">
        <f aca="false">M705</f>
        <v>8295531.68219633</v>
      </c>
      <c r="O697" s="73" t="n">
        <f aca="false">N705</f>
        <v>8295531.68219633</v>
      </c>
    </row>
    <row r="698" customFormat="false" ht="15" hidden="false" customHeight="false" outlineLevel="0" collapsed="false">
      <c r="B698" s="65" t="s">
        <v>1026</v>
      </c>
      <c r="C698" s="25"/>
      <c r="D698" s="73" t="n">
        <f aca="false">D696+D697</f>
        <v>3750000</v>
      </c>
      <c r="E698" s="73" t="n">
        <f aca="false">E696+E697</f>
        <v>1250000</v>
      </c>
      <c r="F698" s="73" t="n">
        <f aca="false">F696+F697</f>
        <v>4911736.37849609</v>
      </c>
      <c r="G698" s="73" t="n">
        <f aca="false">G696+G697</f>
        <v>2470578.79283203</v>
      </c>
      <c r="H698" s="73" t="n">
        <f aca="false">H696+H697</f>
        <v>6057565.50124748</v>
      </c>
      <c r="I698" s="73" t="n">
        <f aca="false">I696+I697</f>
        <v>3666241.02897051</v>
      </c>
      <c r="J698" s="73" t="n">
        <f aca="false">J696+J697</f>
        <v>7186045.70809555</v>
      </c>
      <c r="K698" s="73" t="n">
        <f aca="false">K696+K697</f>
        <v>4839509.25534552</v>
      </c>
      <c r="L698" s="73" t="n">
        <f aca="false">L696+L697</f>
        <v>8295531.68219633</v>
      </c>
      <c r="M698" s="73" t="n">
        <f aca="false">M696+M697</f>
        <v>8295531.68219633</v>
      </c>
      <c r="N698" s="73" t="n">
        <f aca="false">N696+N697</f>
        <v>8295531.68219633</v>
      </c>
      <c r="O698" s="73" t="n">
        <f aca="false">O696+O697</f>
        <v>8295531.68219633</v>
      </c>
    </row>
    <row r="699" customFormat="false" ht="15" hidden="false" customHeight="false" outlineLevel="0" collapsed="false">
      <c r="B699" s="65" t="s">
        <v>1027</v>
      </c>
      <c r="C699" s="25"/>
      <c r="D699" s="73" t="n">
        <f aca="false">IF($M$21=1,Gate*D694+D695,D698)</f>
        <v>2500000</v>
      </c>
      <c r="E699" s="73" t="n">
        <f aca="false">IF($M$21=1,Gate*E694+E695,E698)</f>
        <v>2405032.1875</v>
      </c>
      <c r="F699" s="73" t="n">
        <f aca="false">IF($M$21=1,Gate*F694+F695,F698)</f>
        <v>2441157.58566406</v>
      </c>
      <c r="G699" s="73" t="n">
        <f aca="false">IF($M$21=1,Gate*G694+G695,G698)</f>
        <v>2355258.6995245</v>
      </c>
      <c r="H699" s="73" t="n">
        <f aca="false">IF($M$21=1,Gate*H694+H695,H698)</f>
        <v>2391324.47227697</v>
      </c>
      <c r="I699" s="73" t="n">
        <f aca="false">IF($M$21=1,Gate*I694+I695,I698)</f>
        <v>2309194.46151722</v>
      </c>
      <c r="J699" s="73" t="n">
        <f aca="false">IF($M$21=1,Gate*J694+J695,J698)</f>
        <v>2346536.45275002</v>
      </c>
      <c r="K699" s="73" t="n">
        <f aca="false">IF($M$21=1,Gate*K694+K695,K698)</f>
        <v>2266632.57077278</v>
      </c>
      <c r="L699" s="73" t="n">
        <f aca="false">IF($M$21=1,Gate*L694+L695,L698)</f>
        <v>2304014.95123387</v>
      </c>
      <c r="M699" s="73" t="n">
        <f aca="false">IF($M$21=1,Gate*M694+M695,M698)</f>
        <v>2341527.67496683</v>
      </c>
      <c r="N699" s="73" t="n">
        <f aca="false">IF($M$21=1,Gate*N694+N695,N698)</f>
        <v>2379194.47851228</v>
      </c>
      <c r="O699" s="73" t="n">
        <f aca="false">IF($M$21=1,Gate*O694+O695,O698)</f>
        <v>2417038.43492053</v>
      </c>
    </row>
    <row r="700" customFormat="false" ht="15" hidden="false" customHeight="false" outlineLevel="0" collapsed="false">
      <c r="B700" s="65" t="s">
        <v>1028</v>
      </c>
      <c r="C700" s="25"/>
      <c r="D700" s="73" t="n">
        <f aca="false">IF(D691=1,MIN(D698,D699),0)</f>
        <v>2500000</v>
      </c>
      <c r="E700" s="73" t="n">
        <f aca="false">IF(E691=1,MIN(E698,E699),0)</f>
        <v>0</v>
      </c>
      <c r="F700" s="73" t="n">
        <f aca="false">IF(F691=1,MIN(F698,F699),0)</f>
        <v>2441157.58566406</v>
      </c>
      <c r="G700" s="73" t="n">
        <f aca="false">IF(G691=1,MIN(G698,G699),0)</f>
        <v>0</v>
      </c>
      <c r="H700" s="73" t="n">
        <f aca="false">IF(H691=1,MIN(H698,H699),0)</f>
        <v>2391324.47227697</v>
      </c>
      <c r="I700" s="73" t="n">
        <f aca="false">IF(I691=1,MIN(I698,I699),0)</f>
        <v>0</v>
      </c>
      <c r="J700" s="73" t="n">
        <f aca="false">IF(J691=1,MIN(J698,J699),0)</f>
        <v>2346536.45275002</v>
      </c>
      <c r="K700" s="73" t="n">
        <f aca="false">IF(K691=1,MIN(K698,K699),0)</f>
        <v>0</v>
      </c>
      <c r="L700" s="73" t="n">
        <f aca="false">IF(L691=1,MIN(L698,L699),0)</f>
        <v>2304014.95123387</v>
      </c>
      <c r="M700" s="73" t="n">
        <f aca="false">IF(M691=1,MIN(M698,M699),0)</f>
        <v>0</v>
      </c>
      <c r="N700" s="73" t="n">
        <f aca="false">IF(N691=1,MIN(N698,N699),0)</f>
        <v>2379194.47851228</v>
      </c>
      <c r="O700" s="73" t="n">
        <f aca="false">IF(O691=1,MIN(O698,O699),0)</f>
        <v>0</v>
      </c>
    </row>
    <row r="701" customFormat="false" ht="15" hidden="false" customHeight="false" outlineLevel="0" collapsed="false">
      <c r="B701" s="65" t="s">
        <v>1029</v>
      </c>
      <c r="C701" s="25"/>
      <c r="D701" s="73" t="n">
        <f aca="false">MAX(0,D729+D720+D721-Poche_min_exec*D694-D700-SUM(E726:F726)+MAX(0,MIN($M$20*AN_cible,Emprunt_max*D694)-C737))</f>
        <v>0</v>
      </c>
      <c r="E701" s="73" t="n">
        <f aca="false">MAX(0,E729+E720+E721-Poche_min_exec*E694-E700-SUM(F726:G726)+MAX(0,MIN($M$20*AN_cible,Emprunt_max*E694)-D737))</f>
        <v>502827.0625</v>
      </c>
      <c r="F701" s="73" t="n">
        <f aca="false">MAX(0,F729+F720+F721-Poche_min_exec*F694-F700-SUM(G726:H726)+MAX(0,MIN($M$20*AN_cible,Emprunt_max*F694)-E737))</f>
        <v>0</v>
      </c>
      <c r="G701" s="73" t="n">
        <f aca="false">MAX(0,G729+G720+G721-Poche_min_exec*G694-G700-SUM(H726:I726)+MAX(0,MIN($M$20*AN_cible,Emprunt_max*G694)-F737))</f>
        <v>0</v>
      </c>
      <c r="H701" s="73" t="n">
        <f aca="false">MAX(0,H729+H720+H721-Poche_min_exec*H694-H700-SUM(I726:J726)+MAX(0,MIN($M$20*AN_cible,Emprunt_max*H694)-G737))</f>
        <v>0</v>
      </c>
      <c r="I701" s="73" t="n">
        <f aca="false">MAX(0,I729+I720+I721-Poche_min_exec*I694-I700-SUM(J726:K726)+MAX(0,MIN($M$20*AN_cible,Emprunt_max*I694)-H737))</f>
        <v>0</v>
      </c>
      <c r="J701" s="73" t="n">
        <f aca="false">MAX(0,J729+J720+J721-Poche_min_exec*J694-J700-SUM(K726:L726)+MAX(0,MIN($M$20*AN_cible,Emprunt_max*J694)-I737))</f>
        <v>0</v>
      </c>
      <c r="K701" s="73" t="n">
        <f aca="false">MAX(0,K729+K720+K721-Poche_min_exec*K694-K700-SUM(L726:M726)+MAX(0,MIN($M$20*AN_cible,Emprunt_max*K694)-J737))</f>
        <v>0</v>
      </c>
      <c r="L701" s="73" t="n">
        <f aca="false">MAX(0,L729+L720+L721-Poche_min_exec*L694-L700-SUM(M726:N726)+MAX(0,MIN($M$20*AN_cible,Emprunt_max*L694)-K737))</f>
        <v>0</v>
      </c>
      <c r="M701" s="73" t="n">
        <f aca="false">MAX(0,M729+M720+M721-Poche_min_exec*M694-M700-SUM(N726:O726)+MAX(0,MIN($M$20*AN_cible,Emprunt_max*M694)-L737))</f>
        <v>0</v>
      </c>
      <c r="N701" s="73" t="n">
        <f aca="false">MAX(0,N729+N720+N721-Poche_min_exec*N694-N700-SUM(O726:O726)+MAX(0,MIN($M$20*AN_cible,Emprunt_max*N694)-M737))</f>
        <v>0</v>
      </c>
      <c r="O701" s="73" t="n">
        <f aca="false">MAX(0,O729+O720+O721-Poche_min_exec*O694-O700-0+MAX(0,MIN($M$20*AN_cible,Emprunt_max*O694)-N737))</f>
        <v>1190215.56571852</v>
      </c>
    </row>
    <row r="702" customFormat="false" ht="15" hidden="false" customHeight="false" outlineLevel="0" collapsed="false">
      <c r="B702" s="65" t="s">
        <v>1030</v>
      </c>
      <c r="C702" s="25"/>
      <c r="D702" s="73" t="n">
        <f aca="false">IF(AND(D691=1,$M$21=1,$M$22=1),MIN(D698-D700,D701),0)</f>
        <v>0</v>
      </c>
      <c r="E702" s="73" t="n">
        <f aca="false">IF(AND(E691=1,$M$21=1,$M$22=1),MIN(E698-E700,E701),0)</f>
        <v>0</v>
      </c>
      <c r="F702" s="73" t="n">
        <f aca="false">IF(AND(F691=1,$M$21=1,$M$22=1),MIN(F698-F700,F701),0)</f>
        <v>0</v>
      </c>
      <c r="G702" s="73" t="n">
        <f aca="false">IF(AND(G691=1,$M$21=1,$M$22=1),MIN(G698-G700,G701),0)</f>
        <v>0</v>
      </c>
      <c r="H702" s="73" t="n">
        <f aca="false">IF(AND(H691=1,$M$21=1,$M$22=1),MIN(H698-H700,H701),0)</f>
        <v>0</v>
      </c>
      <c r="I702" s="73" t="n">
        <f aca="false">IF(AND(I691=1,$M$21=1,$M$22=1),MIN(I698-I700,I701),0)</f>
        <v>0</v>
      </c>
      <c r="J702" s="73" t="n">
        <f aca="false">IF(AND(J691=1,$M$21=1,$M$22=1),MIN(J698-J700,J701),0)</f>
        <v>0</v>
      </c>
      <c r="K702" s="73" t="n">
        <f aca="false">IF(AND(K691=1,$M$21=1,$M$22=1),MIN(K698-K700,K701),0)</f>
        <v>0</v>
      </c>
      <c r="L702" s="73" t="n">
        <f aca="false">IF(AND(L691=1,$M$21=1,$M$22=1),MIN(L698-L700,L701),0)</f>
        <v>0</v>
      </c>
      <c r="M702" s="73" t="n">
        <f aca="false">IF(AND(M691=1,$M$21=1,$M$22=1),MIN(M698-M700,M701),0)</f>
        <v>0</v>
      </c>
      <c r="N702" s="73" t="n">
        <f aca="false">IF(AND(N691=1,$M$21=1,$M$22=1),MIN(N698-N700,N701),0)</f>
        <v>0</v>
      </c>
      <c r="O702" s="73" t="n">
        <f aca="false">IF(AND(O691=1,$M$21=1,$M$22=1),MIN(O698-O700,O701),0)</f>
        <v>0</v>
      </c>
    </row>
    <row r="703" customFormat="false" ht="15" hidden="false" customHeight="false" outlineLevel="0" collapsed="false">
      <c r="B703" s="65" t="s">
        <v>1031</v>
      </c>
      <c r="C703" s="65" t="n">
        <v>0</v>
      </c>
      <c r="D703" s="65" t="n">
        <f aca="false">IF(C703=1,1,IF(AND(D691=1,$M$21=1,C707&gt;=Gate_dates,D698-D700-D702&gt;0.000001),1,0))</f>
        <v>0</v>
      </c>
      <c r="E703" s="65" t="n">
        <f aca="false">IF(D703=1,1,IF(AND(E691=1,$M$21=1,D707&gt;=Gate_dates,E698-E700-E702&gt;0.000001),1,0))</f>
        <v>0</v>
      </c>
      <c r="F703" s="65" t="n">
        <f aca="false">IF(E703=1,1,IF(AND(F691=1,$M$21=1,E707&gt;=Gate_dates,F698-F700-F702&gt;0.000001),1,0))</f>
        <v>0</v>
      </c>
      <c r="G703" s="65" t="n">
        <f aca="false">IF(F703=1,1,IF(AND(G691=1,$M$21=1,F707&gt;=Gate_dates,G698-G700-G702&gt;0.000001),1,0))</f>
        <v>0</v>
      </c>
      <c r="H703" s="65" t="n">
        <f aca="false">IF(G703=1,1,IF(AND(H691=1,$M$21=1,G707&gt;=Gate_dates,H698-H700-H702&gt;0.000001),1,0))</f>
        <v>0</v>
      </c>
      <c r="I703" s="65" t="n">
        <f aca="false">IF(H703=1,1,IF(AND(I691=1,$M$21=1,H707&gt;=Gate_dates,I698-I700-I702&gt;0.000001),1,0))</f>
        <v>0</v>
      </c>
      <c r="J703" s="65" t="n">
        <f aca="false">IF(I703=1,1,IF(AND(J691=1,$M$21=1,I707&gt;=Gate_dates,J698-J700-J702&gt;0.000001),1,0))</f>
        <v>0</v>
      </c>
      <c r="K703" s="65" t="n">
        <f aca="false">IF(J703=1,1,IF(AND(K691=1,$M$21=1,J707&gt;=Gate_dates,K698-K700-K702&gt;0.000001),1,0))</f>
        <v>0</v>
      </c>
      <c r="L703" s="65" t="n">
        <f aca="false">IF(K703=1,1,IF(AND(L691=1,$M$21=1,K707&gt;=Gate_dates,L698-L700-L702&gt;0.000001),1,0))</f>
        <v>1</v>
      </c>
      <c r="M703" s="65" t="n">
        <f aca="false">IF(L703=1,1,IF(AND(M691=1,$M$21=1,L707&gt;=Gate_dates,M698-M700-M702&gt;0.000001),1,0))</f>
        <v>1</v>
      </c>
      <c r="N703" s="65" t="n">
        <f aca="false">IF(M703=1,1,IF(AND(N691=1,$M$21=1,M707&gt;=Gate_dates,N698-N700-N702&gt;0.000001),1,0))</f>
        <v>1</v>
      </c>
      <c r="O703" s="65" t="n">
        <f aca="false">IF(N703=1,1,IF(AND(O691=1,$M$21=1,N707&gt;=Gate_dates,O698-O700-O702&gt;0.000001),1,0))</f>
        <v>1</v>
      </c>
    </row>
    <row r="704" customFormat="false" ht="15" hidden="false" customHeight="false" outlineLevel="0" collapsed="false">
      <c r="B704" s="65" t="s">
        <v>1032</v>
      </c>
      <c r="C704" s="25"/>
      <c r="D704" s="73" t="n">
        <f aca="false">IF(D703=1,0,D700+D702)</f>
        <v>2500000</v>
      </c>
      <c r="E704" s="73" t="n">
        <f aca="false">IF(E703=1,0,E700+E702)</f>
        <v>0</v>
      </c>
      <c r="F704" s="73" t="n">
        <f aca="false">IF(F703=1,0,F700+F702)</f>
        <v>2441157.58566406</v>
      </c>
      <c r="G704" s="73" t="n">
        <f aca="false">IF(G703=1,0,G700+G702)</f>
        <v>0</v>
      </c>
      <c r="H704" s="73" t="n">
        <f aca="false">IF(H703=1,0,H700+H702)</f>
        <v>2391324.47227697</v>
      </c>
      <c r="I704" s="73" t="n">
        <f aca="false">IF(I703=1,0,I700+I702)</f>
        <v>0</v>
      </c>
      <c r="J704" s="73" t="n">
        <f aca="false">IF(J703=1,0,J700+J702)</f>
        <v>2346536.45275002</v>
      </c>
      <c r="K704" s="73" t="n">
        <f aca="false">IF(K703=1,0,K700+K702)</f>
        <v>0</v>
      </c>
      <c r="L704" s="73" t="n">
        <f aca="false">IF(L703=1,0,L700+L702)</f>
        <v>0</v>
      </c>
      <c r="M704" s="73" t="n">
        <f aca="false">IF(M703=1,0,M700+M702)</f>
        <v>0</v>
      </c>
      <c r="N704" s="73" t="n">
        <f aca="false">IF(N703=1,0,N700+N702)</f>
        <v>0</v>
      </c>
      <c r="O704" s="73" t="n">
        <f aca="false">IF(O703=1,0,O700+O702)</f>
        <v>0</v>
      </c>
    </row>
    <row r="705" customFormat="false" ht="15" hidden="false" customHeight="false" outlineLevel="0" collapsed="false">
      <c r="B705" s="65" t="s">
        <v>1033</v>
      </c>
      <c r="C705" s="73" t="n">
        <v>0</v>
      </c>
      <c r="D705" s="73" t="n">
        <f aca="false">D698-D704</f>
        <v>1250000</v>
      </c>
      <c r="E705" s="73" t="n">
        <f aca="false">E698-E704</f>
        <v>1250000</v>
      </c>
      <c r="F705" s="73" t="n">
        <f aca="false">F698-F704</f>
        <v>2470578.79283203</v>
      </c>
      <c r="G705" s="73" t="n">
        <f aca="false">G698-G704</f>
        <v>2470578.79283203</v>
      </c>
      <c r="H705" s="73" t="n">
        <f aca="false">H698-H704</f>
        <v>3666241.02897051</v>
      </c>
      <c r="I705" s="73" t="n">
        <f aca="false">I698-I704</f>
        <v>3666241.02897051</v>
      </c>
      <c r="J705" s="73" t="n">
        <f aca="false">J698-J704</f>
        <v>4839509.25534552</v>
      </c>
      <c r="K705" s="73" t="n">
        <f aca="false">K698-K704</f>
        <v>4839509.25534552</v>
      </c>
      <c r="L705" s="73" t="n">
        <f aca="false">L698-L704</f>
        <v>8295531.68219633</v>
      </c>
      <c r="M705" s="73" t="n">
        <f aca="false">M698-M704</f>
        <v>8295531.68219633</v>
      </c>
      <c r="N705" s="73" t="n">
        <f aca="false">N698-N704</f>
        <v>8295531.68219633</v>
      </c>
      <c r="O705" s="73" t="n">
        <f aca="false">O698-O704</f>
        <v>8295531.68219633</v>
      </c>
    </row>
    <row r="706" customFormat="false" ht="15" hidden="false" customHeight="false" outlineLevel="0" collapsed="false">
      <c r="B706" s="65" t="s">
        <v>1034</v>
      </c>
      <c r="C706" s="25"/>
      <c r="D706" s="65" t="n">
        <f aca="false">IF(AND(D691=1,D703=0,D705&gt;0.000001),1,0)</f>
        <v>1</v>
      </c>
      <c r="E706" s="65" t="n">
        <f aca="false">IF(AND(E691=1,E703=0,E705&gt;0.000001),1,0)</f>
        <v>0</v>
      </c>
      <c r="F706" s="65" t="n">
        <f aca="false">IF(AND(F691=1,F703=0,F705&gt;0.000001),1,0)</f>
        <v>1</v>
      </c>
      <c r="G706" s="65" t="n">
        <f aca="false">IF(AND(G691=1,G703=0,G705&gt;0.000001),1,0)</f>
        <v>0</v>
      </c>
      <c r="H706" s="65" t="n">
        <f aca="false">IF(AND(H691=1,H703=0,H705&gt;0.000001),1,0)</f>
        <v>1</v>
      </c>
      <c r="I706" s="65" t="n">
        <f aca="false">IF(AND(I691=1,I703=0,I705&gt;0.000001),1,0)</f>
        <v>0</v>
      </c>
      <c r="J706" s="65" t="n">
        <f aca="false">IF(AND(J691=1,J703=0,J705&gt;0.000001),1,0)</f>
        <v>1</v>
      </c>
      <c r="K706" s="65" t="n">
        <f aca="false">IF(AND(K691=1,K703=0,K705&gt;0.000001),1,0)</f>
        <v>0</v>
      </c>
      <c r="L706" s="65" t="n">
        <f aca="false">IF(AND(L691=1,L703=0,L705&gt;0.000001),1,0)</f>
        <v>0</v>
      </c>
      <c r="M706" s="65" t="n">
        <f aca="false">IF(AND(M691=1,M703=0,M705&gt;0.000001),1,0)</f>
        <v>0</v>
      </c>
      <c r="N706" s="65" t="n">
        <f aca="false">IF(AND(N691=1,N703=0,N705&gt;0.000001),1,0)</f>
        <v>0</v>
      </c>
      <c r="O706" s="65" t="n">
        <f aca="false">IF(AND(O691=1,O703=0,O705&gt;0.000001),1,0)</f>
        <v>0</v>
      </c>
    </row>
    <row r="707" customFormat="false" ht="15" hidden="false" customHeight="false" outlineLevel="0" collapsed="false">
      <c r="B707" s="65" t="s">
        <v>843</v>
      </c>
      <c r="C707" s="65" t="n">
        <v>0</v>
      </c>
      <c r="D707" s="65" t="n">
        <f aca="false">IF(D691=1,IF(D706=1,C707+1,0),C707)</f>
        <v>1</v>
      </c>
      <c r="E707" s="65" t="n">
        <f aca="false">IF(E691=1,IF(E706=1,D707+1,0),D707)</f>
        <v>1</v>
      </c>
      <c r="F707" s="65" t="n">
        <f aca="false">IF(F691=1,IF(F706=1,E707+1,0),E707)</f>
        <v>2</v>
      </c>
      <c r="G707" s="65" t="n">
        <f aca="false">IF(G691=1,IF(G706=1,F707+1,0),F707)</f>
        <v>2</v>
      </c>
      <c r="H707" s="65" t="n">
        <f aca="false">IF(H691=1,IF(H706=1,G707+1,0),G707)</f>
        <v>3</v>
      </c>
      <c r="I707" s="65" t="n">
        <f aca="false">IF(I691=1,IF(I706=1,H707+1,0),H707)</f>
        <v>3</v>
      </c>
      <c r="J707" s="65" t="n">
        <f aca="false">IF(J691=1,IF(J706=1,I707+1,0),I707)</f>
        <v>4</v>
      </c>
      <c r="K707" s="65" t="n">
        <f aca="false">IF(K691=1,IF(K706=1,J707+1,0),J707)</f>
        <v>4</v>
      </c>
      <c r="L707" s="65" t="n">
        <f aca="false">IF(L691=1,IF(L706=1,K707+1,0),K707)</f>
        <v>0</v>
      </c>
      <c r="M707" s="65" t="n">
        <f aca="false">IF(M691=1,IF(M706=1,L707+1,0),L707)</f>
        <v>0</v>
      </c>
      <c r="N707" s="65" t="n">
        <f aca="false">IF(N691=1,IF(N706=1,M707+1,0),M707)</f>
        <v>0</v>
      </c>
      <c r="O707" s="65" t="n">
        <f aca="false">IF(O691=1,IF(O706=1,N707+1,0),N707)</f>
        <v>0</v>
      </c>
    </row>
    <row r="708" customFormat="false" ht="15" hidden="false" customHeight="false" outlineLevel="0" collapsed="false">
      <c r="B708" s="65" t="s">
        <v>1035</v>
      </c>
      <c r="C708" s="73" t="n">
        <f aca="false">AN_cible*Ws_MAPIF</f>
        <v>12500000</v>
      </c>
      <c r="D708" s="73" t="n">
        <f aca="false">C708*(1+Rend_MAPIF/4)*IF(D689=1,(1-(Cap_MAPIF*$M$15+(1-Cap_MAPIF)*$M$16))*(1+1*$M$14),1)+D718-D712-D733*IF((C708+C709+C710+C711)&gt;0,C708/(C708+C709+C710+C711),0)</f>
        <v>12971562.5</v>
      </c>
      <c r="E708" s="73" t="n">
        <f aca="false">D708*(1+Rend_MAPIF/4)*IF(E689=1,(1-(Cap_MAPIF*$M$15+(1-Cap_MAPIF)*$M$16))*(1+1*$M$14),1)+E718-E712-E733*IF((D708+D709+D710+D711)&gt;0,D708/(D708+D709+D710+D711),0)</f>
        <v>13446767.8203125</v>
      </c>
      <c r="F708" s="73" t="n">
        <f aca="false">E708*(1+Rend_MAPIF/4)*IF(F689=1,(1-(Cap_MAPIF*$M$15+(1-Cap_MAPIF)*$M$16))*(1+1*$M$14),1)+F718-F712-F733*IF((E708+E709+E710+E711)&gt;0,E708/(E708+E709+E710+E711),0)</f>
        <v>13925644.1017244</v>
      </c>
      <c r="G708" s="73" t="n">
        <f aca="false">F708*(1+Rend_MAPIF/4)*IF(G689=1,(1-(Cap_MAPIF*$M$15+(1-Cap_MAPIF)*$M$16))*(1+1*$M$14),1)+G718-G712-G733*IF((F708+F709+F710+F711)&gt;0,F708/(F708+F709+F710+F711),0)</f>
        <v>14408219.7024102</v>
      </c>
      <c r="H708" s="73" t="n">
        <f aca="false">G708*(1+Rend_MAPIF/4)*IF(H689=1,(1-(Cap_MAPIF*$M$15+(1-Cap_MAPIF)*$M$16))*(1+1*$M$14),1)+H718-H712-H733*IF((G708+G709+G710+G711)&gt;0,G708/(G708+G709+G710+G711),0)</f>
        <v>14894523.1996114</v>
      </c>
      <c r="I708" s="73" t="n">
        <f aca="false">H708*(1+Rend_MAPIF/4)*IF(I689=1,(1-(Cap_MAPIF*$M$15+(1-Cap_MAPIF)*$M$16))*(1+1*$M$14),1)+I718-I712-I733*IF((H708+H709+H710+H711)&gt;0,H708/(H708+H709+H710+H711),0)</f>
        <v>15384583.3913284</v>
      </c>
      <c r="J708" s="73" t="n">
        <f aca="false">I708*(1+Rend_MAPIF/4)*IF(J689=1,(1-(Cap_MAPIF*$M$15+(1-Cap_MAPIF)*$M$16))*(1+1*$M$14),1)+J718-J712-J733*IF((I708+I709+I710+I711)&gt;0,I708/(I708+I709+I710+I711),0)</f>
        <v>15878429.2980264</v>
      </c>
      <c r="K708" s="73" t="n">
        <f aca="false">J708*(1+Rend_MAPIF/4)*IF(K689=1,(1-(Cap_MAPIF*$M$15+(1-Cap_MAPIF)*$M$16))*(1+1*$M$14),1)+K718-K712-K733*IF((J708+J709+J710+J711)&gt;0,J708/(J708+J709+J710+J711),0)</f>
        <v>16376090.1643536</v>
      </c>
      <c r="L708" s="73" t="n">
        <f aca="false">K708*(1+Rend_MAPIF/4)*IF(L689=1,(1-(Cap_MAPIF*$M$15+(1-Cap_MAPIF)*$M$16))*(1+1*$M$14),1)+L718-L712-L733*IF((K708+K709+K710+K711)&gt;0,K708/(K708+K709+K710+K711),0)</f>
        <v>16877595.4608733</v>
      </c>
      <c r="M708" s="73" t="n">
        <f aca="false">L708*(1+Rend_MAPIF/4)*IF(M689=1,(1-(Cap_MAPIF*$M$15+(1-Cap_MAPIF)*$M$16))*(1+1*$M$14),1)+M718-M712-M733*IF((L708+L709+L710+L711)&gt;0,L708/(L708+L709+L710+L711),0)</f>
        <v>17382974.8858085</v>
      </c>
      <c r="N708" s="73" t="n">
        <f aca="false">M708*(1+Rend_MAPIF/4)*IF(N689=1,(1-(Cap_MAPIF*$M$15+(1-Cap_MAPIF)*$M$16))*(1+1*$M$14),1)+N718-N712-N733*IF((M708+M709+M710+M711)&gt;0,M708/(M708+M709+M710+M711),0)</f>
        <v>17892258.3668014</v>
      </c>
      <c r="O708" s="73" t="n">
        <f aca="false">N708*(1+Rend_MAPIF/4)*IF(O689=1,(1-(Cap_MAPIF*$M$15+(1-Cap_MAPIF)*$M$16))*(1+1*$M$14),1)+O718-O712-O733*IF((N708+N709+N710+N711)&gt;0,N708/(N708+N709+N710+N711),0)</f>
        <v>18405476.0626849</v>
      </c>
    </row>
    <row r="709" customFormat="false" ht="15" hidden="false" customHeight="false" outlineLevel="0" collapsed="false">
      <c r="B709" s="65" t="s">
        <v>1036</v>
      </c>
      <c r="C709" s="73" t="n">
        <f aca="false">AN_cible*Ws_MSIG</f>
        <v>5500000</v>
      </c>
      <c r="D709" s="73" t="n">
        <f aca="false">C709*(1+Rend_MSIG/4)*IF(D689=1,(1-(Cap_MSIG*$M$15+(1-Cap_MSIG)*$M$16))*(1+MSIG_USD*$M$14),1)+D719-D713-D733*IF((C708+C709+C710+C711)&gt;0,C709/(C708+C709+C710+C711),0)</f>
        <v>5773237.5</v>
      </c>
      <c r="E709" s="73" t="n">
        <f aca="false">D709*(1+Rend_MSIG/4)*IF(E689=1,(1-(Cap_MSIG*$M$15+(1-Cap_MSIG)*$M$16))*(1+MSIG_USD*$M$14),1)+E719-E713-E733*IF((D708+D709+D710+D711)&gt;0,D709/(D708+D709+D710+D711),0)</f>
        <v>6047629.4284375</v>
      </c>
      <c r="F709" s="73" t="n">
        <f aca="false">E709*(1+Rend_MSIG/4)*IF(F689=1,(1-(Cap_MSIG*$M$15+(1-Cap_MSIG)*$M$16))*(1+MSIG_USD*$M$14),1)+F719-F713-F733*IF((E708+E709+E710+E711)&gt;0,E709/(E708+E709+E710+E711),0)</f>
        <v>6323180.66277265</v>
      </c>
      <c r="G709" s="73" t="n">
        <f aca="false">F709*(1+Rend_MSIG/4)*IF(G689=1,(1-(Cap_MSIG*$M$15+(1-Cap_MSIG)*$M$16))*(1+MSIG_USD*$M$14),1)+G719-G713-G733*IF((F708+F709+F710+F711)&gt;0,F709/(F708+F709+F710+F711),0)</f>
        <v>6599896.10107286</v>
      </c>
      <c r="H709" s="73" t="n">
        <f aca="false">G709*(1+Rend_MSIG/4)*IF(H689=1,(1-(Cap_MSIG*$M$15+(1-Cap_MSIG)*$M$16))*(1+MSIG_USD*$M$14),1)+H719-H713-H733*IF((G708+G709+G710+G711)&gt;0,G709/(G708+G709+G710+G711),0)</f>
        <v>6877780.6620999</v>
      </c>
      <c r="I709" s="73" t="n">
        <f aca="false">H709*(1+Rend_MSIG/4)*IF(I689=1,(1-(Cap_MSIG*$M$15+(1-Cap_MSIG)*$M$16))*(1+MSIG_USD*$M$14),1)+I719-I713-I733*IF((H708+H709+H710+H711)&gt;0,H709/(H708+H709+H710+H711),0)</f>
        <v>7156839.28539727</v>
      </c>
      <c r="J709" s="73" t="n">
        <f aca="false">I709*(1+Rend_MSIG/4)*IF(J689=1,(1-(Cap_MSIG*$M$15+(1-Cap_MSIG)*$M$16))*(1+MSIG_USD*$M$14),1)+J719-J713-J733*IF((I708+I709+I710+I711)&gt;0,I709/(I708+I709+I710+I711),0)</f>
        <v>7437076.93137807</v>
      </c>
      <c r="K709" s="73" t="n">
        <f aca="false">J709*(1+Rend_MSIG/4)*IF(K689=1,(1-(Cap_MSIG*$M$15+(1-Cap_MSIG)*$M$16))*(1+MSIG_USD*$M$14),1)+K719-K713-K733*IF((J708+J709+J710+J711)&gt;0,J709/(J708+J709+J710+J711),0)</f>
        <v>7718498.58141314</v>
      </c>
      <c r="L709" s="73" t="n">
        <f aca="false">K709*(1+Rend_MSIG/4)*IF(L689=1,(1-(Cap_MSIG*$M$15+(1-Cap_MSIG)*$M$16))*(1+MSIG_USD*$M$14),1)+L719-L713-L733*IF((K708+K709+K710+K711)&gt;0,K709/(K708+K709+K710+K711),0)</f>
        <v>8001109.23791962</v>
      </c>
      <c r="M709" s="73" t="n">
        <f aca="false">L709*(1+Rend_MSIG/4)*IF(M689=1,(1-(Cap_MSIG*$M$15+(1-Cap_MSIG)*$M$16))*(1+MSIG_USD*$M$14),1)+M719-M713-M733*IF((L708+L709+L710+L711)&gt;0,L709/(L708+L709+L710+L711),0)</f>
        <v>8284913.92444983</v>
      </c>
      <c r="N709" s="73" t="n">
        <f aca="false">M709*(1+Rend_MSIG/4)*IF(N689=1,(1-(Cap_MSIG*$M$15+(1-Cap_MSIG)*$M$16))*(1+MSIG_USD*$M$14),1)+N719-N713-N733*IF((M708+M709+M710+M711)&gt;0,M709/(M708+M709+M710+M711),0)</f>
        <v>8569917.68578063</v>
      </c>
      <c r="O709" s="73" t="n">
        <f aca="false">N709*(1+Rend_MSIG/4)*IF(O689=1,(1-(Cap_MSIG*$M$15+(1-Cap_MSIG)*$M$16))*(1+MSIG_USD*$M$14),1)+O719-O713-O733*IF((N708+N709+N710+N711)&gt;0,N709/(N708+N709+N710+N711),0)</f>
        <v>8856125.58800305</v>
      </c>
    </row>
    <row r="710" customFormat="false" ht="15" hidden="false" customHeight="false" outlineLevel="0" collapsed="false">
      <c r="B710" s="65" t="s">
        <v>1037</v>
      </c>
      <c r="C710" s="73" t="n">
        <f aca="false">AN_cible*Ws_PG</f>
        <v>12250000</v>
      </c>
      <c r="D710" s="73" t="n">
        <f aca="false">C710*(1+Rend_PG/4)*IF(D689=1,(1-(Cap_PG*$M$15+(1-Cap_PG)*$M$16))*(1+0*$M$14),1)-D714-D730*IF((D720+D721)&gt;0,D720/(D720+D721),0)+D735/2-D733*IF((C708+C709+C710+C711)&gt;0,C710/(C708+C709+C710+C711),0)</f>
        <v>11888931.25</v>
      </c>
      <c r="E710" s="73" t="n">
        <f aca="false">D710*(1+Rend_PG/4)*IF(E689=1,(1-(Cap_PG*$M$15+(1-Cap_PG)*$M$16))*(1+0*$M$14),1)-E714-E730*IF((E720+E721)&gt;0,E720/(E720+E721),0)+E735/2-E733*IF((D708+D709+D710+D711)&gt;0,D710/(D708+D709+D710+D711),0)</f>
        <v>11538505.0014063</v>
      </c>
      <c r="F710" s="73" t="n">
        <f aca="false">E710*(1+Rend_PG/4)*IF(F689=1,(1-(Cap_PG*$M$15+(1-Cap_PG)*$M$16))*(1+0*$M$14),1)-F714-F730*IF((F720+F721)&gt;0,F720/(F720+F721),0)+F735/2-F733*IF((E708+E709+E710+E711)&gt;0,E710/(E708+E709+E710+E711),0)</f>
        <v>11198407.5664898</v>
      </c>
      <c r="G710" s="73" t="n">
        <f aca="false">F710*(1+Rend_PG/4)*IF(G689=1,(1-(Cap_PG*$M$15+(1-Cap_PG)*$M$16))*(1+0*$M$14),1)-G714-G730*IF((G720+G721)&gt;0,G720/(G720+G721),0)+G735/2-G733*IF((F708+F709+F710+F711)&gt;0,F710/(F708+F709+F710+F711),0)</f>
        <v>10868334.5034675</v>
      </c>
      <c r="H710" s="73" t="n">
        <f aca="false">G710*(1+Rend_PG/4)*IF(H689=1,(1-(Cap_PG*$M$15+(1-Cap_PG)*$M$16))*(1+0*$M$14),1)-H714-H730*IF((H720+H721)&gt;0,H720/(H720+H721),0)+H735/2-H733*IF((G708+G709+G710+G711)&gt;0,G710/(G708+G709+G710+G711),0)</f>
        <v>10547990.3439778</v>
      </c>
      <c r="I710" s="73" t="n">
        <f aca="false">H710*(1+Rend_PG/4)*IF(I689=1,(1-(Cap_PG*$M$15+(1-Cap_PG)*$M$16))*(1+0*$M$14),1)-I714-I730*IF((I720+I721)&gt;0,I720/(I720+I721),0)+I735/2-I733*IF((H708+H709+H710+H711)&gt;0,H710/(H708+H709+H710+H711),0)</f>
        <v>10237088.3285891</v>
      </c>
      <c r="J710" s="73" t="n">
        <f aca="false">I710*(1+Rend_PG/4)*IF(J689=1,(1-(Cap_PG*$M$15+(1-Cap_PG)*$M$16))*(1+0*$M$14),1)-J714-J730*IF((J720+J721)&gt;0,J720/(J720+J721),0)+J735/2-J733*IF((I708+I709+I710+I711)&gt;0,I710/(I708+I709+I710+I711),0)</f>
        <v>9935350.1501039</v>
      </c>
      <c r="K710" s="73" t="n">
        <f aca="false">J710*(1+Rend_PG/4)*IF(K689=1,(1-(Cap_PG*$M$15+(1-Cap_PG)*$M$16))*(1+0*$M$14),1)-K714-K730*IF((K720+K721)&gt;0,K720/(K720+K721),0)+K735/2-K733*IF((J708+J709+J710+J711)&gt;0,J710/(J708+J709+J710+J711),0)</f>
        <v>9642505.70442959</v>
      </c>
      <c r="L710" s="73" t="n">
        <f aca="false">K710*(1+Rend_PG/4)*IF(L689=1,(1-(Cap_PG*$M$15+(1-Cap_PG)*$M$16))*(1+0*$M$14),1)-L714-L730*IF((L720+L721)&gt;0,L720/(L720+L721),0)+L735/2-L733*IF((K708+K709+K710+K711)&gt;0,K710/(K708+K709+K710+K711),0)</f>
        <v>9358292.84879153</v>
      </c>
      <c r="M710" s="73" t="n">
        <f aca="false">L710*(1+Rend_PG/4)*IF(M689=1,(1-(Cap_PG*$M$15+(1-Cap_PG)*$M$16))*(1+0*$M$14),1)-M714-M730*IF((M720+M721)&gt;0,M720/(M720+M721),0)+M735/2-M733*IF((L708+L709+L710+L711)&gt;0,L710/(L708+L709+L710+L711),0)</f>
        <v>9082457.1670734</v>
      </c>
      <c r="N710" s="73" t="n">
        <f aca="false">M710*(1+Rend_PG/4)*IF(N689=1,(1-(Cap_PG*$M$15+(1-Cap_PG)*$M$16))*(1+0*$M$14),1)-N714-N730*IF((N720+N721)&gt;0,N720/(N720+N721),0)+N735/2-N733*IF((M708+M709+M710+M711)&gt;0,M710/(M708+M709+M710+M711),0)</f>
        <v>8814751.74207391</v>
      </c>
      <c r="O710" s="73" t="n">
        <f aca="false">N710*(1+Rend_PG/4)*IF(O689=1,(1-(Cap_PG*$M$15+(1-Cap_PG)*$M$16))*(1+0*$M$14),1)-O714-O730*IF((O720+O721)&gt;0,O720/(O720+O721),0)+O735/2-O733*IF((N708+N709+N710+N711)&gt;0,N710/(N708+N709+N710+N711),0)</f>
        <v>8554936.93447628</v>
      </c>
    </row>
    <row r="711" customFormat="false" ht="15" hidden="false" customHeight="false" outlineLevel="0" collapsed="false">
      <c r="B711" s="65" t="s">
        <v>1038</v>
      </c>
      <c r="C711" s="73" t="n">
        <f aca="false">AN_cible*Ws_ARES</f>
        <v>12250000</v>
      </c>
      <c r="D711" s="73" t="n">
        <f aca="false">C711*(1+Rend_ARES/4)*IF(D689=1,(1-(Cap_ARES*$M$15+(1-Cap_ARES)*$M$16))*(1+0*$M$14),1)-D715-D730*IF((D720+D721)&gt;0,D721/(D720+D721),0)/(1-IF(D689&lt;=Deduc_trim,Deduc_ares,0))+D735/2-D733*IF((C708+C709+C710+C711)&gt;0,C711/(C708+C709+C710+C711),0)</f>
        <v>11727537.5</v>
      </c>
      <c r="E711" s="73" t="n">
        <f aca="false">D711*(1+Rend_ARES/4)*IF(E689=1,(1-(Cap_ARES*$M$15+(1-Cap_ARES)*$M$16))*(1+0*$M$14),1)-E715-E730*IF((E720+E721)&gt;0,E721/(E720+E721),0)/(1-IF(E689&lt;=Deduc_trim,Deduc_ares,0))+E735/2-E733*IF((D708+D709+D710+D711)&gt;0,D711/(D708+D709+D710+D711),0)</f>
        <v>11227358.025625</v>
      </c>
      <c r="F711" s="73" t="n">
        <f aca="false">E711*(1+Rend_ARES/4)*IF(F689=1,(1-(Cap_ARES*$M$15+(1-Cap_ARES)*$M$16))*(1+0*$M$14),1)-F715-F730*IF((F720+F721)&gt;0,F721/(F720+F721),0)/(1-IF(F689&lt;=Deduc_trim,Deduc_ares,0))+F735/2-F733*IF((E708+E709+E710+E711)&gt;0,E711/(E708+E709+E710+E711),0)</f>
        <v>10748511.2058321</v>
      </c>
      <c r="G711" s="73" t="n">
        <f aca="false">F711*(1+Rend_ARES/4)*IF(G689=1,(1-(Cap_ARES*$M$15+(1-Cap_ARES)*$M$16))*(1+0*$M$14),1)-G715-G730*IF((G720+G721)&gt;0,G721/(G720+G721),0)/(1-IF(G689&lt;=Deduc_trim,Deduc_ares,0))+G735/2-G733*IF((F708+F709+F710+F711)&gt;0,F711/(F708+F709+F710+F711),0)</f>
        <v>10290087.2029034</v>
      </c>
      <c r="H711" s="73" t="n">
        <f aca="false">G711*(1+Rend_ARES/4)*IF(H689=1,(1-(Cap_ARES*$M$15+(1-Cap_ARES)*$M$16))*(1+0*$M$14),1)-H715-H730*IF((H720+H721)&gt;0,H721/(H720+H721),0)/(1-IF(H689&lt;=Deduc_trim,Deduc_ares,0))+H735/2-H733*IF((G708+G709+G710+G711)&gt;0,G711/(G708+G709+G710+G711),0)</f>
        <v>9851214.98369952</v>
      </c>
      <c r="I711" s="73" t="n">
        <f aca="false">H711*(1+Rend_ARES/4)*IF(I689=1,(1-(Cap_ARES*$M$15+(1-Cap_ARES)*$M$16))*(1+0*$M$14),1)-I715-I730*IF((I720+I721)&gt;0,I721/(I720+I721),0)/(1-IF(I689&lt;=Deduc_trim,Deduc_ares,0))+I735/2-I733*IF((H708+H709+H710+H711)&gt;0,H711/(H708+H709+H710+H711),0)</f>
        <v>9431060.66464474</v>
      </c>
      <c r="J711" s="73" t="n">
        <f aca="false">I711*(1+Rend_ARES/4)*IF(J689=1,(1-(Cap_ARES*$M$15+(1-Cap_ARES)*$M$16))*(1+0*$M$14),1)-J715-J730*IF((J720+J721)&gt;0,J721/(J720+J721),0)/(1-IF(J689&lt;=Deduc_trim,Deduc_ares,0))+J735/2-J733*IF((I708+I709+I710+I711)&gt;0,I711/(I708+I709+I710+I711),0)</f>
        <v>9028825.92729764</v>
      </c>
      <c r="K711" s="73" t="n">
        <f aca="false">J711*(1+Rend_ARES/4)*IF(K689=1,(1-(Cap_ARES*$M$15+(1-Cap_ARES)*$M$16))*(1+0*$M$14),1)-K715-K730*IF((K720+K721)&gt;0,K721/(K720+K721),0)/(1-IF(K689&lt;=Deduc_trim,Deduc_ares,0))+K735/2-K733*IF((J708+J709+J710+J711)&gt;0,J711/(J708+J709+J710+J711),0)</f>
        <v>8643746.5014984</v>
      </c>
      <c r="L711" s="73" t="n">
        <f aca="false">K711*(1+Rend_ARES/4)*IF(L689=1,(1-(Cap_ARES*$M$15+(1-Cap_ARES)*$M$16))*(1+0*$M$14),1)-L715-L730*IF((L720+L721)&gt;0,L721/(L720+L721),0)/(1-IF(L689&lt;=Deduc_trim,Deduc_ares,0))+L735/2-L733*IF((K708+K709+K710+K711)&gt;0,K711/(K708+K709+K710+K711),0)</f>
        <v>8275090.71320949</v>
      </c>
      <c r="M711" s="73" t="n">
        <f aca="false">L711*(1+Rend_ARES/4)*IF(M689=1,(1-(Cap_ARES*$M$15+(1-Cap_ARES)*$M$16))*(1+0*$M$14),1)-M715-M730*IF((M720+M721)&gt;0,M721/(M720+M721),0)/(1-IF(M689&lt;=Deduc_trim,Deduc_ares,0))+M735/2-M733*IF((L708+L709+L710+L711)&gt;0,L711/(L708+L709+L710+L711),0)</f>
        <v>7922158.0942911</v>
      </c>
      <c r="N711" s="73" t="n">
        <f aca="false">M711*(1+Rend_ARES/4)*IF(N689=1,(1-(Cap_ARES*$M$15+(1-Cap_ARES)*$M$16))*(1+0*$M$14),1)-N715-N730*IF((N720+N721)&gt;0,N721/(N720+N721),0)/(1-IF(N689&lt;=Deduc_trim,Deduc_ares,0))+N735/2-N733*IF((M708+M709+M710+M711)&gt;0,M711/(M708+M709+M710+M711),0)</f>
        <v>7584278.05156959</v>
      </c>
      <c r="O711" s="73" t="n">
        <f aca="false">N711*(1+Rend_ARES/4)*IF(O689=1,(1-(Cap_ARES*$M$15+(1-Cap_ARES)*$M$16))*(1+0*$M$14),1)-O715-O730*IF((O720+O721)&gt;0,O721/(O720+O721),0)/(1-IF(O689&lt;=Deduc_trim,Deduc_ares,0))+O735/2-O733*IF((N708+N709+N710+N711)&gt;0,N711/(N708+N709+N710+N711),0)</f>
        <v>7260808.59267014</v>
      </c>
    </row>
    <row r="712" customFormat="false" ht="15" hidden="false" customHeight="false" outlineLevel="0" collapsed="false">
      <c r="B712" s="65" t="s">
        <v>1039</v>
      </c>
      <c r="C712" s="25"/>
      <c r="D712" s="73" t="n">
        <f aca="false">C708*Dist_MAPIF/4*IF(D689&lt;=$M$11,0,$M$10)</f>
        <v>187500</v>
      </c>
      <c r="E712" s="73" t="n">
        <f aca="false">D708*Dist_MAPIF/4*IF(E689&lt;=$M$11,0,$M$10)</f>
        <v>194573.4375</v>
      </c>
      <c r="F712" s="73" t="n">
        <f aca="false">E708*Dist_MAPIF/4*IF(F689&lt;=$M$11,0,$M$10)</f>
        <v>201701.517304688</v>
      </c>
      <c r="G712" s="73" t="n">
        <f aca="false">F708*Dist_MAPIF/4*IF(G689&lt;=$M$11,0,$M$10)</f>
        <v>208884.661525866</v>
      </c>
      <c r="H712" s="73" t="n">
        <f aca="false">G708*Dist_MAPIF/4*IF(H689&lt;=$M$11,0,$M$10)</f>
        <v>216123.295536154</v>
      </c>
      <c r="I712" s="73" t="n">
        <f aca="false">H708*Dist_MAPIF/4*IF(I689&lt;=$M$11,0,$M$10)</f>
        <v>223417.84799417</v>
      </c>
      <c r="J712" s="73" t="n">
        <f aca="false">I708*Dist_MAPIF/4*IF(J689&lt;=$M$11,0,$M$10)</f>
        <v>230768.750869925</v>
      </c>
      <c r="K712" s="73" t="n">
        <f aca="false">J708*Dist_MAPIF/4*IF(K689&lt;=$M$11,0,$M$10)</f>
        <v>238176.439470396</v>
      </c>
      <c r="L712" s="73" t="n">
        <f aca="false">K708*Dist_MAPIF/4*IF(L689&lt;=$M$11,0,$M$10)</f>
        <v>245641.352465304</v>
      </c>
      <c r="M712" s="73" t="n">
        <f aca="false">L708*Dist_MAPIF/4*IF(M689&lt;=$M$11,0,$M$10)</f>
        <v>253163.931913099</v>
      </c>
      <c r="N712" s="73" t="n">
        <f aca="false">M708*Dist_MAPIF/4*IF(N689&lt;=$M$11,0,$M$10)</f>
        <v>260744.623287128</v>
      </c>
      <c r="O712" s="73" t="n">
        <f aca="false">N708*Dist_MAPIF/4*IF(O689&lt;=$M$11,0,$M$10)</f>
        <v>268383.875502021</v>
      </c>
    </row>
    <row r="713" customFormat="false" ht="15" hidden="false" customHeight="false" outlineLevel="0" collapsed="false">
      <c r="B713" s="65" t="s">
        <v>1040</v>
      </c>
      <c r="C713" s="25"/>
      <c r="D713" s="73" t="n">
        <f aca="false">C709*Dist_MSIG/4*IF(D689&lt;=$M$11,0,$M$10)</f>
        <v>96250</v>
      </c>
      <c r="E713" s="73" t="n">
        <f aca="false">D709*Dist_MSIG/4*IF(E689&lt;=$M$11,0,$M$10)</f>
        <v>101031.65625</v>
      </c>
      <c r="F713" s="73" t="n">
        <f aca="false">E709*Dist_MSIG/4*IF(F689&lt;=$M$11,0,$M$10)</f>
        <v>105833.514997656</v>
      </c>
      <c r="G713" s="73" t="n">
        <f aca="false">F709*Dist_MSIG/4*IF(G689&lt;=$M$11,0,$M$10)</f>
        <v>110655.661598521</v>
      </c>
      <c r="H713" s="73" t="n">
        <f aca="false">G709*Dist_MSIG/4*IF(H689&lt;=$M$11,0,$M$10)</f>
        <v>115498.181768775</v>
      </c>
      <c r="I713" s="73" t="n">
        <f aca="false">H709*Dist_MSIG/4*IF(I689&lt;=$M$11,0,$M$10)</f>
        <v>120361.161586748</v>
      </c>
      <c r="J713" s="73" t="n">
        <f aca="false">I709*Dist_MSIG/4*IF(J689&lt;=$M$11,0,$M$10)</f>
        <v>125244.687494452</v>
      </c>
      <c r="K713" s="73" t="n">
        <f aca="false">J709*Dist_MSIG/4*IF(K689&lt;=$M$11,0,$M$10)</f>
        <v>130148.846299116</v>
      </c>
      <c r="L713" s="73" t="n">
        <f aca="false">K709*Dist_MSIG/4*IF(L689&lt;=$M$11,0,$M$10)</f>
        <v>135073.72517473</v>
      </c>
      <c r="M713" s="73" t="n">
        <f aca="false">L709*Dist_MSIG/4*IF(M689&lt;=$M$11,0,$M$10)</f>
        <v>140019.411663593</v>
      </c>
      <c r="N713" s="73" t="n">
        <f aca="false">M709*Dist_MSIG/4*IF(N689&lt;=$M$11,0,$M$10)</f>
        <v>144985.993677872</v>
      </c>
      <c r="O713" s="73" t="n">
        <f aca="false">N709*Dist_MSIG/4*IF(O689&lt;=$M$11,0,$M$10)</f>
        <v>149973.559501161</v>
      </c>
    </row>
    <row r="714" customFormat="false" ht="15" hidden="false" customHeight="false" outlineLevel="0" collapsed="false">
      <c r="B714" s="65" t="s">
        <v>1041</v>
      </c>
      <c r="C714" s="25"/>
      <c r="D714" s="73" t="n">
        <f aca="false">C710*Dist_PG/4*IF(D689&lt;=$M$11,0,$M$10)</f>
        <v>61250</v>
      </c>
      <c r="E714" s="73" t="n">
        <f aca="false">D710*Dist_PG/4*IF(E689&lt;=$M$11,0,$M$10)</f>
        <v>59444.65625</v>
      </c>
      <c r="F714" s="73" t="n">
        <f aca="false">E710*Dist_PG/4*IF(F689&lt;=$M$11,0,$M$10)</f>
        <v>57692.5250070313</v>
      </c>
      <c r="G714" s="73" t="n">
        <f aca="false">F710*Dist_PG/4*IF(G689&lt;=$M$11,0,$M$10)</f>
        <v>55992.037832449</v>
      </c>
      <c r="H714" s="73" t="n">
        <f aca="false">G710*Dist_PG/4*IF(H689&lt;=$M$11,0,$M$10)</f>
        <v>54341.6725173376</v>
      </c>
      <c r="I714" s="73" t="n">
        <f aca="false">H710*Dist_PG/4*IF(I689&lt;=$M$11,0,$M$10)</f>
        <v>52739.9517198891</v>
      </c>
      <c r="J714" s="73" t="n">
        <f aca="false">I710*Dist_PG/4*IF(J689&lt;=$M$11,0,$M$10)</f>
        <v>51185.4416429453</v>
      </c>
      <c r="K714" s="73" t="n">
        <f aca="false">J710*Dist_PG/4*IF(K689&lt;=$M$11,0,$M$10)</f>
        <v>49676.7507505195</v>
      </c>
      <c r="L714" s="73" t="n">
        <f aca="false">K710*Dist_PG/4*IF(L689&lt;=$M$11,0,$M$10)</f>
        <v>48212.528522148</v>
      </c>
      <c r="M714" s="73" t="n">
        <f aca="false">L710*Dist_PG/4*IF(M689&lt;=$M$11,0,$M$10)</f>
        <v>46791.4642439576</v>
      </c>
      <c r="N714" s="73" t="n">
        <f aca="false">M710*Dist_PG/4*IF(N689&lt;=$M$11,0,$M$10)</f>
        <v>45412.285835367</v>
      </c>
      <c r="O714" s="73" t="n">
        <f aca="false">N710*Dist_PG/4*IF(O689&lt;=$M$11,0,$M$10)</f>
        <v>44073.7587103696</v>
      </c>
    </row>
    <row r="715" customFormat="false" ht="15" hidden="false" customHeight="false" outlineLevel="0" collapsed="false">
      <c r="B715" s="65" t="s">
        <v>1042</v>
      </c>
      <c r="C715" s="25"/>
      <c r="D715" s="73" t="n">
        <f aca="false">C711*Dist_ARES/4*IF(D689&lt;=$M$11,0,$M$10)</f>
        <v>153125</v>
      </c>
      <c r="E715" s="73" t="n">
        <f aca="false">D711*Dist_ARES/4*IF(E689&lt;=$M$11,0,$M$10)</f>
        <v>146594.21875</v>
      </c>
      <c r="F715" s="73" t="n">
        <f aca="false">E711*Dist_ARES/4*IF(F689&lt;=$M$11,0,$M$10)</f>
        <v>140341.975320313</v>
      </c>
      <c r="G715" s="73" t="n">
        <f aca="false">F711*Dist_ARES/4*IF(G689&lt;=$M$11,0,$M$10)</f>
        <v>134356.390072901</v>
      </c>
      <c r="H715" s="73" t="n">
        <f aca="false">G711*Dist_ARES/4*IF(H689&lt;=$M$11,0,$M$10)</f>
        <v>128626.090036292</v>
      </c>
      <c r="I715" s="73" t="n">
        <f aca="false">H711*Dist_ARES/4*IF(I689&lt;=$M$11,0,$M$10)</f>
        <v>123140.187296244</v>
      </c>
      <c r="J715" s="73" t="n">
        <f aca="false">I711*Dist_ARES/4*IF(J689&lt;=$M$11,0,$M$10)</f>
        <v>117888.258308059</v>
      </c>
      <c r="K715" s="73" t="n">
        <f aca="false">J711*Dist_ARES/4*IF(K689&lt;=$M$11,0,$M$10)</f>
        <v>112860.324091221</v>
      </c>
      <c r="L715" s="73" t="n">
        <f aca="false">K711*Dist_ARES/4*IF(L689&lt;=$M$11,0,$M$10)</f>
        <v>108046.83126873</v>
      </c>
      <c r="M715" s="73" t="n">
        <f aca="false">L711*Dist_ARES/4*IF(M689&lt;=$M$11,0,$M$10)</f>
        <v>103438.633915119</v>
      </c>
      <c r="N715" s="73" t="n">
        <f aca="false">M711*Dist_ARES/4*IF(N689&lt;=$M$11,0,$M$10)</f>
        <v>99026.9761786388</v>
      </c>
      <c r="O715" s="73" t="n">
        <f aca="false">N711*Dist_ARES/4*IF(O689&lt;=$M$11,0,$M$10)</f>
        <v>94803.4756446198</v>
      </c>
    </row>
    <row r="716" customFormat="false" ht="15" hidden="false" customHeight="false" outlineLevel="0" collapsed="false">
      <c r="B716" s="65" t="s">
        <v>1043</v>
      </c>
      <c r="C716" s="73" t="n">
        <f aca="false">AN_cible*$M$12*Part_MAPIF_NA</f>
        <v>4500000</v>
      </c>
      <c r="D716" s="73" t="n">
        <f aca="false">C716*IF(D689=1,1+$M$14,1)-D718</f>
        <v>4125000</v>
      </c>
      <c r="E716" s="73" t="n">
        <f aca="false">D716*IF(E689=1,1+$M$14,1)-E718</f>
        <v>3750000</v>
      </c>
      <c r="F716" s="73" t="n">
        <f aca="false">E716*IF(F689=1,1+$M$14,1)-F718</f>
        <v>3375000</v>
      </c>
      <c r="G716" s="73" t="n">
        <f aca="false">F716*IF(G689=1,1+$M$14,1)-G718</f>
        <v>3000000</v>
      </c>
      <c r="H716" s="73" t="n">
        <f aca="false">G716*IF(H689=1,1+$M$14,1)-H718</f>
        <v>2625000</v>
      </c>
      <c r="I716" s="73" t="n">
        <f aca="false">H716*IF(I689=1,1+$M$14,1)-I718</f>
        <v>2250000</v>
      </c>
      <c r="J716" s="73" t="n">
        <f aca="false">I716*IF(J689=1,1+$M$14,1)-J718</f>
        <v>1875000</v>
      </c>
      <c r="K716" s="73" t="n">
        <f aca="false">J716*IF(K689=1,1+$M$14,1)-K718</f>
        <v>1500000</v>
      </c>
      <c r="L716" s="73" t="n">
        <f aca="false">K716*IF(L689=1,1+$M$14,1)-L718</f>
        <v>1125000</v>
      </c>
      <c r="M716" s="73" t="n">
        <f aca="false">L716*IF(M689=1,1+$M$14,1)-M718</f>
        <v>750000</v>
      </c>
      <c r="N716" s="73" t="n">
        <f aca="false">M716*IF(N689=1,1+$M$14,1)-N718</f>
        <v>375000</v>
      </c>
      <c r="O716" s="73" t="n">
        <f aca="false">N716*IF(O689=1,1+$M$14,1)-O718</f>
        <v>0</v>
      </c>
    </row>
    <row r="717" customFormat="false" ht="15" hidden="false" customHeight="false" outlineLevel="0" collapsed="false">
      <c r="B717" s="65" t="s">
        <v>1044</v>
      </c>
      <c r="C717" s="73" t="n">
        <f aca="false">AN_cible*$M$12*(1-Part_MAPIF_NA)</f>
        <v>3000000</v>
      </c>
      <c r="D717" s="73" t="n">
        <f aca="false">C717*IF(D689=1,1+MSIG_USD*$M$14,1)-D719</f>
        <v>2750000</v>
      </c>
      <c r="E717" s="73" t="n">
        <f aca="false">D717*IF(E689=1,1+MSIG_USD*$M$14,1)-E719</f>
        <v>2500000</v>
      </c>
      <c r="F717" s="73" t="n">
        <f aca="false">E717*IF(F689=1,1+MSIG_USD*$M$14,1)-F719</f>
        <v>2250000</v>
      </c>
      <c r="G717" s="73" t="n">
        <f aca="false">F717*IF(G689=1,1+MSIG_USD*$M$14,1)-G719</f>
        <v>2000000</v>
      </c>
      <c r="H717" s="73" t="n">
        <f aca="false">G717*IF(H689=1,1+MSIG_USD*$M$14,1)-H719</f>
        <v>1750000</v>
      </c>
      <c r="I717" s="73" t="n">
        <f aca="false">H717*IF(I689=1,1+MSIG_USD*$M$14,1)-I719</f>
        <v>1500000</v>
      </c>
      <c r="J717" s="73" t="n">
        <f aca="false">I717*IF(J689=1,1+MSIG_USD*$M$14,1)-J719</f>
        <v>1250000</v>
      </c>
      <c r="K717" s="73" t="n">
        <f aca="false">J717*IF(K689=1,1+MSIG_USD*$M$14,1)-K719</f>
        <v>1000000</v>
      </c>
      <c r="L717" s="73" t="n">
        <f aca="false">K717*IF(L689=1,1+MSIG_USD*$M$14,1)-L719</f>
        <v>750000</v>
      </c>
      <c r="M717" s="73" t="n">
        <f aca="false">L717*IF(M689=1,1+MSIG_USD*$M$14,1)-M719</f>
        <v>500000</v>
      </c>
      <c r="N717" s="73" t="n">
        <f aca="false">M717*IF(N689=1,1+MSIG_USD*$M$14,1)-N719</f>
        <v>250000</v>
      </c>
      <c r="O717" s="73" t="n">
        <f aca="false">N717*IF(O689=1,1+MSIG_USD*$M$14,1)-O719</f>
        <v>0</v>
      </c>
    </row>
    <row r="718" customFormat="false" ht="15" hidden="false" customHeight="false" outlineLevel="0" collapsed="false">
      <c r="B718" s="65" t="s">
        <v>1045</v>
      </c>
      <c r="C718" s="25"/>
      <c r="D718" s="73" t="n">
        <f aca="false">MIN(C716*IF(D689=1,1+$M$14,1),$C716*(1+$M$14)*IF(D689&lt;=4,$M$13/4,Appels_base))</f>
        <v>375000</v>
      </c>
      <c r="E718" s="73" t="n">
        <f aca="false">MIN(D716*IF(E689=1,1+$M$14,1),$C716*(1+$M$14)*IF(E689&lt;=4,$M$13/4,Appels_base))</f>
        <v>375000</v>
      </c>
      <c r="F718" s="73" t="n">
        <f aca="false">MIN(E716*IF(F689=1,1+$M$14,1),$C716*(1+$M$14)*IF(F689&lt;=4,$M$13/4,Appels_base))</f>
        <v>375000</v>
      </c>
      <c r="G718" s="73" t="n">
        <f aca="false">MIN(F716*IF(G689=1,1+$M$14,1),$C716*(1+$M$14)*IF(G689&lt;=4,$M$13/4,Appels_base))</f>
        <v>375000</v>
      </c>
      <c r="H718" s="73" t="n">
        <f aca="false">MIN(G716*IF(H689=1,1+$M$14,1),$C716*(1+$M$14)*IF(H689&lt;=4,$M$13/4,Appels_base))</f>
        <v>375000</v>
      </c>
      <c r="I718" s="73" t="n">
        <f aca="false">MIN(H716*IF(I689=1,1+$M$14,1),$C716*(1+$M$14)*IF(I689&lt;=4,$M$13/4,Appels_base))</f>
        <v>375000</v>
      </c>
      <c r="J718" s="73" t="n">
        <f aca="false">MIN(I716*IF(J689=1,1+$M$14,1),$C716*(1+$M$14)*IF(J689&lt;=4,$M$13/4,Appels_base))</f>
        <v>375000</v>
      </c>
      <c r="K718" s="73" t="n">
        <f aca="false">MIN(J716*IF(K689=1,1+$M$14,1),$C716*(1+$M$14)*IF(K689&lt;=4,$M$13/4,Appels_base))</f>
        <v>375000</v>
      </c>
      <c r="L718" s="73" t="n">
        <f aca="false">MIN(K716*IF(L689=1,1+$M$14,1),$C716*(1+$M$14)*IF(L689&lt;=4,$M$13/4,Appels_base))</f>
        <v>375000</v>
      </c>
      <c r="M718" s="73" t="n">
        <f aca="false">MIN(L716*IF(M689=1,1+$M$14,1),$C716*(1+$M$14)*IF(M689&lt;=4,$M$13/4,Appels_base))</f>
        <v>375000</v>
      </c>
      <c r="N718" s="73" t="n">
        <f aca="false">MIN(M716*IF(N689=1,1+$M$14,1),$C716*(1+$M$14)*IF(N689&lt;=4,$M$13/4,Appels_base))</f>
        <v>375000</v>
      </c>
      <c r="O718" s="73" t="n">
        <f aca="false">MIN(N716*IF(O689=1,1+$M$14,1),$C716*(1+$M$14)*IF(O689&lt;=4,$M$13/4,Appels_base))</f>
        <v>375000</v>
      </c>
    </row>
    <row r="719" customFormat="false" ht="15" hidden="false" customHeight="false" outlineLevel="0" collapsed="false">
      <c r="B719" s="65" t="s">
        <v>1046</v>
      </c>
      <c r="C719" s="25"/>
      <c r="D719" s="73" t="n">
        <f aca="false">MIN(C717*IF(D689=1,1+MSIG_USD*$M$14,1),$C717*(1+MSIG_USD*$M$14)*IF(D689&lt;=4,$M$13/4,Appels_base))</f>
        <v>250000</v>
      </c>
      <c r="E719" s="73" t="n">
        <f aca="false">MIN(D717*IF(E689=1,1+MSIG_USD*$M$14,1),$C717*(1+MSIG_USD*$M$14)*IF(E689&lt;=4,$M$13/4,Appels_base))</f>
        <v>250000</v>
      </c>
      <c r="F719" s="73" t="n">
        <f aca="false">MIN(E717*IF(F689=1,1+MSIG_USD*$M$14,1),$C717*(1+MSIG_USD*$M$14)*IF(F689&lt;=4,$M$13/4,Appels_base))</f>
        <v>250000</v>
      </c>
      <c r="G719" s="73" t="n">
        <f aca="false">MIN(F717*IF(G689=1,1+MSIG_USD*$M$14,1),$C717*(1+MSIG_USD*$M$14)*IF(G689&lt;=4,$M$13/4,Appels_base))</f>
        <v>250000</v>
      </c>
      <c r="H719" s="73" t="n">
        <f aca="false">MIN(G717*IF(H689=1,1+MSIG_USD*$M$14,1),$C717*(1+MSIG_USD*$M$14)*IF(H689&lt;=4,$M$13/4,Appels_base))</f>
        <v>250000</v>
      </c>
      <c r="I719" s="73" t="n">
        <f aca="false">MIN(H717*IF(I689=1,1+MSIG_USD*$M$14,1),$C717*(1+MSIG_USD*$M$14)*IF(I689&lt;=4,$M$13/4,Appels_base))</f>
        <v>250000</v>
      </c>
      <c r="J719" s="73" t="n">
        <f aca="false">MIN(I717*IF(J689=1,1+MSIG_USD*$M$14,1),$C717*(1+MSIG_USD*$M$14)*IF(J689&lt;=4,$M$13/4,Appels_base))</f>
        <v>250000</v>
      </c>
      <c r="K719" s="73" t="n">
        <f aca="false">MIN(J717*IF(K689=1,1+MSIG_USD*$M$14,1),$C717*(1+MSIG_USD*$M$14)*IF(K689&lt;=4,$M$13/4,Appels_base))</f>
        <v>250000</v>
      </c>
      <c r="L719" s="73" t="n">
        <f aca="false">MIN(K717*IF(L689=1,1+MSIG_USD*$M$14,1),$C717*(1+MSIG_USD*$M$14)*IF(L689&lt;=4,$M$13/4,Appels_base))</f>
        <v>250000</v>
      </c>
      <c r="M719" s="73" t="n">
        <f aca="false">MIN(L717*IF(M689=1,1+MSIG_USD*$M$14,1),$C717*(1+MSIG_USD*$M$14)*IF(M689&lt;=4,$M$13/4,Appels_base))</f>
        <v>250000</v>
      </c>
      <c r="N719" s="73" t="n">
        <f aca="false">MIN(M717*IF(N689=1,1+MSIG_USD*$M$14,1),$C717*(1+MSIG_USD*$M$14)*IF(N689&lt;=4,$M$13/4,Appels_base))</f>
        <v>250000</v>
      </c>
      <c r="O719" s="73" t="n">
        <f aca="false">MIN(N717*IF(O689=1,1+MSIG_USD*$M$14,1),$C717*(1+MSIG_USD*$M$14)*IF(O689&lt;=4,$M$13/4,Appels_base))</f>
        <v>250000</v>
      </c>
    </row>
    <row r="720" customFormat="false" ht="15" hidden="false" customHeight="false" outlineLevel="0" collapsed="false">
      <c r="B720" s="65" t="s">
        <v>1047</v>
      </c>
      <c r="C720" s="25"/>
      <c r="D720" s="73" t="n">
        <f aca="false">C710*Capacite_evg*IF(D689&lt;=4,$M$17,$M$18)</f>
        <v>612500</v>
      </c>
      <c r="E720" s="73" t="n">
        <f aca="false">D710*Capacite_evg*IF(E689&lt;=4,$M$17,$M$18)</f>
        <v>594446.5625</v>
      </c>
      <c r="F720" s="73" t="n">
        <f aca="false">E710*Capacite_evg*IF(F689&lt;=4,$M$17,$M$18)</f>
        <v>576925.250070313</v>
      </c>
      <c r="G720" s="73" t="n">
        <f aca="false">F710*Capacite_evg*IF(G689&lt;=4,$M$17,$M$18)</f>
        <v>559920.37832449</v>
      </c>
      <c r="H720" s="73" t="n">
        <f aca="false">G710*Capacite_evg*IF(H689&lt;=4,$M$17,$M$18)</f>
        <v>543416.725173376</v>
      </c>
      <c r="I720" s="73" t="n">
        <f aca="false">H710*Capacite_evg*IF(I689&lt;=4,$M$17,$M$18)</f>
        <v>527399.517198891</v>
      </c>
      <c r="J720" s="73" t="n">
        <f aca="false">I710*Capacite_evg*IF(J689&lt;=4,$M$17,$M$18)</f>
        <v>511854.416429453</v>
      </c>
      <c r="K720" s="73" t="n">
        <f aca="false">J710*Capacite_evg*IF(K689&lt;=4,$M$17,$M$18)</f>
        <v>496767.507505195</v>
      </c>
      <c r="L720" s="73" t="n">
        <f aca="false">K710*Capacite_evg*IF(L689&lt;=4,$M$17,$M$18)</f>
        <v>482125.28522148</v>
      </c>
      <c r="M720" s="73" t="n">
        <f aca="false">L710*Capacite_evg*IF(M689&lt;=4,$M$17,$M$18)</f>
        <v>467914.642439576</v>
      </c>
      <c r="N720" s="73" t="n">
        <f aca="false">M710*Capacite_evg*IF(N689&lt;=4,$M$17,$M$18)</f>
        <v>454122.85835367</v>
      </c>
      <c r="O720" s="73" t="n">
        <f aca="false">N710*Capacite_evg*IF(O689&lt;=4,$M$17,$M$18)</f>
        <v>440737.587103696</v>
      </c>
    </row>
    <row r="721" customFormat="false" ht="15" hidden="false" customHeight="false" outlineLevel="0" collapsed="false">
      <c r="B721" s="65" t="s">
        <v>1048</v>
      </c>
      <c r="C721" s="25"/>
      <c r="D721" s="73" t="n">
        <f aca="false">C711*Capacite_evg*IF(D689&lt;=4,$M$17,$M$19)*(1-IF(D689&lt;=Deduc_trim,Deduc_ares,0))</f>
        <v>581875</v>
      </c>
      <c r="E721" s="73" t="n">
        <f aca="false">D711*Capacite_evg*IF(E689&lt;=4,$M$17,$M$19)*(1-IF(E689&lt;=Deduc_trim,Deduc_ares,0))</f>
        <v>557058.03125</v>
      </c>
      <c r="F721" s="73" t="n">
        <f aca="false">E711*Capacite_evg*IF(F689&lt;=4,$M$17,$M$19)*(1-IF(F689&lt;=Deduc_trim,Deduc_ares,0))</f>
        <v>533299.506217187</v>
      </c>
      <c r="G721" s="73" t="n">
        <f aca="false">F711*Capacite_evg*IF(G689&lt;=4,$M$17,$M$19)*(1-IF(G689&lt;=Deduc_trim,Deduc_ares,0))</f>
        <v>510554.282277024</v>
      </c>
      <c r="H721" s="73" t="n">
        <f aca="false">G711*Capacite_evg*IF(H689&lt;=4,$M$17,$M$19)*(1-IF(H689&lt;=Deduc_trim,Deduc_ares,0))</f>
        <v>514504.360145168</v>
      </c>
      <c r="I721" s="73" t="n">
        <f aca="false">H711*Capacite_evg*IF(I689&lt;=4,$M$17,$M$19)*(1-IF(I689&lt;=Deduc_trim,Deduc_ares,0))</f>
        <v>492560.749184976</v>
      </c>
      <c r="J721" s="73" t="n">
        <f aca="false">I711*Capacite_evg*IF(J689&lt;=4,$M$17,$M$19)*(1-IF(J689&lt;=Deduc_trim,Deduc_ares,0))</f>
        <v>471553.033232237</v>
      </c>
      <c r="K721" s="73" t="n">
        <f aca="false">J711*Capacite_evg*IF(K689&lt;=4,$M$17,$M$19)*(1-IF(K689&lt;=Deduc_trim,Deduc_ares,0))</f>
        <v>451441.296364882</v>
      </c>
      <c r="L721" s="73" t="n">
        <f aca="false">K711*Capacite_evg*IF(L689&lt;=4,$M$17,$M$19)*(1-IF(L689&lt;=Deduc_trim,Deduc_ares,0))</f>
        <v>432187.32507492</v>
      </c>
      <c r="M721" s="73" t="n">
        <f aca="false">L711*Capacite_evg*IF(M689&lt;=4,$M$17,$M$19)*(1-IF(M689&lt;=Deduc_trim,Deduc_ares,0))</f>
        <v>413754.535660474</v>
      </c>
      <c r="N721" s="73" t="n">
        <f aca="false">M711*Capacite_evg*IF(N689&lt;=4,$M$17,$M$19)*(1-IF(N689&lt;=Deduc_trim,Deduc_ares,0))</f>
        <v>396107.904714555</v>
      </c>
      <c r="O721" s="73" t="n">
        <f aca="false">N711*Capacite_evg*IF(O689&lt;=4,$M$17,$M$19)*(1-IF(O689&lt;=Deduc_trim,Deduc_ares,0))</f>
        <v>379213.902578479</v>
      </c>
    </row>
    <row r="722" customFormat="false" ht="15" hidden="false" customHeight="false" outlineLevel="0" collapsed="false">
      <c r="B722" s="65" t="s">
        <v>1049</v>
      </c>
      <c r="C722" s="25"/>
      <c r="D722" s="73" t="n">
        <f aca="false">C736</f>
        <v>7500000</v>
      </c>
      <c r="E722" s="73" t="n">
        <f aca="false">D736</f>
        <v>5739375</v>
      </c>
      <c r="F722" s="73" t="n">
        <f aca="false">E736</f>
        <v>6562891.4375</v>
      </c>
      <c r="G722" s="73" t="n">
        <f aca="false">F736</f>
        <v>4909430.45367109</v>
      </c>
      <c r="H722" s="73" t="n">
        <f aca="false">G736</f>
        <v>5659951.93568534</v>
      </c>
      <c r="I722" s="73" t="n">
        <f aca="false">H736</f>
        <v>4012380.04095581</v>
      </c>
      <c r="J722" s="73" t="n">
        <f aca="false">I736</f>
        <v>4721157.38504098</v>
      </c>
      <c r="K722" s="73" t="n">
        <f aca="false">J736</f>
        <v>3052969.10864954</v>
      </c>
      <c r="L722" s="73" t="n">
        <f aca="false">K736</f>
        <v>3699458.07298265</v>
      </c>
      <c r="M722" s="73" t="n">
        <f aca="false">L736</f>
        <v>4318465.23854271</v>
      </c>
      <c r="N722" s="73" t="n">
        <f aca="false">M736</f>
        <v>4911385.49862274</v>
      </c>
      <c r="O722" s="73" t="n">
        <f aca="false">N736</f>
        <v>5479562.85218514</v>
      </c>
    </row>
    <row r="723" customFormat="false" ht="15" hidden="false" customHeight="false" outlineLevel="0" collapsed="false">
      <c r="B723" s="65" t="s">
        <v>1050</v>
      </c>
      <c r="C723" s="25"/>
      <c r="D723" s="73" t="n">
        <f aca="false">D722*Taux_treso/4</f>
        <v>46875</v>
      </c>
      <c r="E723" s="73" t="n">
        <f aca="false">E722*Taux_treso/4</f>
        <v>35871.09375</v>
      </c>
      <c r="F723" s="73" t="n">
        <f aca="false">F722*Taux_treso/4</f>
        <v>41018.071484375</v>
      </c>
      <c r="G723" s="73" t="n">
        <f aca="false">G722*Taux_treso/4</f>
        <v>30683.9403354443</v>
      </c>
      <c r="H723" s="73" t="n">
        <f aca="false">H722*Taux_treso/4</f>
        <v>35374.6995980334</v>
      </c>
      <c r="I723" s="73" t="n">
        <f aca="false">I722*Taux_treso/4</f>
        <v>25077.3752559738</v>
      </c>
      <c r="J723" s="73" t="n">
        <f aca="false">J722*Taux_treso/4</f>
        <v>29507.2336565061</v>
      </c>
      <c r="K723" s="73" t="n">
        <f aca="false">K722*Taux_treso/4</f>
        <v>19081.0569290596</v>
      </c>
      <c r="L723" s="73" t="n">
        <f aca="false">L722*Taux_treso/4</f>
        <v>23121.6129561415</v>
      </c>
      <c r="M723" s="73" t="n">
        <f aca="false">M722*Taux_treso/4</f>
        <v>26990.407740892</v>
      </c>
      <c r="N723" s="73" t="n">
        <f aca="false">N722*Taux_treso/4</f>
        <v>30696.1593663921</v>
      </c>
      <c r="O723" s="73" t="n">
        <f aca="false">O722*Taux_treso/4</f>
        <v>34247.2678261571</v>
      </c>
    </row>
    <row r="724" customFormat="false" ht="15" hidden="false" customHeight="false" outlineLevel="0" collapsed="false">
      <c r="B724" s="65" t="s">
        <v>1051</v>
      </c>
      <c r="C724" s="25"/>
      <c r="D724" s="73" t="n">
        <f aca="false">SUM(D712:D715)</f>
        <v>498125</v>
      </c>
      <c r="E724" s="73" t="n">
        <f aca="false">SUM(E712:E715)</f>
        <v>501643.96875</v>
      </c>
      <c r="F724" s="73" t="n">
        <f aca="false">SUM(F712:F715)</f>
        <v>505569.532629688</v>
      </c>
      <c r="G724" s="73" t="n">
        <f aca="false">SUM(G712:G715)</f>
        <v>509888.751029738</v>
      </c>
      <c r="H724" s="73" t="n">
        <f aca="false">SUM(H712:H715)</f>
        <v>514589.239858558</v>
      </c>
      <c r="I724" s="73" t="n">
        <f aca="false">SUM(I712:I715)</f>
        <v>519659.148597052</v>
      </c>
      <c r="J724" s="73" t="n">
        <f aca="false">SUM(J712:J715)</f>
        <v>525087.138315382</v>
      </c>
      <c r="K724" s="73" t="n">
        <f aca="false">SUM(K712:K715)</f>
        <v>530862.360611252</v>
      </c>
      <c r="L724" s="73" t="n">
        <f aca="false">SUM(L712:L715)</f>
        <v>536974.437430912</v>
      </c>
      <c r="M724" s="73" t="n">
        <f aca="false">SUM(M712:M715)</f>
        <v>543413.441735769</v>
      </c>
      <c r="N724" s="73" t="n">
        <f aca="false">SUM(N712:N715)</f>
        <v>550169.878979005</v>
      </c>
      <c r="O724" s="73" t="n">
        <f aca="false">SUM(O712:O715)</f>
        <v>557234.669358171</v>
      </c>
    </row>
    <row r="725" customFormat="false" ht="15" hidden="false" customHeight="false" outlineLevel="0" collapsed="false">
      <c r="B725" s="65" t="s">
        <v>1052</v>
      </c>
      <c r="C725" s="25"/>
      <c r="D725" s="73" t="n">
        <f aca="false">IF(AND(Distrib_tension=1,OR(D697&gt;0.000001,C739&lt;Liq_min,C703=1)),0,MIN(Dist_porteurs/4*Part_d*D694,D724))</f>
        <v>125000</v>
      </c>
      <c r="E725" s="73" t="n">
        <f aca="false">IF(AND(Distrib_tension=1,OR(E697&gt;0.000001,D739&lt;Liq_min,D703=1)),0,MIN(Dist_porteurs/4*Part_d*E694,E724))</f>
        <v>0</v>
      </c>
      <c r="F725" s="73" t="n">
        <f aca="false">IF(AND(Distrib_tension=1,OR(F697&gt;0.000001,E739&lt;Liq_min,E703=1)),0,MIN(Dist_porteurs/4*Part_d*F694,F724))</f>
        <v>0</v>
      </c>
      <c r="G725" s="73" t="n">
        <f aca="false">IF(AND(Distrib_tension=1,OR(G697&gt;0.000001,F739&lt;Liq_min,F703=1)),0,MIN(Dist_porteurs/4*Part_d*G694,G724))</f>
        <v>0</v>
      </c>
      <c r="H725" s="73" t="n">
        <f aca="false">IF(AND(Distrib_tension=1,OR(H697&gt;0.000001,G739&lt;Liq_min,G703=1)),0,MIN(Dist_porteurs/4*Part_d*H694,H724))</f>
        <v>0</v>
      </c>
      <c r="I725" s="73" t="n">
        <f aca="false">IF(AND(Distrib_tension=1,OR(I697&gt;0.000001,H739&lt;Liq_min,H703=1)),0,MIN(Dist_porteurs/4*Part_d*I694,I724))</f>
        <v>0</v>
      </c>
      <c r="J725" s="73" t="n">
        <f aca="false">IF(AND(Distrib_tension=1,OR(J697&gt;0.000001,I739&lt;Liq_min,I703=1)),0,MIN(Dist_porteurs/4*Part_d*J694,J724))</f>
        <v>0</v>
      </c>
      <c r="K725" s="73" t="n">
        <f aca="false">IF(AND(Distrib_tension=1,OR(K697&gt;0.000001,J739&lt;Liq_min,J703=1)),0,MIN(Dist_porteurs/4*Part_d*K694,K724))</f>
        <v>0</v>
      </c>
      <c r="L725" s="73" t="n">
        <f aca="false">IF(AND(Distrib_tension=1,OR(L697&gt;0.000001,K739&lt;Liq_min,K703=1)),0,MIN(Dist_porteurs/4*Part_d*L694,L724))</f>
        <v>0</v>
      </c>
      <c r="M725" s="73" t="n">
        <f aca="false">IF(AND(Distrib_tension=1,OR(M697&gt;0.000001,L739&lt;Liq_min,L703=1)),0,MIN(Dist_porteurs/4*Part_d*M694,M724))</f>
        <v>0</v>
      </c>
      <c r="N725" s="73" t="n">
        <f aca="false">IF(AND(Distrib_tension=1,OR(N697&gt;0.000001,M739&lt;Liq_min,M703=1)),0,MIN(Dist_porteurs/4*Part_d*N694,N724))</f>
        <v>0</v>
      </c>
      <c r="O725" s="73" t="n">
        <f aca="false">IF(AND(Distrib_tension=1,OR(O697&gt;0.000001,N739&lt;Liq_min,N703=1)),0,MIN(Dist_porteurs/4*Part_d*O694,O724))</f>
        <v>0</v>
      </c>
    </row>
    <row r="726" customFormat="false" ht="15" hidden="false" customHeight="false" outlineLevel="0" collapsed="false">
      <c r="B726" s="65" t="s">
        <v>1053</v>
      </c>
      <c r="C726" s="25"/>
      <c r="D726" s="73" t="n">
        <f aca="false">D718+D719</f>
        <v>625000</v>
      </c>
      <c r="E726" s="73" t="n">
        <f aca="false">E718+E719</f>
        <v>625000</v>
      </c>
      <c r="F726" s="73" t="n">
        <f aca="false">F718+F719</f>
        <v>625000</v>
      </c>
      <c r="G726" s="73" t="n">
        <f aca="false">G718+G719</f>
        <v>625000</v>
      </c>
      <c r="H726" s="73" t="n">
        <f aca="false">H718+H719</f>
        <v>625000</v>
      </c>
      <c r="I726" s="73" t="n">
        <f aca="false">I718+I719</f>
        <v>625000</v>
      </c>
      <c r="J726" s="73" t="n">
        <f aca="false">J718+J719</f>
        <v>625000</v>
      </c>
      <c r="K726" s="73" t="n">
        <f aca="false">K718+K719</f>
        <v>625000</v>
      </c>
      <c r="L726" s="73" t="n">
        <f aca="false">L718+L719</f>
        <v>625000</v>
      </c>
      <c r="M726" s="73" t="n">
        <f aca="false">M718+M719</f>
        <v>625000</v>
      </c>
      <c r="N726" s="73" t="n">
        <f aca="false">N718+N719</f>
        <v>625000</v>
      </c>
      <c r="O726" s="73" t="n">
        <f aca="false">O718+O719</f>
        <v>625000</v>
      </c>
    </row>
    <row r="727" customFormat="false" ht="15" hidden="false" customHeight="false" outlineLevel="0" collapsed="false">
      <c r="B727" s="65" t="s">
        <v>1054</v>
      </c>
      <c r="C727" s="25"/>
      <c r="D727" s="73" t="n">
        <f aca="false">D694*Frais_an/4</f>
        <v>250000</v>
      </c>
      <c r="E727" s="73" t="n">
        <f aca="false">E694*Frais_an/4</f>
        <v>240503.21875</v>
      </c>
      <c r="F727" s="73" t="n">
        <f aca="false">F694*Frais_an/4</f>
        <v>244115.758566406</v>
      </c>
      <c r="G727" s="73" t="n">
        <f aca="false">G694*Frais_an/4</f>
        <v>235525.86995245</v>
      </c>
      <c r="H727" s="73" t="n">
        <f aca="false">H694*Frais_an/4</f>
        <v>239132.447227697</v>
      </c>
      <c r="I727" s="73" t="n">
        <f aca="false">I694*Frais_an/4</f>
        <v>230919.446151722</v>
      </c>
      <c r="J727" s="73" t="n">
        <f aca="false">J694*Frais_an/4</f>
        <v>234653.645275002</v>
      </c>
      <c r="K727" s="73" t="n">
        <f aca="false">K694*Frais_an/4</f>
        <v>226663.257077278</v>
      </c>
      <c r="L727" s="73" t="n">
        <f aca="false">L694*Frais_an/4</f>
        <v>230401.495123387</v>
      </c>
      <c r="M727" s="73" t="n">
        <f aca="false">M694*Frais_an/4</f>
        <v>234152.767496683</v>
      </c>
      <c r="N727" s="73" t="n">
        <f aca="false">N694*Frais_an/4</f>
        <v>237919.447851228</v>
      </c>
      <c r="O727" s="73" t="n">
        <f aca="false">O694*Frais_an/4</f>
        <v>241703.843492053</v>
      </c>
    </row>
    <row r="728" customFormat="false" ht="15" hidden="false" customHeight="false" outlineLevel="0" collapsed="false">
      <c r="B728" s="65" t="s">
        <v>1055</v>
      </c>
      <c r="C728" s="25"/>
      <c r="D728" s="73" t="n">
        <f aca="false">C737*Taux_emprunt/4</f>
        <v>0</v>
      </c>
      <c r="E728" s="73" t="n">
        <f aca="false">D737*Taux_emprunt/4</f>
        <v>0</v>
      </c>
      <c r="F728" s="73" t="n">
        <f aca="false">E737*Taux_emprunt/4</f>
        <v>0</v>
      </c>
      <c r="G728" s="73" t="n">
        <f aca="false">F737*Taux_emprunt/4</f>
        <v>0</v>
      </c>
      <c r="H728" s="73" t="n">
        <f aca="false">G737*Taux_emprunt/4</f>
        <v>0</v>
      </c>
      <c r="I728" s="73" t="n">
        <f aca="false">H737*Taux_emprunt/4</f>
        <v>0</v>
      </c>
      <c r="J728" s="73" t="n">
        <f aca="false">I737*Taux_emprunt/4</f>
        <v>0</v>
      </c>
      <c r="K728" s="73" t="n">
        <f aca="false">J737*Taux_emprunt/4</f>
        <v>0</v>
      </c>
      <c r="L728" s="73" t="n">
        <f aca="false">K737*Taux_emprunt/4</f>
        <v>0</v>
      </c>
      <c r="M728" s="73" t="n">
        <f aca="false">L737*Taux_emprunt/4</f>
        <v>0</v>
      </c>
      <c r="N728" s="73" t="n">
        <f aca="false">M737*Taux_emprunt/4</f>
        <v>0</v>
      </c>
      <c r="O728" s="73" t="n">
        <f aca="false">N737*Taux_emprunt/4</f>
        <v>0</v>
      </c>
    </row>
    <row r="729" customFormat="false" ht="15" hidden="false" customHeight="false" outlineLevel="0" collapsed="false">
      <c r="B729" s="65" t="s">
        <v>1056</v>
      </c>
      <c r="C729" s="25"/>
      <c r="D729" s="73" t="n">
        <f aca="false">D722+D723+D724-D725+D695-D726-D727-D728</f>
        <v>7045000</v>
      </c>
      <c r="E729" s="73" t="n">
        <f aca="false">E722+E723+E724-E725+E695-E726-E727-E728</f>
        <v>5411386.84375</v>
      </c>
      <c r="F729" s="73" t="n">
        <f aca="false">F722+F723+F724-F725+F695-F726-F727-F728</f>
        <v>6240363.28304766</v>
      </c>
      <c r="G729" s="73" t="n">
        <f aca="false">G722+G723+G724-G725+G695-G726-G727-G728</f>
        <v>4589477.27508382</v>
      </c>
      <c r="H729" s="73" t="n">
        <f aca="false">H722+H723+H724-H725+H695-H726-H727-H728</f>
        <v>5345783.42791423</v>
      </c>
      <c r="I729" s="73" t="n">
        <f aca="false">I722+I723+I724-I725+I695-I726-I727-I728</f>
        <v>3701197.11865711</v>
      </c>
      <c r="J729" s="73" t="n">
        <f aca="false">J722+J723+J724-J725+J695-J726-J727-J728</f>
        <v>4416098.11173787</v>
      </c>
      <c r="K729" s="73" t="n">
        <f aca="false">K722+K723+K724-K725+K695-K726-K727-K728</f>
        <v>2751249.26911257</v>
      </c>
      <c r="L729" s="73" t="n">
        <f aca="false">L722+L723+L724-L725+L695-L726-L727-L728</f>
        <v>3404152.62824631</v>
      </c>
      <c r="M729" s="73" t="n">
        <f aca="false">M722+M723+M724-M725+M695-M726-M727-M728</f>
        <v>4029716.32052269</v>
      </c>
      <c r="N729" s="73" t="n">
        <f aca="false">N722+N723+N724-N725+N695-N726-N727-N728</f>
        <v>4629332.08911691</v>
      </c>
      <c r="O729" s="73" t="n">
        <f aca="false">O722+O723+O724-O725+O695-O726-O727-O728</f>
        <v>5204340.94587741</v>
      </c>
    </row>
    <row r="730" customFormat="false" ht="15" hidden="false" customHeight="false" outlineLevel="0" collapsed="false">
      <c r="B730" s="65" t="s">
        <v>1057</v>
      </c>
      <c r="C730" s="25"/>
      <c r="D730" s="73" t="n">
        <f aca="false">MIN(D720+D721,MAX(0,Liq_cible*D694-(D729-D704)))</f>
        <v>1194375</v>
      </c>
      <c r="E730" s="73" t="n">
        <f aca="false">MIN(E720+E721,MAX(0,Liq_cible*E694-(E729-E704)))</f>
        <v>1151504.59375</v>
      </c>
      <c r="F730" s="73" t="n">
        <f aca="false">MIN(F720+F721,MAX(0,Liq_cible*F694-(F729-F704)))</f>
        <v>1110224.7562875</v>
      </c>
      <c r="G730" s="73" t="n">
        <f aca="false">MIN(G720+G721,MAX(0,Liq_cible*G694-(G729-G704)))</f>
        <v>1070474.66060151</v>
      </c>
      <c r="H730" s="73" t="n">
        <f aca="false">MIN(H720+H721,MAX(0,Liq_cible*H694-(H729-H704)))</f>
        <v>1057921.08531854</v>
      </c>
      <c r="I730" s="73" t="n">
        <f aca="false">MIN(I720+I721,MAX(0,Liq_cible*I694-(I729-I704)))</f>
        <v>1019960.26638387</v>
      </c>
      <c r="J730" s="73" t="n">
        <f aca="false">MIN(J720+J721,MAX(0,Liq_cible*J694-(J729-J704)))</f>
        <v>983407.44966169</v>
      </c>
      <c r="K730" s="73" t="n">
        <f aca="false">MIN(K720+K721,MAX(0,Liq_cible*K694-(K729-K704)))</f>
        <v>948208.803870077</v>
      </c>
      <c r="L730" s="73" t="n">
        <f aca="false">MIN(L720+L721,MAX(0,Liq_cible*L694-(L729-L704)))</f>
        <v>914312.610296399</v>
      </c>
      <c r="M730" s="73" t="n">
        <f aca="false">MIN(M720+M721,MAX(0,Liq_cible*M694-(M729-M704)))</f>
        <v>881669.178100051</v>
      </c>
      <c r="N730" s="73" t="n">
        <f aca="false">MIN(N720+N721,MAX(0,Liq_cible*N694-(N729-N704)))</f>
        <v>850230.763068225</v>
      </c>
      <c r="O730" s="73" t="n">
        <f aca="false">MIN(O720+O721,MAX(0,Liq_cible*O694-(O729-O704)))</f>
        <v>819951.489682175</v>
      </c>
    </row>
    <row r="731" customFormat="false" ht="15" hidden="false" customHeight="false" outlineLevel="0" collapsed="false">
      <c r="B731" s="65" t="s">
        <v>1058</v>
      </c>
      <c r="C731" s="25"/>
      <c r="D731" s="73" t="n">
        <f aca="false">D729-D704+D730</f>
        <v>5739375</v>
      </c>
      <c r="E731" s="73" t="n">
        <f aca="false">E729-E704+E730</f>
        <v>6562891.4375</v>
      </c>
      <c r="F731" s="73" t="n">
        <f aca="false">F729-F704+F730</f>
        <v>4909430.45367109</v>
      </c>
      <c r="G731" s="73" t="n">
        <f aca="false">G729-G704+G730</f>
        <v>5659951.93568534</v>
      </c>
      <c r="H731" s="73" t="n">
        <f aca="false">H729-H704+H730</f>
        <v>4012380.04095581</v>
      </c>
      <c r="I731" s="73" t="n">
        <f aca="false">I729-I704+I730</f>
        <v>4721157.38504098</v>
      </c>
      <c r="J731" s="73" t="n">
        <f aca="false">J729-J704+J730</f>
        <v>3052969.10864954</v>
      </c>
      <c r="K731" s="73" t="n">
        <f aca="false">K729-K704+K730</f>
        <v>3699458.07298265</v>
      </c>
      <c r="L731" s="73" t="n">
        <f aca="false">L729-L704+L730</f>
        <v>4318465.23854271</v>
      </c>
      <c r="M731" s="73" t="n">
        <f aca="false">M729-M704+M730</f>
        <v>4911385.49862274</v>
      </c>
      <c r="N731" s="73" t="n">
        <f aca="false">N729-N704+N730</f>
        <v>5479562.85218514</v>
      </c>
      <c r="O731" s="73" t="n">
        <f aca="false">O729-O704+O730</f>
        <v>6024292.43555959</v>
      </c>
    </row>
    <row r="732" customFormat="false" ht="15" hidden="false" customHeight="false" outlineLevel="0" collapsed="false">
      <c r="B732" s="65" t="s">
        <v>1059</v>
      </c>
      <c r="C732" s="25"/>
      <c r="D732" s="73" t="n">
        <f aca="false">MIN(MAX(0,MIN($M$20*AN_cible,Emprunt_max*D694)-C737),MAX(0,IF($M$20&gt;0,Poche_min_exec*D694,0)-D731))-IF(D731&gt;Liq_cible*D694,MIN(C737,D731-Liq_cible*D694),0)</f>
        <v>0</v>
      </c>
      <c r="E732" s="73" t="n">
        <f aca="false">MIN(MAX(0,MIN($M$20*AN_cible,Emprunt_max*E694)-D737),MAX(0,IF($M$20&gt;0,Poche_min_exec*E694,0)-E731))-IF(E731&gt;Liq_cible*E694,MIN(D737,E731-Liq_cible*E694),0)</f>
        <v>0</v>
      </c>
      <c r="F732" s="73" t="n">
        <f aca="false">MIN(MAX(0,MIN($M$20*AN_cible,Emprunt_max*F694)-E737),MAX(0,IF($M$20&gt;0,Poche_min_exec*F694,0)-F731))-IF(F731&gt;Liq_cible*F694,MIN(E737,F731-Liq_cible*F694),0)</f>
        <v>0</v>
      </c>
      <c r="G732" s="73" t="n">
        <f aca="false">MIN(MAX(0,MIN($M$20*AN_cible,Emprunt_max*G694)-F737),MAX(0,IF($M$20&gt;0,Poche_min_exec*G694,0)-G731))-IF(G731&gt;Liq_cible*G694,MIN(F737,G731-Liq_cible*G694),0)</f>
        <v>0</v>
      </c>
      <c r="H732" s="73" t="n">
        <f aca="false">MIN(MAX(0,MIN($M$20*AN_cible,Emprunt_max*H694)-G737),MAX(0,IF($M$20&gt;0,Poche_min_exec*H694,0)-H731))-IF(H731&gt;Liq_cible*H694,MIN(G737,H731-Liq_cible*H694),0)</f>
        <v>0</v>
      </c>
      <c r="I732" s="73" t="n">
        <f aca="false">MIN(MAX(0,MIN($M$20*AN_cible,Emprunt_max*I694)-H737),MAX(0,IF($M$20&gt;0,Poche_min_exec*I694,0)-I731))-IF(I731&gt;Liq_cible*I694,MIN(H737,I731-Liq_cible*I694),0)</f>
        <v>0</v>
      </c>
      <c r="J732" s="73" t="n">
        <f aca="false">MIN(MAX(0,MIN($M$20*AN_cible,Emprunt_max*J694)-I737),MAX(0,IF($M$20&gt;0,Poche_min_exec*J694,0)-J731))-IF(J731&gt;Liq_cible*J694,MIN(I737,J731-Liq_cible*J694),0)</f>
        <v>0</v>
      </c>
      <c r="K732" s="73" t="n">
        <f aca="false">MIN(MAX(0,MIN($M$20*AN_cible,Emprunt_max*K694)-J737),MAX(0,IF($M$20&gt;0,Poche_min_exec*K694,0)-K731))-IF(K731&gt;Liq_cible*K694,MIN(J737,K731-Liq_cible*K694),0)</f>
        <v>0</v>
      </c>
      <c r="L732" s="73" t="n">
        <f aca="false">MIN(MAX(0,MIN($M$20*AN_cible,Emprunt_max*L694)-K737),MAX(0,IF($M$20&gt;0,Poche_min_exec*L694,0)-L731))-IF(L731&gt;Liq_cible*L694,MIN(K737,L731-Liq_cible*L694),0)</f>
        <v>0</v>
      </c>
      <c r="M732" s="73" t="n">
        <f aca="false">MIN(MAX(0,MIN($M$20*AN_cible,Emprunt_max*M694)-L737),MAX(0,IF($M$20&gt;0,Poche_min_exec*M694,0)-M731))-IF(M731&gt;Liq_cible*M694,MIN(L737,M731-Liq_cible*M694),0)</f>
        <v>0</v>
      </c>
      <c r="N732" s="73" t="n">
        <f aca="false">MIN(MAX(0,MIN($M$20*AN_cible,Emprunt_max*N694)-M737),MAX(0,IF($M$20&gt;0,Poche_min_exec*N694,0)-N731))-IF(N731&gt;Liq_cible*N694,MIN(M737,N731-Liq_cible*N694),0)</f>
        <v>0</v>
      </c>
      <c r="O732" s="73" t="n">
        <f aca="false">MIN(MAX(0,MIN($M$20*AN_cible,Emprunt_max*O694)-N737),MAX(0,IF($M$20&gt;0,Poche_min_exec*O694,0)-O731))-IF(O731&gt;Liq_cible*O694,MIN(N737,O731-Liq_cible*O694),0)</f>
        <v>0</v>
      </c>
    </row>
    <row r="733" customFormat="false" ht="15" hidden="false" customHeight="false" outlineLevel="0" collapsed="false">
      <c r="B733" s="65" t="s">
        <v>1060</v>
      </c>
      <c r="C733" s="25"/>
      <c r="D733" s="73" t="n">
        <f aca="false">MIN((C708+C709+C710+C711),MAX(0,-(D731+D732))/(1-Decote))</f>
        <v>0</v>
      </c>
      <c r="E733" s="73" t="n">
        <f aca="false">MIN((D708+D709+D710+D711),MAX(0,-(E731+E732))/(1-Decote))</f>
        <v>0</v>
      </c>
      <c r="F733" s="73" t="n">
        <f aca="false">MIN((E708+E709+E710+E711),MAX(0,-(F731+F732))/(1-Decote))</f>
        <v>0</v>
      </c>
      <c r="G733" s="73" t="n">
        <f aca="false">MIN((F708+F709+F710+F711),MAX(0,-(G731+G732))/(1-Decote))</f>
        <v>0</v>
      </c>
      <c r="H733" s="73" t="n">
        <f aca="false">MIN((G708+G709+G710+G711),MAX(0,-(H731+H732))/(1-Decote))</f>
        <v>0</v>
      </c>
      <c r="I733" s="73" t="n">
        <f aca="false">MIN((H708+H709+H710+H711),MAX(0,-(I731+I732))/(1-Decote))</f>
        <v>0</v>
      </c>
      <c r="J733" s="73" t="n">
        <f aca="false">MIN((I708+I709+I710+I711),MAX(0,-(J731+J732))/(1-Decote))</f>
        <v>0</v>
      </c>
      <c r="K733" s="73" t="n">
        <f aca="false">MIN((J708+J709+J710+J711),MAX(0,-(K731+K732))/(1-Decote))</f>
        <v>0</v>
      </c>
      <c r="L733" s="73" t="n">
        <f aca="false">MIN((K708+K709+K710+K711),MAX(0,-(L731+L732))/(1-Decote))</f>
        <v>0</v>
      </c>
      <c r="M733" s="73" t="n">
        <f aca="false">MIN((L708+L709+L710+L711),MAX(0,-(M731+M732))/(1-Decote))</f>
        <v>0</v>
      </c>
      <c r="N733" s="73" t="n">
        <f aca="false">MIN((M708+M709+M710+M711),MAX(0,-(N731+N732))/(1-Decote))</f>
        <v>0</v>
      </c>
      <c r="O733" s="73" t="n">
        <f aca="false">MIN((N708+N709+N710+N711),MAX(0,-(O731+O732))/(1-Decote))</f>
        <v>0</v>
      </c>
    </row>
    <row r="734" customFormat="false" ht="15" hidden="false" customHeight="false" outlineLevel="0" collapsed="false">
      <c r="B734" s="65" t="s">
        <v>1061</v>
      </c>
      <c r="C734" s="25"/>
      <c r="D734" s="73" t="n">
        <f aca="false">D733*Decote</f>
        <v>0</v>
      </c>
      <c r="E734" s="73" t="n">
        <f aca="false">E733*Decote</f>
        <v>0</v>
      </c>
      <c r="F734" s="73" t="n">
        <f aca="false">F733*Decote</f>
        <v>0</v>
      </c>
      <c r="G734" s="73" t="n">
        <f aca="false">G733*Decote</f>
        <v>0</v>
      </c>
      <c r="H734" s="73" t="n">
        <f aca="false">H733*Decote</f>
        <v>0</v>
      </c>
      <c r="I734" s="73" t="n">
        <f aca="false">I733*Decote</f>
        <v>0</v>
      </c>
      <c r="J734" s="73" t="n">
        <f aca="false">J733*Decote</f>
        <v>0</v>
      </c>
      <c r="K734" s="73" t="n">
        <f aca="false">K733*Decote</f>
        <v>0</v>
      </c>
      <c r="L734" s="73" t="n">
        <f aca="false">L733*Decote</f>
        <v>0</v>
      </c>
      <c r="M734" s="73" t="n">
        <f aca="false">M733*Decote</f>
        <v>0</v>
      </c>
      <c r="N734" s="73" t="n">
        <f aca="false">N733*Decote</f>
        <v>0</v>
      </c>
      <c r="O734" s="73" t="n">
        <f aca="false">O733*Decote</f>
        <v>0</v>
      </c>
    </row>
    <row r="735" customFormat="false" ht="15" hidden="false" customHeight="false" outlineLevel="0" collapsed="false">
      <c r="B735" s="65" t="s">
        <v>1062</v>
      </c>
      <c r="C735" s="25"/>
      <c r="D735" s="73" t="n">
        <f aca="false">IF(AND(D705&lt;0.000001,C737+D732&lt;0.000001),MAX(0,D731+D732-Seuil_reinv*D694),0)</f>
        <v>0</v>
      </c>
      <c r="E735" s="73" t="n">
        <f aca="false">IF(AND(E705&lt;0.000001,D737+E732&lt;0.000001),MAX(0,E731+E732-Seuil_reinv*E694),0)</f>
        <v>0</v>
      </c>
      <c r="F735" s="73" t="n">
        <f aca="false">IF(AND(F705&lt;0.000001,E737+F732&lt;0.000001),MAX(0,F731+F732-Seuil_reinv*F694),0)</f>
        <v>0</v>
      </c>
      <c r="G735" s="73" t="n">
        <f aca="false">IF(AND(G705&lt;0.000001,F737+G732&lt;0.000001),MAX(0,G731+G732-Seuil_reinv*G694),0)</f>
        <v>0</v>
      </c>
      <c r="H735" s="73" t="n">
        <f aca="false">IF(AND(H705&lt;0.000001,G737+H732&lt;0.000001),MAX(0,H731+H732-Seuil_reinv*H694),0)</f>
        <v>0</v>
      </c>
      <c r="I735" s="73" t="n">
        <f aca="false">IF(AND(I705&lt;0.000001,H737+I732&lt;0.000001),MAX(0,I731+I732-Seuil_reinv*I694),0)</f>
        <v>0</v>
      </c>
      <c r="J735" s="73" t="n">
        <f aca="false">IF(AND(J705&lt;0.000001,I737+J732&lt;0.000001),MAX(0,J731+J732-Seuil_reinv*J694),0)</f>
        <v>0</v>
      </c>
      <c r="K735" s="73" t="n">
        <f aca="false">IF(AND(K705&lt;0.000001,J737+K732&lt;0.000001),MAX(0,K731+K732-Seuil_reinv*K694),0)</f>
        <v>0</v>
      </c>
      <c r="L735" s="73" t="n">
        <f aca="false">IF(AND(L705&lt;0.000001,K737+L732&lt;0.000001),MAX(0,L731+L732-Seuil_reinv*L694),0)</f>
        <v>0</v>
      </c>
      <c r="M735" s="73" t="n">
        <f aca="false">IF(AND(M705&lt;0.000001,L737+M732&lt;0.000001),MAX(0,M731+M732-Seuil_reinv*M694),0)</f>
        <v>0</v>
      </c>
      <c r="N735" s="73" t="n">
        <f aca="false">IF(AND(N705&lt;0.000001,M737+N732&lt;0.000001),MAX(0,N731+N732-Seuil_reinv*N694),0)</f>
        <v>0</v>
      </c>
      <c r="O735" s="73" t="n">
        <f aca="false">IF(AND(O705&lt;0.000001,N737+O732&lt;0.000001),MAX(0,O731+O732-Seuil_reinv*O694),0)</f>
        <v>0</v>
      </c>
    </row>
    <row r="736" customFormat="false" ht="15" hidden="false" customHeight="false" outlineLevel="0" collapsed="false">
      <c r="B736" s="65" t="s">
        <v>1063</v>
      </c>
      <c r="C736" s="73" t="n">
        <f aca="false">AN_cible*Ws_LIQ</f>
        <v>7500000</v>
      </c>
      <c r="D736" s="73" t="n">
        <f aca="false">D731+D732+D733-D734-D735</f>
        <v>5739375</v>
      </c>
      <c r="E736" s="73" t="n">
        <f aca="false">E731+E732+E733-E734-E735</f>
        <v>6562891.4375</v>
      </c>
      <c r="F736" s="73" t="n">
        <f aca="false">F731+F732+F733-F734-F735</f>
        <v>4909430.45367109</v>
      </c>
      <c r="G736" s="73" t="n">
        <f aca="false">G731+G732+G733-G734-G735</f>
        <v>5659951.93568534</v>
      </c>
      <c r="H736" s="73" t="n">
        <f aca="false">H731+H732+H733-H734-H735</f>
        <v>4012380.04095581</v>
      </c>
      <c r="I736" s="73" t="n">
        <f aca="false">I731+I732+I733-I734-I735</f>
        <v>4721157.38504098</v>
      </c>
      <c r="J736" s="73" t="n">
        <f aca="false">J731+J732+J733-J734-J735</f>
        <v>3052969.10864954</v>
      </c>
      <c r="K736" s="73" t="n">
        <f aca="false">K731+K732+K733-K734-K735</f>
        <v>3699458.07298265</v>
      </c>
      <c r="L736" s="73" t="n">
        <f aca="false">L731+L732+L733-L734-L735</f>
        <v>4318465.23854271</v>
      </c>
      <c r="M736" s="73" t="n">
        <f aca="false">M731+M732+M733-M734-M735</f>
        <v>4911385.49862274</v>
      </c>
      <c r="N736" s="73" t="n">
        <f aca="false">N731+N732+N733-N734-N735</f>
        <v>5479562.85218514</v>
      </c>
      <c r="O736" s="73" t="n">
        <f aca="false">O731+O732+O733-O734-O735</f>
        <v>6024292.43555959</v>
      </c>
    </row>
    <row r="737" customFormat="false" ht="15" hidden="false" customHeight="false" outlineLevel="0" collapsed="false">
      <c r="B737" s="65" t="s">
        <v>1064</v>
      </c>
      <c r="C737" s="73" t="n">
        <v>0</v>
      </c>
      <c r="D737" s="73" t="n">
        <f aca="false">C737+D732</f>
        <v>0</v>
      </c>
      <c r="E737" s="73" t="n">
        <f aca="false">D737+E732</f>
        <v>0</v>
      </c>
      <c r="F737" s="73" t="n">
        <f aca="false">E737+F732</f>
        <v>0</v>
      </c>
      <c r="G737" s="73" t="n">
        <f aca="false">F737+G732</f>
        <v>0</v>
      </c>
      <c r="H737" s="73" t="n">
        <f aca="false">G737+H732</f>
        <v>0</v>
      </c>
      <c r="I737" s="73" t="n">
        <f aca="false">H737+I732</f>
        <v>0</v>
      </c>
      <c r="J737" s="73" t="n">
        <f aca="false">I737+J732</f>
        <v>0</v>
      </c>
      <c r="K737" s="73" t="n">
        <f aca="false">J737+K732</f>
        <v>0</v>
      </c>
      <c r="L737" s="73" t="n">
        <f aca="false">K737+L732</f>
        <v>0</v>
      </c>
      <c r="M737" s="73" t="n">
        <f aca="false">L737+M732</f>
        <v>0</v>
      </c>
      <c r="N737" s="73" t="n">
        <f aca="false">M737+N732</f>
        <v>0</v>
      </c>
      <c r="O737" s="73" t="n">
        <f aca="false">N737+O732</f>
        <v>0</v>
      </c>
    </row>
    <row r="738" customFormat="false" ht="15" hidden="false" customHeight="false" outlineLevel="0" collapsed="false">
      <c r="B738" s="74" t="s">
        <v>1065</v>
      </c>
      <c r="C738" s="73" t="n">
        <f aca="false">C708+C709+C710+C711+C736-C737</f>
        <v>50000000</v>
      </c>
      <c r="D738" s="73" t="n">
        <f aca="false">D708+D709+D710+D711+D736-D737</f>
        <v>48100643.75</v>
      </c>
      <c r="E738" s="73" t="n">
        <f aca="false">E708+E709+E710+E711+E736-E737</f>
        <v>48823151.7132813</v>
      </c>
      <c r="F738" s="73" t="n">
        <f aca="false">F708+F709+F710+F711+F736-F737</f>
        <v>47105173.9904901</v>
      </c>
      <c r="G738" s="73" t="n">
        <f aca="false">G708+G709+G710+G711+G736-G737</f>
        <v>47826489.4455393</v>
      </c>
      <c r="H738" s="73" t="n">
        <f aca="false">H708+H709+H710+H711+H736-H737</f>
        <v>46183889.2303444</v>
      </c>
      <c r="I738" s="73" t="n">
        <f aca="false">I708+I709+I710+I711+I736-I737</f>
        <v>46930729.0550004</v>
      </c>
      <c r="J738" s="73" t="n">
        <f aca="false">J708+J709+J710+J711+J736-J737</f>
        <v>45332651.4154555</v>
      </c>
      <c r="K738" s="73" t="n">
        <f aca="false">K708+K709+K710+K711+K736-K737</f>
        <v>46080299.0246774</v>
      </c>
      <c r="L738" s="73" t="n">
        <f aca="false">L708+L709+L710+L711+L736-L737</f>
        <v>46830553.4993366</v>
      </c>
      <c r="M738" s="73" t="n">
        <f aca="false">M708+M709+M710+M711+M736-M737</f>
        <v>47583889.5702456</v>
      </c>
      <c r="N738" s="73" t="n">
        <f aca="false">N708+N709+N710+N711+N736-N737</f>
        <v>48340768.6984106</v>
      </c>
      <c r="O738" s="73" t="n">
        <f aca="false">O708+O709+O710+O711+O736-O737</f>
        <v>49101639.613394</v>
      </c>
    </row>
    <row r="739" customFormat="false" ht="15" hidden="false" customHeight="false" outlineLevel="0" collapsed="false">
      <c r="B739" s="65" t="s">
        <v>1066</v>
      </c>
      <c r="C739" s="72" t="n">
        <f aca="false">IF((C738+C737)&gt;0,C736/(C738+C737),0)</f>
        <v>0.15</v>
      </c>
      <c r="D739" s="72" t="n">
        <f aca="false">IF((D738+D737)&gt;0,D736/(D738+D737),0)</f>
        <v>0.119320128641729</v>
      </c>
      <c r="E739" s="72" t="n">
        <f aca="false">IF((E738+E737)&gt;0,E736/(E738+E737),0)</f>
        <v>0.134421707882384</v>
      </c>
      <c r="F739" s="72" t="n">
        <f aca="false">IF((F738+F737)&gt;0,F736/(F738+F737),0)</f>
        <v>0.104222743231184</v>
      </c>
      <c r="G739" s="72" t="n">
        <f aca="false">IF((G738+G737)&gt;0,G736/(G738+G737),0)</f>
        <v>0.118343453623758</v>
      </c>
      <c r="H739" s="72" t="n">
        <f aca="false">IF((H738+H737)&gt;0,H736/(H738+H737),0)</f>
        <v>0.0868783488749479</v>
      </c>
      <c r="I739" s="72" t="n">
        <f aca="false">IF((I738+I737)&gt;0,I736/(I738+I737),0)</f>
        <v>0.100598424105196</v>
      </c>
      <c r="J739" s="72" t="n">
        <f aca="false">IF((J738+J737)&gt;0,J736/(J738+J737),0)</f>
        <v>0.0673459198463885</v>
      </c>
      <c r="K739" s="72" t="n">
        <f aca="false">IF((K738+K737)&gt;0,K736/(K738+K737),0)</f>
        <v>0.0802828573443387</v>
      </c>
      <c r="L739" s="72" t="n">
        <f aca="false">IF((L738+L737)&gt;0,L736/(L738+L737),0)</f>
        <v>0.0922146956602571</v>
      </c>
      <c r="M739" s="72" t="n">
        <f aca="false">IF((M738+M737)&gt;0,M736/(M738+M737),0)</f>
        <v>0.103215301291676</v>
      </c>
      <c r="N739" s="72" t="n">
        <f aca="false">IF((N738+N737)&gt;0,N736/(N738+N737),0)</f>
        <v>0.113352828259127</v>
      </c>
      <c r="O739" s="72" t="n">
        <f aca="false">IF((O738+O737)&gt;0,O736/(O738+O737),0)</f>
        <v>0.122690249918177</v>
      </c>
    </row>
    <row r="740" customFormat="false" ht="15" hidden="false" customHeight="false" outlineLevel="0" collapsed="false">
      <c r="B740" s="65" t="s">
        <v>1067</v>
      </c>
      <c r="C740" s="72" t="n">
        <f aca="false">0</f>
        <v>0</v>
      </c>
      <c r="D740" s="72" t="n">
        <f aca="false">IF(D738&gt;0,D705/D738,0)</f>
        <v>0.0259871781861547</v>
      </c>
      <c r="E740" s="72" t="n">
        <f aca="false">IF(E738&gt;0,E705/E738,0)</f>
        <v>0.0256026077001491</v>
      </c>
      <c r="F740" s="72" t="n">
        <f aca="false">IF(F738&gt;0,F705/F738,0)</f>
        <v>0.0524481406932243</v>
      </c>
      <c r="G740" s="72" t="n">
        <f aca="false">IF(G738&gt;0,G705/G738,0)</f>
        <v>0.0516571218476178</v>
      </c>
      <c r="H740" s="72" t="n">
        <f aca="false">IF(H738&gt;0,H705/H738,0)</f>
        <v>0.0793835488969965</v>
      </c>
      <c r="I740" s="72" t="n">
        <f aca="false">IF(I738&gt;0,I705/I738,0)</f>
        <v>0.0781202658214379</v>
      </c>
      <c r="J740" s="72" t="n">
        <f aca="false">IF(J738&gt;0,J705/J738,0)</f>
        <v>0.10675548648133</v>
      </c>
      <c r="K740" s="72" t="n">
        <f aca="false">IF(K738&gt;0,K705/K738,0)</f>
        <v>0.105023390858506</v>
      </c>
      <c r="L740" s="72" t="n">
        <f aca="false">IF(L738&gt;0,L705/L738,0)</f>
        <v>0.177139304627562</v>
      </c>
      <c r="M740" s="72" t="n">
        <f aca="false">IF(M738&gt;0,M705/M738,0)</f>
        <v>0.174334880084783</v>
      </c>
      <c r="N740" s="72" t="n">
        <f aca="false">IF(N738&gt;0,N705/N738,0)</f>
        <v>0.171605291052583</v>
      </c>
      <c r="O740" s="72" t="n">
        <f aca="false">IF(O738&gt;0,O705/O738,0)</f>
        <v>0.168946123744786</v>
      </c>
    </row>
    <row r="741" customFormat="false" ht="15" hidden="false" customHeight="false" outlineLevel="0" collapsed="false">
      <c r="B741" s="65" t="s">
        <v>1068</v>
      </c>
      <c r="C741" s="75" t="n">
        <f aca="false">IF((C705+SUM(D696:G696)+SUM(D726:G726)+SUM(D727:G727)+SUM(D725:G725))&lt;=0,9.99,MIN(9.99,(C736+SUM(D724:G724)+SUM(D720:G721)+MAX(0,MIN($M$20*AN_cible,Emprunt_max*C738)-C737))/(C705+SUM(D696:G696)+SUM(D726:G726)+SUM(D727:G727)+SUM(D725:G725))))</f>
        <v>1.27572978894142</v>
      </c>
      <c r="D741" s="73" t="n">
        <f aca="false">IF((D705+SUM(E696:H696)+SUM(E726:H726)+SUM(E727:H727)+SUM(E725:H725))&lt;=0,9.99,MIN(9.99,(D736+SUM(E724:H724)+SUM(E720:H721)+MAX(0,MIN($M$20*AN_cible,Emprunt_max*D738)-D737))/(D705+SUM(E696:H696)+SUM(E726:H726)+SUM(E727:H727)+SUM(E725:H725))))</f>
        <v>1.01699207228103</v>
      </c>
      <c r="E741" s="73" t="n">
        <f aca="false">IF((E705+SUM(F696:I696)+SUM(F726:I726)+SUM(F727:I727)+SUM(F725:I725))&lt;=0,9.99,MIN(9.99,(E736+SUM(F724:I724)+SUM(F720:I721)+MAX(0,MIN($M$20*AN_cible,Emprunt_max*E738)-E737))/(E705+SUM(F696:I696)+SUM(F726:I726)+SUM(F727:I727)+SUM(F725:I725))))</f>
        <v>1.0772288328745</v>
      </c>
      <c r="F741" s="73" t="n">
        <f aca="false">IF((F705+SUM(G696:J696)+SUM(G726:J726)+SUM(G727:J727)+SUM(G725:J725))&lt;=0,9.99,MIN(9.99,(F736+SUM(G724:J724)+SUM(G720:J721)+MAX(0,MIN($M$20*AN_cible,Emprunt_max*F738)-F737))/(F705+SUM(G696:J696)+SUM(G726:J726)+SUM(G727:J727)+SUM(G725:J725))))</f>
        <v>0.853491952222861</v>
      </c>
      <c r="G741" s="73" t="n">
        <f aca="false">IF((G705+SUM(H696:K696)+SUM(H726:K726)+SUM(H727:K727)+SUM(H725:K725))&lt;=0,9.99,MIN(9.99,(G736+SUM(H724:K724)+SUM(H720:K721)+MAX(0,MIN($M$20*AN_cible,Emprunt_max*G738)-G737))/(G705+SUM(H696:K696)+SUM(H726:K726)+SUM(H727:K727)+SUM(H725:K725))))</f>
        <v>0.903980581815278</v>
      </c>
      <c r="H741" s="73" t="n">
        <f aca="false">IF((H705+SUM(I696:L696)+SUM(I726:L726)+SUM(I727:L727)+SUM(I725:L725))&lt;=0,9.99,MIN(9.99,(H736+SUM(I724:L724)+SUM(I720:L721)+MAX(0,MIN($M$20*AN_cible,Emprunt_max*H738)-H737))/(H705+SUM(I696:L696)+SUM(I726:L726)+SUM(I727:L727)+SUM(I725:L725))))</f>
        <v>0.71034917269814</v>
      </c>
      <c r="I741" s="73" t="n">
        <f aca="false">IF((I705+SUM(J696:M696)+SUM(J726:M726)+SUM(J727:M727)+SUM(J725:M725))&lt;=0,9.99,MIN(9.99,(I736+SUM(J724:M724)+SUM(J720:M721)+MAX(0,MIN($M$20*AN_cible,Emprunt_max*I738)-I737))/(I705+SUM(J696:M696)+SUM(J726:M726)+SUM(J727:M727)+SUM(J725:M725))))</f>
        <v>0.752426675961254</v>
      </c>
      <c r="J741" s="73" t="n">
        <f aca="false">IF((J705+SUM(K696:N696)+SUM(K726:N726)+SUM(K727:N727)+SUM(K725:N725))&lt;=0,9.99,MIN(9.99,(J736+SUM(K724:N724)+SUM(K720:N721)+MAX(0,MIN($M$20*AN_cible,Emprunt_max*J738)-J737))/(J705+SUM(K696:N696)+SUM(K726:N726)+SUM(K727:N727)+SUM(K725:N725))))</f>
        <v>0.751305716680777</v>
      </c>
      <c r="K741" s="73" t="n">
        <f aca="false">IF((K705+SUM(L696:O696)+SUM(L726:O726)+SUM(L727:O727)+SUM(L725:O725))&lt;=0,9.99,MIN(9.99,(K736+SUM(L724:O724)+SUM(L720:O721)+MAX(0,MIN($M$20*AN_cible,Emprunt_max*K738)-K737))/(K705+SUM(L696:O696)+SUM(L726:O726)+SUM(L727:O727)+SUM(L725:O725))))</f>
        <v>0.796733066677984</v>
      </c>
      <c r="L741" s="73" t="n">
        <f aca="false">IF((L705+SUM(M696:O696)+SUM(M726:O726)+SUM(M727:O727)+SUM(M725:O725))&lt;=0,9.99,MIN(9.99,(L736+SUM(M724:O724)+SUM(M720:O721)+MAX(0,MIN($M$20*AN_cible,Emprunt_max*L738)-L737))/(L705+SUM(M696:O696)+SUM(M726:O726)+SUM(M727:O727)+SUM(M725:O725))))</f>
        <v>0.782882555528958</v>
      </c>
      <c r="M741" s="73" t="n">
        <f aca="false">IF((M705+SUM(N696:O696)+SUM(N726:O726)+SUM(N727:O727)+SUM(N725:O725))&lt;=0,9.99,MIN(9.99,(M736+SUM(N724:O724)+SUM(N720:O721)+MAX(0,MIN($M$20*AN_cible,Emprunt_max*M738)-M737))/(M705+SUM(N696:O696)+SUM(N726:O726)+SUM(N727:O727)+SUM(N725:O725))))</f>
        <v>0.766967924187166</v>
      </c>
      <c r="N741" s="73" t="n">
        <f aca="false">IF((N705+SUM(O696:O696)+SUM(O726:O726)+SUM(O727:O727)+SUM(O725:O725))&lt;=0,9.99,MIN(9.99,(N736+SUM(O724:O724)+SUM(O720:O721)+MAX(0,MIN($M$20*AN_cible,Emprunt_max*N738)-N737))/(N705+SUM(O696:O696)+SUM(O726:O726)+SUM(O727:O727)+SUM(O725:O725))))</f>
        <v>0.748370743362911</v>
      </c>
      <c r="O741" s="73" t="n">
        <f aca="false">9.99</f>
        <v>9.99</v>
      </c>
    </row>
    <row r="742" customFormat="false" ht="15" hidden="false" customHeight="false" outlineLevel="0" collapsed="false">
      <c r="B742" s="65" t="s">
        <v>1069</v>
      </c>
      <c r="C742" s="72" t="n">
        <f aca="false">(C708+C709+C710+C711+C716+C717)/C738</f>
        <v>1</v>
      </c>
      <c r="D742" s="72" t="n">
        <f aca="false">(D708+D709+D710+D711+D716+D717)/D738</f>
        <v>1.02360935138212</v>
      </c>
      <c r="E742" s="72" t="n">
        <f aca="false">(E708+E709+E710+E711+E716+E717)/E738</f>
        <v>0.993591330618362</v>
      </c>
      <c r="F742" s="72" t="n">
        <f aca="false">(F708+F709+F710+F711+F716+F717)/F738</f>
        <v>1.01519089063281</v>
      </c>
      <c r="G742" s="72" t="n">
        <f aca="false">(G708+G709+G710+G711+G716+G717)/G738</f>
        <v>0.986201121108067</v>
      </c>
      <c r="H742" s="72" t="n">
        <f aca="false">(H708+H709+H710+H711+H716+H717)/H738</f>
        <v>1.00785165487548</v>
      </c>
      <c r="I742" s="72" t="n">
        <f aca="false">(I708+I709+I710+I711+I716+I717)/I738</f>
        <v>0.979306577916085</v>
      </c>
      <c r="J742" s="72" t="n">
        <f aca="false">(J708+J709+J710+J711+J716+J717)/J738</f>
        <v>1.0015889406223</v>
      </c>
      <c r="K742" s="72" t="n">
        <f aca="false">(K708+K709+K710+K711+K716+K717)/K738</f>
        <v>0.97397026281578</v>
      </c>
      <c r="L742" s="72" t="n">
        <f aca="false">(L708+L709+L710+L711+L716+L717)/L738</f>
        <v>0.947823268017165</v>
      </c>
      <c r="M742" s="72" t="n">
        <f aca="false">(M708+M709+M710+M711+M716+M717)/M738</f>
        <v>0.923054093902567</v>
      </c>
      <c r="N742" s="72" t="n">
        <f aca="false">(N708+N709+N710+N711+N716+N717)/N738</f>
        <v>0.899576217282107</v>
      </c>
      <c r="O742" s="72" t="n">
        <f aca="false">(O708+O709+O710+O711+O716+O717)/O738</f>
        <v>0.877309750081823</v>
      </c>
    </row>
    <row r="743" customFormat="false" ht="15" hidden="false" customHeight="false" outlineLevel="0" collapsed="false">
      <c r="B743" s="65" t="s">
        <v>849</v>
      </c>
      <c r="C743" s="72" t="n">
        <f aca="false">(C738+C737)/C738</f>
        <v>1</v>
      </c>
      <c r="D743" s="72" t="n">
        <f aca="false">(D738+D737)/D738</f>
        <v>1</v>
      </c>
      <c r="E743" s="72" t="n">
        <f aca="false">(E738+E737)/E738</f>
        <v>1</v>
      </c>
      <c r="F743" s="72" t="n">
        <f aca="false">(F738+F737)/F738</f>
        <v>1</v>
      </c>
      <c r="G743" s="72" t="n">
        <f aca="false">(G738+G737)/G738</f>
        <v>1</v>
      </c>
      <c r="H743" s="72" t="n">
        <f aca="false">(H738+H737)/H738</f>
        <v>1</v>
      </c>
      <c r="I743" s="72" t="n">
        <f aca="false">(I738+I737)/I738</f>
        <v>1</v>
      </c>
      <c r="J743" s="72" t="n">
        <f aca="false">(J738+J737)/J738</f>
        <v>1</v>
      </c>
      <c r="K743" s="72" t="n">
        <f aca="false">(K738+K737)/K738</f>
        <v>1</v>
      </c>
      <c r="L743" s="72" t="n">
        <f aca="false">(L738+L737)/L738</f>
        <v>1</v>
      </c>
      <c r="M743" s="72" t="n">
        <f aca="false">(M738+M737)/M738</f>
        <v>1</v>
      </c>
      <c r="N743" s="72" t="n">
        <f aca="false">(N738+N737)/N738</f>
        <v>1</v>
      </c>
      <c r="O743" s="72" t="n">
        <f aca="false">(O738+O737)/O738</f>
        <v>1</v>
      </c>
    </row>
    <row r="744" customFormat="false" ht="15" hidden="false" customHeight="false" outlineLevel="0" collapsed="false">
      <c r="B744" s="65" t="s">
        <v>1070</v>
      </c>
      <c r="C744" s="72" t="n">
        <f aca="false">(C708+C709*MSIG_USD)/C738</f>
        <v>0.25</v>
      </c>
      <c r="D744" s="72" t="n">
        <f aca="false">(D708+D709*MSIG_USD)/D738</f>
        <v>0.269675444832274</v>
      </c>
      <c r="E744" s="72" t="n">
        <f aca="false">(E708+E709*MSIG_USD)/E738</f>
        <v>0.27541785707076</v>
      </c>
      <c r="F744" s="72" t="n">
        <f aca="false">(F708+F709*MSIG_USD)/F738</f>
        <v>0.295628758414858</v>
      </c>
      <c r="G744" s="72" t="n">
        <f aca="false">(G708+G709*MSIG_USD)/G738</f>
        <v>0.301260240286235</v>
      </c>
      <c r="H744" s="72" t="n">
        <f aca="false">(H708+H709*MSIG_USD)/H738</f>
        <v>0.3225047402423</v>
      </c>
      <c r="I744" s="72" t="n">
        <f aca="false">(I708+I709*MSIG_USD)/I738</f>
        <v>0.327814711194842</v>
      </c>
      <c r="J744" s="72" t="n">
        <f aca="false">(J708+J709*MSIG_USD)/J738</f>
        <v>0.350264738598829</v>
      </c>
      <c r="K744" s="72" t="n">
        <f aca="false">(K708+K709*MSIG_USD)/K738</f>
        <v>0.355381594975843</v>
      </c>
      <c r="L744" s="72" t="n">
        <f aca="false">(L708+L709*MSIG_USD)/L738</f>
        <v>0.360397095479821</v>
      </c>
      <c r="M744" s="72" t="n">
        <f aca="false">(M708+M709*MSIG_USD)/M738</f>
        <v>0.365312189541524</v>
      </c>
      <c r="N744" s="72" t="n">
        <f aca="false">(N708+N709*MSIG_USD)/N738</f>
        <v>0.370127717215834</v>
      </c>
      <c r="O744" s="72" t="n">
        <f aca="false">(O708+O709*MSIG_USD)/O738</f>
        <v>0.374844428976344</v>
      </c>
    </row>
    <row r="745" customFormat="false" ht="15" hidden="false" customHeight="false" outlineLevel="0" collapsed="false">
      <c r="B745" s="65" t="s">
        <v>1071</v>
      </c>
      <c r="C745" s="25"/>
      <c r="D745" s="65" t="n">
        <f aca="false">IF(AND($M$9&lt;0.5*Collecte_norm,IF(D689&lt;=$M$11,0,$M$10)&lt;0.5,IF(D689&lt;=4,$M$17,($M$18+$M$19)/2)&lt;0.7),1,0)</f>
        <v>0</v>
      </c>
      <c r="E745" s="65" t="n">
        <f aca="false">IF(AND($M$9&lt;0.5*Collecte_norm,IF(E689&lt;=$M$11,0,$M$10)&lt;0.5,IF(E689&lt;=4,$M$17,($M$18+$M$19)/2)&lt;0.7),1,0)</f>
        <v>0</v>
      </c>
      <c r="F745" s="65" t="n">
        <f aca="false">IF(AND($M$9&lt;0.5*Collecte_norm,IF(F689&lt;=$M$11,0,$M$10)&lt;0.5,IF(F689&lt;=4,$M$17,($M$18+$M$19)/2)&lt;0.7),1,0)</f>
        <v>0</v>
      </c>
      <c r="G745" s="65" t="n">
        <f aca="false">IF(AND($M$9&lt;0.5*Collecte_norm,IF(G689&lt;=$M$11,0,$M$10)&lt;0.5,IF(G689&lt;=4,$M$17,($M$18+$M$19)/2)&lt;0.7),1,0)</f>
        <v>0</v>
      </c>
      <c r="H745" s="65" t="n">
        <f aca="false">IF(AND($M$9&lt;0.5*Collecte_norm,IF(H689&lt;=$M$11,0,$M$10)&lt;0.5,IF(H689&lt;=4,$M$17,($M$18+$M$19)/2)&lt;0.7),1,0)</f>
        <v>0</v>
      </c>
      <c r="I745" s="65" t="n">
        <f aca="false">IF(AND($M$9&lt;0.5*Collecte_norm,IF(I689&lt;=$M$11,0,$M$10)&lt;0.5,IF(I689&lt;=4,$M$17,($M$18+$M$19)/2)&lt;0.7),1,0)</f>
        <v>0</v>
      </c>
      <c r="J745" s="65" t="n">
        <f aca="false">IF(AND($M$9&lt;0.5*Collecte_norm,IF(J689&lt;=$M$11,0,$M$10)&lt;0.5,IF(J689&lt;=4,$M$17,($M$18+$M$19)/2)&lt;0.7),1,0)</f>
        <v>0</v>
      </c>
      <c r="K745" s="65" t="n">
        <f aca="false">IF(AND($M$9&lt;0.5*Collecte_norm,IF(K689&lt;=$M$11,0,$M$10)&lt;0.5,IF(K689&lt;=4,$M$17,($M$18+$M$19)/2)&lt;0.7),1,0)</f>
        <v>0</v>
      </c>
      <c r="L745" s="65" t="n">
        <f aca="false">IF(AND($M$9&lt;0.5*Collecte_norm,IF(L689&lt;=$M$11,0,$M$10)&lt;0.5,IF(L689&lt;=4,$M$17,($M$18+$M$19)/2)&lt;0.7),1,0)</f>
        <v>0</v>
      </c>
      <c r="M745" s="65" t="n">
        <f aca="false">IF(AND($M$9&lt;0.5*Collecte_norm,IF(M689&lt;=$M$11,0,$M$10)&lt;0.5,IF(M689&lt;=4,$M$17,($M$18+$M$19)/2)&lt;0.7),1,0)</f>
        <v>0</v>
      </c>
      <c r="N745" s="65" t="n">
        <f aca="false">IF(AND($M$9&lt;0.5*Collecte_norm,IF(N689&lt;=$M$11,0,$M$10)&lt;0.5,IF(N689&lt;=4,$M$17,($M$18+$M$19)/2)&lt;0.7),1,0)</f>
        <v>0</v>
      </c>
      <c r="O745" s="65" t="n">
        <f aca="false">IF(AND($M$9&lt;0.5*Collecte_norm,IF(O689&lt;=$M$11,0,$M$10)&lt;0.5,IF(O689&lt;=4,$M$17,($M$18+$M$19)/2)&lt;0.7),1,0)</f>
        <v>0</v>
      </c>
    </row>
    <row r="746" customFormat="false" ht="15" hidden="false" customHeight="false" outlineLevel="0" collapsed="false">
      <c r="B746" s="76" t="s">
        <v>1072</v>
      </c>
      <c r="C746" s="76" t="n">
        <v>99</v>
      </c>
      <c r="D746" s="76" t="n">
        <f aca="false">IF(D706=1,D692,99)</f>
        <v>1</v>
      </c>
      <c r="E746" s="76" t="n">
        <f aca="false">IF(E706=1,E692,99)</f>
        <v>99</v>
      </c>
      <c r="F746" s="76" t="n">
        <f aca="false">IF(F706=1,F692,99)</f>
        <v>2</v>
      </c>
      <c r="G746" s="76" t="n">
        <f aca="false">IF(G706=1,G692,99)</f>
        <v>99</v>
      </c>
      <c r="H746" s="76" t="n">
        <f aca="false">IF(H706=1,H692,99)</f>
        <v>3</v>
      </c>
      <c r="I746" s="76" t="n">
        <f aca="false">IF(I706=1,I692,99)</f>
        <v>99</v>
      </c>
      <c r="J746" s="76" t="n">
        <f aca="false">IF(J706=1,J692,99)</f>
        <v>4</v>
      </c>
      <c r="K746" s="76" t="n">
        <f aca="false">IF(K706=1,K692,99)</f>
        <v>99</v>
      </c>
      <c r="L746" s="76" t="n">
        <f aca="false">IF(L706=1,L692,99)</f>
        <v>99</v>
      </c>
      <c r="M746" s="76" t="n">
        <f aca="false">IF(M706=1,M692,99)</f>
        <v>99</v>
      </c>
      <c r="N746" s="76" t="n">
        <f aca="false">IF(N706=1,N692,99)</f>
        <v>99</v>
      </c>
      <c r="O746" s="76" t="n">
        <f aca="false">IF(O706=1,O692,99)</f>
        <v>99</v>
      </c>
    </row>
    <row r="747" customFormat="false" ht="15" hidden="false" customHeight="false" outlineLevel="0" collapsed="false">
      <c r="B747" s="76" t="s">
        <v>1073</v>
      </c>
      <c r="C747" s="76" t="n">
        <v>99</v>
      </c>
      <c r="D747" s="76" t="n">
        <f aca="false">IF(AND(D691=1,D692&gt;MIN($D746:$O746),D705&lt;=0.000001),D692,99)</f>
        <v>99</v>
      </c>
      <c r="E747" s="76" t="n">
        <f aca="false">IF(AND(E691=1,E692&gt;MIN($D746:$O746),E705&lt;=0.000001),E692,99)</f>
        <v>99</v>
      </c>
      <c r="F747" s="76" t="n">
        <f aca="false">IF(AND(F691=1,F692&gt;MIN($D746:$O746),F705&lt;=0.000001),F692,99)</f>
        <v>99</v>
      </c>
      <c r="G747" s="76" t="n">
        <f aca="false">IF(AND(G691=1,G692&gt;MIN($D746:$O746),G705&lt;=0.000001),G692,99)</f>
        <v>99</v>
      </c>
      <c r="H747" s="76" t="n">
        <f aca="false">IF(AND(H691=1,H692&gt;MIN($D746:$O746),H705&lt;=0.000001),H692,99)</f>
        <v>99</v>
      </c>
      <c r="I747" s="76" t="n">
        <f aca="false">IF(AND(I691=1,I692&gt;MIN($D746:$O746),I705&lt;=0.000001),I692,99)</f>
        <v>99</v>
      </c>
      <c r="J747" s="76" t="n">
        <f aca="false">IF(AND(J691=1,J692&gt;MIN($D746:$O746),J705&lt;=0.000001),J692,99)</f>
        <v>99</v>
      </c>
      <c r="K747" s="76" t="n">
        <f aca="false">IF(AND(K691=1,K692&gt;MIN($D746:$O746),K705&lt;=0.000001),K692,99)</f>
        <v>99</v>
      </c>
      <c r="L747" s="76" t="n">
        <f aca="false">IF(AND(L691=1,L692&gt;MIN($D746:$O746),L705&lt;=0.000001),L692,99)</f>
        <v>99</v>
      </c>
      <c r="M747" s="76" t="n">
        <f aca="false">IF(AND(M691=1,M692&gt;MIN($D746:$O746),M705&lt;=0.000001),M692,99)</f>
        <v>99</v>
      </c>
      <c r="N747" s="76" t="n">
        <f aca="false">IF(AND(N691=1,N692&gt;MIN($D746:$O746),N705&lt;=0.000001),N692,99)</f>
        <v>99</v>
      </c>
      <c r="O747" s="76" t="n">
        <f aca="false">IF(AND(O691=1,O692&gt;MIN($D746:$O746),O705&lt;=0.000001),O692,99)</f>
        <v>99</v>
      </c>
    </row>
    <row r="748" customFormat="false" ht="15" hidden="false" customHeight="false" outlineLevel="0" collapsed="false">
      <c r="B748" s="76" t="s">
        <v>1074</v>
      </c>
      <c r="C748" s="76" t="n">
        <v>9999999</v>
      </c>
      <c r="D748" s="76" t="n">
        <f aca="false">IF(D703=1,D690,9999999)</f>
        <v>9999999</v>
      </c>
      <c r="E748" s="76" t="n">
        <f aca="false">IF(E703=1,E690,9999999)</f>
        <v>9999999</v>
      </c>
      <c r="F748" s="76" t="n">
        <f aca="false">IF(F703=1,F690,9999999)</f>
        <v>9999999</v>
      </c>
      <c r="G748" s="76" t="n">
        <f aca="false">IF(G703=1,G690,9999999)</f>
        <v>9999999</v>
      </c>
      <c r="H748" s="76" t="n">
        <f aca="false">IF(H703=1,H690,9999999)</f>
        <v>9999999</v>
      </c>
      <c r="I748" s="76" t="n">
        <f aca="false">IF(I703=1,I690,9999999)</f>
        <v>9999999</v>
      </c>
      <c r="J748" s="76" t="n">
        <f aca="false">IF(J703=1,J690,9999999)</f>
        <v>9999999</v>
      </c>
      <c r="K748" s="76" t="n">
        <f aca="false">IF(K703=1,K690,9999999)</f>
        <v>9999999</v>
      </c>
      <c r="L748" s="77" t="n">
        <f aca="false">IF(L703=1,L690,9999999)</f>
        <v>47848</v>
      </c>
      <c r="M748" s="77" t="n">
        <f aca="false">IF(M703=1,M690,9999999)</f>
        <v>47938</v>
      </c>
      <c r="N748" s="77" t="n">
        <f aca="false">IF(N703=1,N690,9999999)</f>
        <v>48029</v>
      </c>
      <c r="O748" s="77" t="n">
        <f aca="false">IF(O703=1,O690,9999999)</f>
        <v>48121</v>
      </c>
    </row>
    <row r="749" customFormat="false" ht="15" hidden="false" customHeight="false" outlineLevel="0" collapsed="false">
      <c r="B749" s="76" t="s">
        <v>1075</v>
      </c>
      <c r="C749" s="76" t="n">
        <v>9999999</v>
      </c>
      <c r="D749" s="76" t="n">
        <f aca="false">IF(D745=1,D690,9999999)</f>
        <v>9999999</v>
      </c>
      <c r="E749" s="76" t="n">
        <f aca="false">IF(E745=1,E690,9999999)</f>
        <v>9999999</v>
      </c>
      <c r="F749" s="76" t="n">
        <f aca="false">IF(F745=1,F690,9999999)</f>
        <v>9999999</v>
      </c>
      <c r="G749" s="76" t="n">
        <f aca="false">IF(G745=1,G690,9999999)</f>
        <v>9999999</v>
      </c>
      <c r="H749" s="76" t="n">
        <f aca="false">IF(H745=1,H690,9999999)</f>
        <v>9999999</v>
      </c>
      <c r="I749" s="76" t="n">
        <f aca="false">IF(I745=1,I690,9999999)</f>
        <v>9999999</v>
      </c>
      <c r="J749" s="76" t="n">
        <f aca="false">IF(J745=1,J690,9999999)</f>
        <v>9999999</v>
      </c>
      <c r="K749" s="76" t="n">
        <f aca="false">IF(K745=1,K690,9999999)</f>
        <v>9999999</v>
      </c>
      <c r="L749" s="76" t="n">
        <f aca="false">IF(L745=1,L690,9999999)</f>
        <v>9999999</v>
      </c>
      <c r="M749" s="76" t="n">
        <f aca="false">IF(M745=1,M690,9999999)</f>
        <v>9999999</v>
      </c>
      <c r="N749" s="76" t="n">
        <f aca="false">IF(N745=1,N690,9999999)</f>
        <v>9999999</v>
      </c>
      <c r="O749" s="76" t="n">
        <f aca="false">IF(O745=1,O690,9999999)</f>
        <v>9999999</v>
      </c>
    </row>
    <row r="754" customFormat="false" ht="15" hidden="false" customHeight="false" outlineLevel="0" collapsed="false">
      <c r="B754" s="45" t="str">
        <f aca="false">N$5</f>
        <v>Rachats persistants 10 % par date</v>
      </c>
      <c r="C754" s="45" t="s">
        <v>55</v>
      </c>
      <c r="D754" s="45" t="n">
        <v>12</v>
      </c>
      <c r="E754" s="2"/>
      <c r="F754" s="2"/>
      <c r="G754" s="2"/>
      <c r="H754" s="2"/>
      <c r="I754" s="2"/>
      <c r="J754" s="2"/>
      <c r="K754" s="2"/>
      <c r="L754" s="2"/>
      <c r="M754" s="2"/>
      <c r="N754" s="2"/>
      <c r="O754" s="2"/>
    </row>
    <row r="755" customFormat="false" ht="15" hidden="false" customHeight="false" outlineLevel="0" collapsed="false">
      <c r="B755" s="65" t="s">
        <v>1019</v>
      </c>
      <c r="C755" s="65" t="n">
        <v>0</v>
      </c>
      <c r="D755" s="65" t="n">
        <v>1</v>
      </c>
      <c r="E755" s="65" t="n">
        <v>2</v>
      </c>
      <c r="F755" s="65" t="n">
        <v>3</v>
      </c>
      <c r="G755" s="65" t="n">
        <v>4</v>
      </c>
      <c r="H755" s="65" t="n">
        <v>5</v>
      </c>
      <c r="I755" s="65" t="n">
        <v>6</v>
      </c>
      <c r="J755" s="65" t="n">
        <v>7</v>
      </c>
      <c r="K755" s="65" t="n">
        <v>8</v>
      </c>
      <c r="L755" s="65" t="n">
        <v>9</v>
      </c>
      <c r="M755" s="65" t="n">
        <v>10</v>
      </c>
      <c r="N755" s="65" t="n">
        <v>11</v>
      </c>
      <c r="O755" s="65" t="n">
        <v>12</v>
      </c>
    </row>
    <row r="756" customFormat="false" ht="15" hidden="false" customHeight="false" outlineLevel="0" collapsed="false">
      <c r="B756" s="65" t="s">
        <v>209</v>
      </c>
      <c r="C756" s="71" t="n">
        <f aca="false">Date_depart</f>
        <v>47026</v>
      </c>
      <c r="D756" s="71" t="n">
        <f aca="false">EOMONTH(Date_depart,3*D755)</f>
        <v>47118</v>
      </c>
      <c r="E756" s="71" t="n">
        <f aca="false">EOMONTH(Date_depart,3*E755)</f>
        <v>47208</v>
      </c>
      <c r="F756" s="71" t="n">
        <f aca="false">EOMONTH(Date_depart,3*F755)</f>
        <v>47299</v>
      </c>
      <c r="G756" s="71" t="n">
        <f aca="false">EOMONTH(Date_depart,3*G755)</f>
        <v>47391</v>
      </c>
      <c r="H756" s="71" t="n">
        <f aca="false">EOMONTH(Date_depart,3*H755)</f>
        <v>47483</v>
      </c>
      <c r="I756" s="71" t="n">
        <f aca="false">EOMONTH(Date_depart,3*I755)</f>
        <v>47573</v>
      </c>
      <c r="J756" s="71" t="n">
        <f aca="false">EOMONTH(Date_depart,3*J755)</f>
        <v>47664</v>
      </c>
      <c r="K756" s="71" t="n">
        <f aca="false">EOMONTH(Date_depart,3*K755)</f>
        <v>47756</v>
      </c>
      <c r="L756" s="71" t="n">
        <f aca="false">EOMONTH(Date_depart,3*L755)</f>
        <v>47848</v>
      </c>
      <c r="M756" s="71" t="n">
        <f aca="false">EOMONTH(Date_depart,3*M755)</f>
        <v>47938</v>
      </c>
      <c r="N756" s="71" t="n">
        <f aca="false">EOMONTH(Date_depart,3*N755)</f>
        <v>48029</v>
      </c>
      <c r="O756" s="71" t="n">
        <f aca="false">EOMONTH(Date_depart,3*O755)</f>
        <v>48121</v>
      </c>
    </row>
    <row r="757" customFormat="false" ht="15" hidden="false" customHeight="false" outlineLevel="0" collapsed="false">
      <c r="B757" s="65" t="s">
        <v>1020</v>
      </c>
      <c r="C757" s="65" t="n">
        <v>0</v>
      </c>
      <c r="D757" s="65" t="n">
        <f aca="false">IF(OR(MONTH(D756)=6,MONTH(D756)=12),1,0)</f>
        <v>1</v>
      </c>
      <c r="E757" s="65" t="n">
        <f aca="false">IF(OR(MONTH(E756)=6,MONTH(E756)=12),1,0)</f>
        <v>0</v>
      </c>
      <c r="F757" s="65" t="n">
        <f aca="false">IF(OR(MONTH(F756)=6,MONTH(F756)=12),1,0)</f>
        <v>1</v>
      </c>
      <c r="G757" s="65" t="n">
        <f aca="false">IF(OR(MONTH(G756)=6,MONTH(G756)=12),1,0)</f>
        <v>0</v>
      </c>
      <c r="H757" s="65" t="n">
        <f aca="false">IF(OR(MONTH(H756)=6,MONTH(H756)=12),1,0)</f>
        <v>1</v>
      </c>
      <c r="I757" s="65" t="n">
        <f aca="false">IF(OR(MONTH(I756)=6,MONTH(I756)=12),1,0)</f>
        <v>0</v>
      </c>
      <c r="J757" s="65" t="n">
        <f aca="false">IF(OR(MONTH(J756)=6,MONTH(J756)=12),1,0)</f>
        <v>1</v>
      </c>
      <c r="K757" s="65" t="n">
        <f aca="false">IF(OR(MONTH(K756)=6,MONTH(K756)=12),1,0)</f>
        <v>0</v>
      </c>
      <c r="L757" s="65" t="n">
        <f aca="false">IF(OR(MONTH(L756)=6,MONTH(L756)=12),1,0)</f>
        <v>1</v>
      </c>
      <c r="M757" s="65" t="n">
        <f aca="false">IF(OR(MONTH(M756)=6,MONTH(M756)=12),1,0)</f>
        <v>0</v>
      </c>
      <c r="N757" s="65" t="n">
        <f aca="false">IF(OR(MONTH(N756)=6,MONTH(N756)=12),1,0)</f>
        <v>1</v>
      </c>
      <c r="O757" s="65" t="n">
        <f aca="false">IF(OR(MONTH(O756)=6,MONTH(O756)=12),1,0)</f>
        <v>0</v>
      </c>
    </row>
    <row r="758" customFormat="false" ht="15" hidden="false" customHeight="false" outlineLevel="0" collapsed="false">
      <c r="B758" s="65" t="s">
        <v>1021</v>
      </c>
      <c r="C758" s="65" t="n">
        <v>0</v>
      </c>
      <c r="D758" s="65" t="n">
        <f aca="false">C758+D757</f>
        <v>1</v>
      </c>
      <c r="E758" s="65" t="n">
        <f aca="false">D758+E757</f>
        <v>1</v>
      </c>
      <c r="F758" s="65" t="n">
        <f aca="false">E758+F757</f>
        <v>2</v>
      </c>
      <c r="G758" s="65" t="n">
        <f aca="false">F758+G757</f>
        <v>2</v>
      </c>
      <c r="H758" s="65" t="n">
        <f aca="false">G758+H757</f>
        <v>3</v>
      </c>
      <c r="I758" s="65" t="n">
        <f aca="false">H758+I757</f>
        <v>3</v>
      </c>
      <c r="J758" s="65" t="n">
        <f aca="false">I758+J757</f>
        <v>4</v>
      </c>
      <c r="K758" s="65" t="n">
        <f aca="false">J758+K757</f>
        <v>4</v>
      </c>
      <c r="L758" s="65" t="n">
        <f aca="false">K758+L757</f>
        <v>5</v>
      </c>
      <c r="M758" s="65" t="n">
        <f aca="false">L758+M757</f>
        <v>5</v>
      </c>
      <c r="N758" s="65" t="n">
        <f aca="false">M758+N757</f>
        <v>6</v>
      </c>
      <c r="O758" s="65" t="n">
        <f aca="false">N758+O757</f>
        <v>6</v>
      </c>
    </row>
    <row r="759" customFormat="false" ht="15" hidden="false" customHeight="false" outlineLevel="0" collapsed="false">
      <c r="B759" s="65" t="s">
        <v>1022</v>
      </c>
      <c r="C759" s="25"/>
      <c r="D759" s="72" t="n">
        <f aca="false">IF(D757=1,IF(C769=1,0,IF(D758=1,$N$6,IF(D758=2,$N$7,$N$8))),0)</f>
        <v>0.1</v>
      </c>
      <c r="E759" s="72" t="n">
        <f aca="false">IF(E757=1,IF(D769=1,0,IF(E758=1,$N$6,IF(E758=2,$N$7,$N$8))),0)</f>
        <v>0</v>
      </c>
      <c r="F759" s="72" t="n">
        <f aca="false">IF(F757=1,IF(E769=1,0,IF(F758=1,$N$6,IF(F758=2,$N$7,$N$8))),0)</f>
        <v>0.1</v>
      </c>
      <c r="G759" s="72" t="n">
        <f aca="false">IF(G757=1,IF(F769=1,0,IF(G758=1,$N$6,IF(G758=2,$N$7,$N$8))),0)</f>
        <v>0</v>
      </c>
      <c r="H759" s="72" t="n">
        <f aca="false">IF(H757=1,IF(G769=1,0,IF(H758=1,$N$6,IF(H758=2,$N$7,$N$8))),0)</f>
        <v>0.1</v>
      </c>
      <c r="I759" s="72" t="n">
        <f aca="false">IF(I757=1,IF(H769=1,0,IF(I758=1,$N$6,IF(I758=2,$N$7,$N$8))),0)</f>
        <v>0</v>
      </c>
      <c r="J759" s="72" t="n">
        <f aca="false">IF(J757=1,IF(I769=1,0,IF(J758=1,$N$6,IF(J758=2,$N$7,$N$8))),0)</f>
        <v>0.1</v>
      </c>
      <c r="K759" s="72" t="n">
        <f aca="false">IF(K757=1,IF(J769=1,0,IF(K758=1,$N$6,IF(K758=2,$N$7,$N$8))),0)</f>
        <v>0</v>
      </c>
      <c r="L759" s="72" t="n">
        <f aca="false">IF(L757=1,IF(K769=1,0,IF(L758=1,$N$6,IF(L758=2,$N$7,$N$8))),0)</f>
        <v>0.1</v>
      </c>
      <c r="M759" s="72" t="n">
        <f aca="false">IF(M757=1,IF(L769=1,0,IF(M758=1,$N$6,IF(M758=2,$N$7,$N$8))),0)</f>
        <v>0</v>
      </c>
      <c r="N759" s="72" t="n">
        <f aca="false">IF(N757=1,IF(M769=1,0,IF(N758=1,$N$6,IF(N758=2,$N$7,$N$8))),0)</f>
        <v>0</v>
      </c>
      <c r="O759" s="72" t="n">
        <f aca="false">IF(O757=1,IF(N769=1,0,IF(O758=1,$N$6,IF(O758=2,$N$7,$N$8))),0)</f>
        <v>0</v>
      </c>
    </row>
    <row r="760" customFormat="false" ht="15" hidden="false" customHeight="false" outlineLevel="0" collapsed="false">
      <c r="B760" s="65" t="s">
        <v>1023</v>
      </c>
      <c r="C760" s="25"/>
      <c r="D760" s="73" t="n">
        <f aca="false">C804</f>
        <v>50000000</v>
      </c>
      <c r="E760" s="73" t="n">
        <f aca="false">D804</f>
        <v>48100643.75</v>
      </c>
      <c r="F760" s="73" t="n">
        <f aca="false">E804</f>
        <v>48823151.7132813</v>
      </c>
      <c r="G760" s="73" t="n">
        <f aca="false">F804</f>
        <v>47105173.9904901</v>
      </c>
      <c r="H760" s="73" t="n">
        <f aca="false">G804</f>
        <v>47826489.4455393</v>
      </c>
      <c r="I760" s="73" t="n">
        <f aca="false">H804</f>
        <v>46183889.2303444</v>
      </c>
      <c r="J760" s="73" t="n">
        <f aca="false">I804</f>
        <v>46930729.0550004</v>
      </c>
      <c r="K760" s="73" t="n">
        <f aca="false">J804</f>
        <v>45332651.4154555</v>
      </c>
      <c r="L760" s="73" t="n">
        <f aca="false">K804</f>
        <v>46080299.0246774</v>
      </c>
      <c r="M760" s="73" t="n">
        <f aca="false">L804</f>
        <v>46830553.4993366</v>
      </c>
      <c r="N760" s="73" t="n">
        <f aca="false">M804</f>
        <v>47583889.5702456</v>
      </c>
      <c r="O760" s="73" t="n">
        <f aca="false">N804</f>
        <v>48340768.6984106</v>
      </c>
    </row>
    <row r="761" customFormat="false" ht="15" hidden="false" customHeight="false" outlineLevel="0" collapsed="false">
      <c r="B761" s="65" t="s">
        <v>177</v>
      </c>
      <c r="C761" s="25"/>
      <c r="D761" s="73" t="n">
        <f aca="false">IF(C769=1,0,$N$9*D760)</f>
        <v>0</v>
      </c>
      <c r="E761" s="73" t="n">
        <f aca="false">IF(D769=1,0,$N$9*E760)</f>
        <v>0</v>
      </c>
      <c r="F761" s="73" t="n">
        <f aca="false">IF(E769=1,0,$N$9*F760)</f>
        <v>0</v>
      </c>
      <c r="G761" s="73" t="n">
        <f aca="false">IF(F769=1,0,$N$9*G760)</f>
        <v>0</v>
      </c>
      <c r="H761" s="73" t="n">
        <f aca="false">IF(G769=1,0,$N$9*H760)</f>
        <v>0</v>
      </c>
      <c r="I761" s="73" t="n">
        <f aca="false">IF(H769=1,0,$N$9*I760)</f>
        <v>0</v>
      </c>
      <c r="J761" s="73" t="n">
        <f aca="false">IF(I769=1,0,$N$9*J760)</f>
        <v>0</v>
      </c>
      <c r="K761" s="73" t="n">
        <f aca="false">IF(J769=1,0,$N$9*K760)</f>
        <v>0</v>
      </c>
      <c r="L761" s="73" t="n">
        <f aca="false">IF(K769=1,0,$N$9*L760)</f>
        <v>0</v>
      </c>
      <c r="M761" s="73" t="n">
        <f aca="false">IF(L769=1,0,$N$9*M760)</f>
        <v>0</v>
      </c>
      <c r="N761" s="73" t="n">
        <f aca="false">IF(M769=1,0,$N$9*N760)</f>
        <v>0</v>
      </c>
      <c r="O761" s="73" t="n">
        <f aca="false">IF(N769=1,0,$N$9*O760)</f>
        <v>0</v>
      </c>
    </row>
    <row r="762" customFormat="false" ht="15" hidden="false" customHeight="false" outlineLevel="0" collapsed="false">
      <c r="B762" s="65" t="s">
        <v>1024</v>
      </c>
      <c r="C762" s="25"/>
      <c r="D762" s="73" t="n">
        <f aca="false">D759*D760</f>
        <v>5000000</v>
      </c>
      <c r="E762" s="73" t="n">
        <f aca="false">E759*E760</f>
        <v>0</v>
      </c>
      <c r="F762" s="73" t="n">
        <f aca="false">F759*F760</f>
        <v>4882315.17132813</v>
      </c>
      <c r="G762" s="73" t="n">
        <f aca="false">G759*G760</f>
        <v>0</v>
      </c>
      <c r="H762" s="73" t="n">
        <f aca="false">H759*H760</f>
        <v>4782648.94455393</v>
      </c>
      <c r="I762" s="73" t="n">
        <f aca="false">I759*I760</f>
        <v>0</v>
      </c>
      <c r="J762" s="73" t="n">
        <f aca="false">J759*J760</f>
        <v>4693072.90550004</v>
      </c>
      <c r="K762" s="73" t="n">
        <f aca="false">K759*K760</f>
        <v>0</v>
      </c>
      <c r="L762" s="73" t="n">
        <f aca="false">L759*L760</f>
        <v>4608029.90246774</v>
      </c>
      <c r="M762" s="73" t="n">
        <f aca="false">M759*M760</f>
        <v>0</v>
      </c>
      <c r="N762" s="73" t="n">
        <f aca="false">N759*N760</f>
        <v>0</v>
      </c>
      <c r="O762" s="73" t="n">
        <f aca="false">O759*O760</f>
        <v>0</v>
      </c>
    </row>
    <row r="763" customFormat="false" ht="15" hidden="false" customHeight="false" outlineLevel="0" collapsed="false">
      <c r="B763" s="65" t="s">
        <v>1025</v>
      </c>
      <c r="C763" s="25"/>
      <c r="D763" s="73" t="n">
        <f aca="false">C771</f>
        <v>0</v>
      </c>
      <c r="E763" s="73" t="n">
        <f aca="false">D771</f>
        <v>2500000</v>
      </c>
      <c r="F763" s="73" t="n">
        <f aca="false">E771</f>
        <v>2500000</v>
      </c>
      <c r="G763" s="73" t="n">
        <f aca="false">F771</f>
        <v>4941157.58566406</v>
      </c>
      <c r="H763" s="73" t="n">
        <f aca="false">G771</f>
        <v>4941157.58566406</v>
      </c>
      <c r="I763" s="73" t="n">
        <f aca="false">H771</f>
        <v>7332482.05794103</v>
      </c>
      <c r="J763" s="73" t="n">
        <f aca="false">I771</f>
        <v>7332482.05794103</v>
      </c>
      <c r="K763" s="73" t="n">
        <f aca="false">J771</f>
        <v>9679018.51069105</v>
      </c>
      <c r="L763" s="73" t="n">
        <f aca="false">K771</f>
        <v>9679018.51069105</v>
      </c>
      <c r="M763" s="73" t="n">
        <f aca="false">L771</f>
        <v>14287048.4131588</v>
      </c>
      <c r="N763" s="73" t="n">
        <f aca="false">M771</f>
        <v>14287048.4131588</v>
      </c>
      <c r="O763" s="73" t="n">
        <f aca="false">N771</f>
        <v>14287048.4131588</v>
      </c>
    </row>
    <row r="764" customFormat="false" ht="15" hidden="false" customHeight="false" outlineLevel="0" collapsed="false">
      <c r="B764" s="65" t="s">
        <v>1026</v>
      </c>
      <c r="C764" s="25"/>
      <c r="D764" s="73" t="n">
        <f aca="false">D762+D763</f>
        <v>5000000</v>
      </c>
      <c r="E764" s="73" t="n">
        <f aca="false">E762+E763</f>
        <v>2500000</v>
      </c>
      <c r="F764" s="73" t="n">
        <f aca="false">F762+F763</f>
        <v>7382315.17132813</v>
      </c>
      <c r="G764" s="73" t="n">
        <f aca="false">G762+G763</f>
        <v>4941157.58566406</v>
      </c>
      <c r="H764" s="73" t="n">
        <f aca="false">H762+H763</f>
        <v>9723806.53021799</v>
      </c>
      <c r="I764" s="73" t="n">
        <f aca="false">I762+I763</f>
        <v>7332482.05794103</v>
      </c>
      <c r="J764" s="73" t="n">
        <f aca="false">J762+J763</f>
        <v>12025554.9634411</v>
      </c>
      <c r="K764" s="73" t="n">
        <f aca="false">K762+K763</f>
        <v>9679018.51069105</v>
      </c>
      <c r="L764" s="73" t="n">
        <f aca="false">L762+L763</f>
        <v>14287048.4131588</v>
      </c>
      <c r="M764" s="73" t="n">
        <f aca="false">M762+M763</f>
        <v>14287048.4131588</v>
      </c>
      <c r="N764" s="73" t="n">
        <f aca="false">N762+N763</f>
        <v>14287048.4131588</v>
      </c>
      <c r="O764" s="73" t="n">
        <f aca="false">O762+O763</f>
        <v>14287048.4131588</v>
      </c>
    </row>
    <row r="765" customFormat="false" ht="15" hidden="false" customHeight="false" outlineLevel="0" collapsed="false">
      <c r="B765" s="65" t="s">
        <v>1027</v>
      </c>
      <c r="C765" s="25"/>
      <c r="D765" s="73" t="n">
        <f aca="false">IF($N$21=1,Gate*D760+D761,D764)</f>
        <v>2500000</v>
      </c>
      <c r="E765" s="73" t="n">
        <f aca="false">IF($N$21=1,Gate*E760+E761,E764)</f>
        <v>2405032.1875</v>
      </c>
      <c r="F765" s="73" t="n">
        <f aca="false">IF($N$21=1,Gate*F760+F761,F764)</f>
        <v>2441157.58566406</v>
      </c>
      <c r="G765" s="73" t="n">
        <f aca="false">IF($N$21=1,Gate*G760+G761,G764)</f>
        <v>2355258.6995245</v>
      </c>
      <c r="H765" s="73" t="n">
        <f aca="false">IF($N$21=1,Gate*H760+H761,H764)</f>
        <v>2391324.47227697</v>
      </c>
      <c r="I765" s="73" t="n">
        <f aca="false">IF($N$21=1,Gate*I760+I761,I764)</f>
        <v>2309194.46151722</v>
      </c>
      <c r="J765" s="73" t="n">
        <f aca="false">IF($N$21=1,Gate*J760+J761,J764)</f>
        <v>2346536.45275002</v>
      </c>
      <c r="K765" s="73" t="n">
        <f aca="false">IF($N$21=1,Gate*K760+K761,K764)</f>
        <v>2266632.57077278</v>
      </c>
      <c r="L765" s="73" t="n">
        <f aca="false">IF($N$21=1,Gate*L760+L761,L764)</f>
        <v>2304014.95123387</v>
      </c>
      <c r="M765" s="73" t="n">
        <f aca="false">IF($N$21=1,Gate*M760+M761,M764)</f>
        <v>2341527.67496683</v>
      </c>
      <c r="N765" s="73" t="n">
        <f aca="false">IF($N$21=1,Gate*N760+N761,N764)</f>
        <v>2379194.47851228</v>
      </c>
      <c r="O765" s="73" t="n">
        <f aca="false">IF($N$21=1,Gate*O760+O761,O764)</f>
        <v>2417038.43492053</v>
      </c>
    </row>
    <row r="766" customFormat="false" ht="15" hidden="false" customHeight="false" outlineLevel="0" collapsed="false">
      <c r="B766" s="65" t="s">
        <v>1028</v>
      </c>
      <c r="C766" s="25"/>
      <c r="D766" s="73" t="n">
        <f aca="false">IF(D757=1,MIN(D764,D765),0)</f>
        <v>2500000</v>
      </c>
      <c r="E766" s="73" t="n">
        <f aca="false">IF(E757=1,MIN(E764,E765),0)</f>
        <v>0</v>
      </c>
      <c r="F766" s="73" t="n">
        <f aca="false">IF(F757=1,MIN(F764,F765),0)</f>
        <v>2441157.58566406</v>
      </c>
      <c r="G766" s="73" t="n">
        <f aca="false">IF(G757=1,MIN(G764,G765),0)</f>
        <v>0</v>
      </c>
      <c r="H766" s="73" t="n">
        <f aca="false">IF(H757=1,MIN(H764,H765),0)</f>
        <v>2391324.47227697</v>
      </c>
      <c r="I766" s="73" t="n">
        <f aca="false">IF(I757=1,MIN(I764,I765),0)</f>
        <v>0</v>
      </c>
      <c r="J766" s="73" t="n">
        <f aca="false">IF(J757=1,MIN(J764,J765),0)</f>
        <v>2346536.45275002</v>
      </c>
      <c r="K766" s="73" t="n">
        <f aca="false">IF(K757=1,MIN(K764,K765),0)</f>
        <v>0</v>
      </c>
      <c r="L766" s="73" t="n">
        <f aca="false">IF(L757=1,MIN(L764,L765),0)</f>
        <v>2304014.95123387</v>
      </c>
      <c r="M766" s="73" t="n">
        <f aca="false">IF(M757=1,MIN(M764,M765),0)</f>
        <v>0</v>
      </c>
      <c r="N766" s="73" t="n">
        <f aca="false">IF(N757=1,MIN(N764,N765),0)</f>
        <v>2379194.47851228</v>
      </c>
      <c r="O766" s="73" t="n">
        <f aca="false">IF(O757=1,MIN(O764,O765),0)</f>
        <v>0</v>
      </c>
    </row>
    <row r="767" customFormat="false" ht="15" hidden="false" customHeight="false" outlineLevel="0" collapsed="false">
      <c r="B767" s="65" t="s">
        <v>1029</v>
      </c>
      <c r="C767" s="25"/>
      <c r="D767" s="73" t="n">
        <f aca="false">MAX(0,D795+D786+D787-Poche_min_exec*D760-D766-SUM(E792:F792)+MAX(0,MIN($N$20*AN_cible,Emprunt_max*D760)-C803))</f>
        <v>0</v>
      </c>
      <c r="E767" s="73" t="n">
        <f aca="false">MAX(0,E795+E786+E787-Poche_min_exec*E760-E766-SUM(F792:G792)+MAX(0,MIN($N$20*AN_cible,Emprunt_max*E760)-D803))</f>
        <v>502827.0625</v>
      </c>
      <c r="F767" s="73" t="n">
        <f aca="false">MAX(0,F795+F786+F787-Poche_min_exec*F760-F766-SUM(G792:H792)+MAX(0,MIN($N$20*AN_cible,Emprunt_max*F760)-E803))</f>
        <v>0</v>
      </c>
      <c r="G767" s="73" t="n">
        <f aca="false">MAX(0,G795+G786+G787-Poche_min_exec*G760-G766-SUM(H792:I792)+MAX(0,MIN($N$20*AN_cible,Emprunt_max*G760)-F803))</f>
        <v>0</v>
      </c>
      <c r="H767" s="73" t="n">
        <f aca="false">MAX(0,H795+H786+H787-Poche_min_exec*H760-H766-SUM(I792:J792)+MAX(0,MIN($N$20*AN_cible,Emprunt_max*H760)-G803))</f>
        <v>0</v>
      </c>
      <c r="I767" s="73" t="n">
        <f aca="false">MAX(0,I795+I786+I787-Poche_min_exec*I760-I766-SUM(J792:K792)+MAX(0,MIN($N$20*AN_cible,Emprunt_max*I760)-H803))</f>
        <v>0</v>
      </c>
      <c r="J767" s="73" t="n">
        <f aca="false">MAX(0,J795+J786+J787-Poche_min_exec*J760-J766-SUM(K792:L792)+MAX(0,MIN($N$20*AN_cible,Emprunt_max*J760)-I803))</f>
        <v>0</v>
      </c>
      <c r="K767" s="73" t="n">
        <f aca="false">MAX(0,K795+K786+K787-Poche_min_exec*K760-K766-SUM(L792:M792)+MAX(0,MIN($N$20*AN_cible,Emprunt_max*K760)-J803))</f>
        <v>0</v>
      </c>
      <c r="L767" s="73" t="n">
        <f aca="false">MAX(0,L795+L786+L787-Poche_min_exec*L760-L766-SUM(M792:N792)+MAX(0,MIN($N$20*AN_cible,Emprunt_max*L760)-K803))</f>
        <v>0</v>
      </c>
      <c r="M767" s="73" t="n">
        <f aca="false">MAX(0,M795+M786+M787-Poche_min_exec*M760-M766-SUM(N792:O792)+MAX(0,MIN($N$20*AN_cible,Emprunt_max*M760)-L803))</f>
        <v>0</v>
      </c>
      <c r="N767" s="73" t="n">
        <f aca="false">MAX(0,N795+N786+N787-Poche_min_exec*N760-N766-SUM(O792:O792)+MAX(0,MIN($N$20*AN_cible,Emprunt_max*N760)-M803))</f>
        <v>0</v>
      </c>
      <c r="O767" s="73" t="n">
        <f aca="false">MAX(0,O795+O786+O787-Poche_min_exec*O760-O766-0+MAX(0,MIN($N$20*AN_cible,Emprunt_max*O760)-N803))</f>
        <v>1190215.56571852</v>
      </c>
    </row>
    <row r="768" customFormat="false" ht="15" hidden="false" customHeight="false" outlineLevel="0" collapsed="false">
      <c r="B768" s="65" t="s">
        <v>1030</v>
      </c>
      <c r="C768" s="25"/>
      <c r="D768" s="73" t="n">
        <f aca="false">IF(AND(D757=1,$N$21=1,$N$22=1),MIN(D764-D766,D767),0)</f>
        <v>0</v>
      </c>
      <c r="E768" s="73" t="n">
        <f aca="false">IF(AND(E757=1,$N$21=1,$N$22=1),MIN(E764-E766,E767),0)</f>
        <v>0</v>
      </c>
      <c r="F768" s="73" t="n">
        <f aca="false">IF(AND(F757=1,$N$21=1,$N$22=1),MIN(F764-F766,F767),0)</f>
        <v>0</v>
      </c>
      <c r="G768" s="73" t="n">
        <f aca="false">IF(AND(G757=1,$N$21=1,$N$22=1),MIN(G764-G766,G767),0)</f>
        <v>0</v>
      </c>
      <c r="H768" s="73" t="n">
        <f aca="false">IF(AND(H757=1,$N$21=1,$N$22=1),MIN(H764-H766,H767),0)</f>
        <v>0</v>
      </c>
      <c r="I768" s="73" t="n">
        <f aca="false">IF(AND(I757=1,$N$21=1,$N$22=1),MIN(I764-I766,I767),0)</f>
        <v>0</v>
      </c>
      <c r="J768" s="73" t="n">
        <f aca="false">IF(AND(J757=1,$N$21=1,$N$22=1),MIN(J764-J766,J767),0)</f>
        <v>0</v>
      </c>
      <c r="K768" s="73" t="n">
        <f aca="false">IF(AND(K757=1,$N$21=1,$N$22=1),MIN(K764-K766,K767),0)</f>
        <v>0</v>
      </c>
      <c r="L768" s="73" t="n">
        <f aca="false">IF(AND(L757=1,$N$21=1,$N$22=1),MIN(L764-L766,L767),0)</f>
        <v>0</v>
      </c>
      <c r="M768" s="73" t="n">
        <f aca="false">IF(AND(M757=1,$N$21=1,$N$22=1),MIN(M764-M766,M767),0)</f>
        <v>0</v>
      </c>
      <c r="N768" s="73" t="n">
        <f aca="false">IF(AND(N757=1,$N$21=1,$N$22=1),MIN(N764-N766,N767),0)</f>
        <v>0</v>
      </c>
      <c r="O768" s="73" t="n">
        <f aca="false">IF(AND(O757=1,$N$21=1,$N$22=1),MIN(O764-O766,O767),0)</f>
        <v>0</v>
      </c>
    </row>
    <row r="769" customFormat="false" ht="15" hidden="false" customHeight="false" outlineLevel="0" collapsed="false">
      <c r="B769" s="65" t="s">
        <v>1031</v>
      </c>
      <c r="C769" s="65" t="n">
        <v>0</v>
      </c>
      <c r="D769" s="65" t="n">
        <f aca="false">IF(C769=1,1,IF(AND(D757=1,$N$21=1,C773&gt;=Gate_dates,D764-D766-D768&gt;0.000001),1,0))</f>
        <v>0</v>
      </c>
      <c r="E769" s="65" t="n">
        <f aca="false">IF(D769=1,1,IF(AND(E757=1,$N$21=1,D773&gt;=Gate_dates,E764-E766-E768&gt;0.000001),1,0))</f>
        <v>0</v>
      </c>
      <c r="F769" s="65" t="n">
        <f aca="false">IF(E769=1,1,IF(AND(F757=1,$N$21=1,E773&gt;=Gate_dates,F764-F766-F768&gt;0.000001),1,0))</f>
        <v>0</v>
      </c>
      <c r="G769" s="65" t="n">
        <f aca="false">IF(F769=1,1,IF(AND(G757=1,$N$21=1,F773&gt;=Gate_dates,G764-G766-G768&gt;0.000001),1,0))</f>
        <v>0</v>
      </c>
      <c r="H769" s="65" t="n">
        <f aca="false">IF(G769=1,1,IF(AND(H757=1,$N$21=1,G773&gt;=Gate_dates,H764-H766-H768&gt;0.000001),1,0))</f>
        <v>0</v>
      </c>
      <c r="I769" s="65" t="n">
        <f aca="false">IF(H769=1,1,IF(AND(I757=1,$N$21=1,H773&gt;=Gate_dates,I764-I766-I768&gt;0.000001),1,0))</f>
        <v>0</v>
      </c>
      <c r="J769" s="65" t="n">
        <f aca="false">IF(I769=1,1,IF(AND(J757=1,$N$21=1,I773&gt;=Gate_dates,J764-J766-J768&gt;0.000001),1,0))</f>
        <v>0</v>
      </c>
      <c r="K769" s="65" t="n">
        <f aca="false">IF(J769=1,1,IF(AND(K757=1,$N$21=1,J773&gt;=Gate_dates,K764-K766-K768&gt;0.000001),1,0))</f>
        <v>0</v>
      </c>
      <c r="L769" s="65" t="n">
        <f aca="false">IF(K769=1,1,IF(AND(L757=1,$N$21=1,K773&gt;=Gate_dates,L764-L766-L768&gt;0.000001),1,0))</f>
        <v>1</v>
      </c>
      <c r="M769" s="65" t="n">
        <f aca="false">IF(L769=1,1,IF(AND(M757=1,$N$21=1,L773&gt;=Gate_dates,M764-M766-M768&gt;0.000001),1,0))</f>
        <v>1</v>
      </c>
      <c r="N769" s="65" t="n">
        <f aca="false">IF(M769=1,1,IF(AND(N757=1,$N$21=1,M773&gt;=Gate_dates,N764-N766-N768&gt;0.000001),1,0))</f>
        <v>1</v>
      </c>
      <c r="O769" s="65" t="n">
        <f aca="false">IF(N769=1,1,IF(AND(O757=1,$N$21=1,N773&gt;=Gate_dates,O764-O766-O768&gt;0.000001),1,0))</f>
        <v>1</v>
      </c>
    </row>
    <row r="770" customFormat="false" ht="15" hidden="false" customHeight="false" outlineLevel="0" collapsed="false">
      <c r="B770" s="65" t="s">
        <v>1032</v>
      </c>
      <c r="C770" s="25"/>
      <c r="D770" s="73" t="n">
        <f aca="false">IF(D769=1,0,D766+D768)</f>
        <v>2500000</v>
      </c>
      <c r="E770" s="73" t="n">
        <f aca="false">IF(E769=1,0,E766+E768)</f>
        <v>0</v>
      </c>
      <c r="F770" s="73" t="n">
        <f aca="false">IF(F769=1,0,F766+F768)</f>
        <v>2441157.58566406</v>
      </c>
      <c r="G770" s="73" t="n">
        <f aca="false">IF(G769=1,0,G766+G768)</f>
        <v>0</v>
      </c>
      <c r="H770" s="73" t="n">
        <f aca="false">IF(H769=1,0,H766+H768)</f>
        <v>2391324.47227697</v>
      </c>
      <c r="I770" s="73" t="n">
        <f aca="false">IF(I769=1,0,I766+I768)</f>
        <v>0</v>
      </c>
      <c r="J770" s="73" t="n">
        <f aca="false">IF(J769=1,0,J766+J768)</f>
        <v>2346536.45275002</v>
      </c>
      <c r="K770" s="73" t="n">
        <f aca="false">IF(K769=1,0,K766+K768)</f>
        <v>0</v>
      </c>
      <c r="L770" s="73" t="n">
        <f aca="false">IF(L769=1,0,L766+L768)</f>
        <v>0</v>
      </c>
      <c r="M770" s="73" t="n">
        <f aca="false">IF(M769=1,0,M766+M768)</f>
        <v>0</v>
      </c>
      <c r="N770" s="73" t="n">
        <f aca="false">IF(N769=1,0,N766+N768)</f>
        <v>0</v>
      </c>
      <c r="O770" s="73" t="n">
        <f aca="false">IF(O769=1,0,O766+O768)</f>
        <v>0</v>
      </c>
    </row>
    <row r="771" customFormat="false" ht="15" hidden="false" customHeight="false" outlineLevel="0" collapsed="false">
      <c r="B771" s="65" t="s">
        <v>1033</v>
      </c>
      <c r="C771" s="73" t="n">
        <v>0</v>
      </c>
      <c r="D771" s="73" t="n">
        <f aca="false">D764-D770</f>
        <v>2500000</v>
      </c>
      <c r="E771" s="73" t="n">
        <f aca="false">E764-E770</f>
        <v>2500000</v>
      </c>
      <c r="F771" s="73" t="n">
        <f aca="false">F764-F770</f>
        <v>4941157.58566406</v>
      </c>
      <c r="G771" s="73" t="n">
        <f aca="false">G764-G770</f>
        <v>4941157.58566406</v>
      </c>
      <c r="H771" s="73" t="n">
        <f aca="false">H764-H770</f>
        <v>7332482.05794103</v>
      </c>
      <c r="I771" s="73" t="n">
        <f aca="false">I764-I770</f>
        <v>7332482.05794103</v>
      </c>
      <c r="J771" s="73" t="n">
        <f aca="false">J764-J770</f>
        <v>9679018.51069105</v>
      </c>
      <c r="K771" s="73" t="n">
        <f aca="false">K764-K770</f>
        <v>9679018.51069105</v>
      </c>
      <c r="L771" s="73" t="n">
        <f aca="false">L764-L770</f>
        <v>14287048.4131588</v>
      </c>
      <c r="M771" s="73" t="n">
        <f aca="false">M764-M770</f>
        <v>14287048.4131588</v>
      </c>
      <c r="N771" s="73" t="n">
        <f aca="false">N764-N770</f>
        <v>14287048.4131588</v>
      </c>
      <c r="O771" s="73" t="n">
        <f aca="false">O764-O770</f>
        <v>14287048.4131588</v>
      </c>
    </row>
    <row r="772" customFormat="false" ht="15" hidden="false" customHeight="false" outlineLevel="0" collapsed="false">
      <c r="B772" s="65" t="s">
        <v>1034</v>
      </c>
      <c r="C772" s="25"/>
      <c r="D772" s="65" t="n">
        <f aca="false">IF(AND(D757=1,D769=0,D771&gt;0.000001),1,0)</f>
        <v>1</v>
      </c>
      <c r="E772" s="65" t="n">
        <f aca="false">IF(AND(E757=1,E769=0,E771&gt;0.000001),1,0)</f>
        <v>0</v>
      </c>
      <c r="F772" s="65" t="n">
        <f aca="false">IF(AND(F757=1,F769=0,F771&gt;0.000001),1,0)</f>
        <v>1</v>
      </c>
      <c r="G772" s="65" t="n">
        <f aca="false">IF(AND(G757=1,G769=0,G771&gt;0.000001),1,0)</f>
        <v>0</v>
      </c>
      <c r="H772" s="65" t="n">
        <f aca="false">IF(AND(H757=1,H769=0,H771&gt;0.000001),1,0)</f>
        <v>1</v>
      </c>
      <c r="I772" s="65" t="n">
        <f aca="false">IF(AND(I757=1,I769=0,I771&gt;0.000001),1,0)</f>
        <v>0</v>
      </c>
      <c r="J772" s="65" t="n">
        <f aca="false">IF(AND(J757=1,J769=0,J771&gt;0.000001),1,0)</f>
        <v>1</v>
      </c>
      <c r="K772" s="65" t="n">
        <f aca="false">IF(AND(K757=1,K769=0,K771&gt;0.000001),1,0)</f>
        <v>0</v>
      </c>
      <c r="L772" s="65" t="n">
        <f aca="false">IF(AND(L757=1,L769=0,L771&gt;0.000001),1,0)</f>
        <v>0</v>
      </c>
      <c r="M772" s="65" t="n">
        <f aca="false">IF(AND(M757=1,M769=0,M771&gt;0.000001),1,0)</f>
        <v>0</v>
      </c>
      <c r="N772" s="65" t="n">
        <f aca="false">IF(AND(N757=1,N769=0,N771&gt;0.000001),1,0)</f>
        <v>0</v>
      </c>
      <c r="O772" s="65" t="n">
        <f aca="false">IF(AND(O757=1,O769=0,O771&gt;0.000001),1,0)</f>
        <v>0</v>
      </c>
    </row>
    <row r="773" customFormat="false" ht="15" hidden="false" customHeight="false" outlineLevel="0" collapsed="false">
      <c r="B773" s="65" t="s">
        <v>843</v>
      </c>
      <c r="C773" s="65" t="n">
        <v>0</v>
      </c>
      <c r="D773" s="65" t="n">
        <f aca="false">IF(D757=1,IF(D772=1,C773+1,0),C773)</f>
        <v>1</v>
      </c>
      <c r="E773" s="65" t="n">
        <f aca="false">IF(E757=1,IF(E772=1,D773+1,0),D773)</f>
        <v>1</v>
      </c>
      <c r="F773" s="65" t="n">
        <f aca="false">IF(F757=1,IF(F772=1,E773+1,0),E773)</f>
        <v>2</v>
      </c>
      <c r="G773" s="65" t="n">
        <f aca="false">IF(G757=1,IF(G772=1,F773+1,0),F773)</f>
        <v>2</v>
      </c>
      <c r="H773" s="65" t="n">
        <f aca="false">IF(H757=1,IF(H772=1,G773+1,0),G773)</f>
        <v>3</v>
      </c>
      <c r="I773" s="65" t="n">
        <f aca="false">IF(I757=1,IF(I772=1,H773+1,0),H773)</f>
        <v>3</v>
      </c>
      <c r="J773" s="65" t="n">
        <f aca="false">IF(J757=1,IF(J772=1,I773+1,0),I773)</f>
        <v>4</v>
      </c>
      <c r="K773" s="65" t="n">
        <f aca="false">IF(K757=1,IF(K772=1,J773+1,0),J773)</f>
        <v>4</v>
      </c>
      <c r="L773" s="65" t="n">
        <f aca="false">IF(L757=1,IF(L772=1,K773+1,0),K773)</f>
        <v>0</v>
      </c>
      <c r="M773" s="65" t="n">
        <f aca="false">IF(M757=1,IF(M772=1,L773+1,0),L773)</f>
        <v>0</v>
      </c>
      <c r="N773" s="65" t="n">
        <f aca="false">IF(N757=1,IF(N772=1,M773+1,0),M773)</f>
        <v>0</v>
      </c>
      <c r="O773" s="65" t="n">
        <f aca="false">IF(O757=1,IF(O772=1,N773+1,0),N773)</f>
        <v>0</v>
      </c>
    </row>
    <row r="774" customFormat="false" ht="15" hidden="false" customHeight="false" outlineLevel="0" collapsed="false">
      <c r="B774" s="65" t="s">
        <v>1035</v>
      </c>
      <c r="C774" s="73" t="n">
        <f aca="false">AN_cible*Ws_MAPIF</f>
        <v>12500000</v>
      </c>
      <c r="D774" s="73" t="n">
        <f aca="false">C774*(1+Rend_MAPIF/4)*IF(D755=1,(1-(Cap_MAPIF*$N$15+(1-Cap_MAPIF)*$N$16))*(1+1*$N$14),1)+D784-D778-D799*IF((C774+C775+C776+C777)&gt;0,C774/(C774+C775+C776+C777),0)</f>
        <v>12971562.5</v>
      </c>
      <c r="E774" s="73" t="n">
        <f aca="false">D774*(1+Rend_MAPIF/4)*IF(E755=1,(1-(Cap_MAPIF*$N$15+(1-Cap_MAPIF)*$N$16))*(1+1*$N$14),1)+E784-E778-E799*IF((D774+D775+D776+D777)&gt;0,D774/(D774+D775+D776+D777),0)</f>
        <v>13446767.8203125</v>
      </c>
      <c r="F774" s="73" t="n">
        <f aca="false">E774*(1+Rend_MAPIF/4)*IF(F755=1,(1-(Cap_MAPIF*$N$15+(1-Cap_MAPIF)*$N$16))*(1+1*$N$14),1)+F784-F778-F799*IF((E774+E775+E776+E777)&gt;0,E774/(E774+E775+E776+E777),0)</f>
        <v>13925644.1017244</v>
      </c>
      <c r="G774" s="73" t="n">
        <f aca="false">F774*(1+Rend_MAPIF/4)*IF(G755=1,(1-(Cap_MAPIF*$N$15+(1-Cap_MAPIF)*$N$16))*(1+1*$N$14),1)+G784-G778-G799*IF((F774+F775+F776+F777)&gt;0,F774/(F774+F775+F776+F777),0)</f>
        <v>14408219.7024102</v>
      </c>
      <c r="H774" s="73" t="n">
        <f aca="false">G774*(1+Rend_MAPIF/4)*IF(H755=1,(1-(Cap_MAPIF*$N$15+(1-Cap_MAPIF)*$N$16))*(1+1*$N$14),1)+H784-H778-H799*IF((G774+G775+G776+G777)&gt;0,G774/(G774+G775+G776+G777),0)</f>
        <v>14894523.1996114</v>
      </c>
      <c r="I774" s="73" t="n">
        <f aca="false">H774*(1+Rend_MAPIF/4)*IF(I755=1,(1-(Cap_MAPIF*$N$15+(1-Cap_MAPIF)*$N$16))*(1+1*$N$14),1)+I784-I778-I799*IF((H774+H775+H776+H777)&gt;0,H774/(H774+H775+H776+H777),0)</f>
        <v>15384583.3913284</v>
      </c>
      <c r="J774" s="73" t="n">
        <f aca="false">I774*(1+Rend_MAPIF/4)*IF(J755=1,(1-(Cap_MAPIF*$N$15+(1-Cap_MAPIF)*$N$16))*(1+1*$N$14),1)+J784-J778-J799*IF((I774+I775+I776+I777)&gt;0,I774/(I774+I775+I776+I777),0)</f>
        <v>15878429.2980264</v>
      </c>
      <c r="K774" s="73" t="n">
        <f aca="false">J774*(1+Rend_MAPIF/4)*IF(K755=1,(1-(Cap_MAPIF*$N$15+(1-Cap_MAPIF)*$N$16))*(1+1*$N$14),1)+K784-K778-K799*IF((J774+J775+J776+J777)&gt;0,J774/(J774+J775+J776+J777),0)</f>
        <v>16376090.1643536</v>
      </c>
      <c r="L774" s="73" t="n">
        <f aca="false">K774*(1+Rend_MAPIF/4)*IF(L755=1,(1-(Cap_MAPIF*$N$15+(1-Cap_MAPIF)*$N$16))*(1+1*$N$14),1)+L784-L778-L799*IF((K774+K775+K776+K777)&gt;0,K774/(K774+K775+K776+K777),0)</f>
        <v>16877595.4608733</v>
      </c>
      <c r="M774" s="73" t="n">
        <f aca="false">L774*(1+Rend_MAPIF/4)*IF(M755=1,(1-(Cap_MAPIF*$N$15+(1-Cap_MAPIF)*$N$16))*(1+1*$N$14),1)+M784-M778-M799*IF((L774+L775+L776+L777)&gt;0,L774/(L774+L775+L776+L777),0)</f>
        <v>17382974.8858085</v>
      </c>
      <c r="N774" s="73" t="n">
        <f aca="false">M774*(1+Rend_MAPIF/4)*IF(N755=1,(1-(Cap_MAPIF*$N$15+(1-Cap_MAPIF)*$N$16))*(1+1*$N$14),1)+N784-N778-N799*IF((M774+M775+M776+M777)&gt;0,M774/(M774+M775+M776+M777),0)</f>
        <v>17892258.3668014</v>
      </c>
      <c r="O774" s="73" t="n">
        <f aca="false">N774*(1+Rend_MAPIF/4)*IF(O755=1,(1-(Cap_MAPIF*$N$15+(1-Cap_MAPIF)*$N$16))*(1+1*$N$14),1)+O784-O778-O799*IF((N774+N775+N776+N777)&gt;0,N774/(N774+N775+N776+N777),0)</f>
        <v>18405476.0626849</v>
      </c>
    </row>
    <row r="775" customFormat="false" ht="15" hidden="false" customHeight="false" outlineLevel="0" collapsed="false">
      <c r="B775" s="65" t="s">
        <v>1036</v>
      </c>
      <c r="C775" s="73" t="n">
        <f aca="false">AN_cible*Ws_MSIG</f>
        <v>5500000</v>
      </c>
      <c r="D775" s="73" t="n">
        <f aca="false">C775*(1+Rend_MSIG/4)*IF(D755=1,(1-(Cap_MSIG*$N$15+(1-Cap_MSIG)*$N$16))*(1+MSIG_USD*$N$14),1)+D785-D779-D799*IF((C774+C775+C776+C777)&gt;0,C775/(C774+C775+C776+C777),0)</f>
        <v>5773237.5</v>
      </c>
      <c r="E775" s="73" t="n">
        <f aca="false">D775*(1+Rend_MSIG/4)*IF(E755=1,(1-(Cap_MSIG*$N$15+(1-Cap_MSIG)*$N$16))*(1+MSIG_USD*$N$14),1)+E785-E779-E799*IF((D774+D775+D776+D777)&gt;0,D775/(D774+D775+D776+D777),0)</f>
        <v>6047629.4284375</v>
      </c>
      <c r="F775" s="73" t="n">
        <f aca="false">E775*(1+Rend_MSIG/4)*IF(F755=1,(1-(Cap_MSIG*$N$15+(1-Cap_MSIG)*$N$16))*(1+MSIG_USD*$N$14),1)+F785-F779-F799*IF((E774+E775+E776+E777)&gt;0,E775/(E774+E775+E776+E777),0)</f>
        <v>6323180.66277265</v>
      </c>
      <c r="G775" s="73" t="n">
        <f aca="false">F775*(1+Rend_MSIG/4)*IF(G755=1,(1-(Cap_MSIG*$N$15+(1-Cap_MSIG)*$N$16))*(1+MSIG_USD*$N$14),1)+G785-G779-G799*IF((F774+F775+F776+F777)&gt;0,F775/(F774+F775+F776+F777),0)</f>
        <v>6599896.10107286</v>
      </c>
      <c r="H775" s="73" t="n">
        <f aca="false">G775*(1+Rend_MSIG/4)*IF(H755=1,(1-(Cap_MSIG*$N$15+(1-Cap_MSIG)*$N$16))*(1+MSIG_USD*$N$14),1)+H785-H779-H799*IF((G774+G775+G776+G777)&gt;0,G775/(G774+G775+G776+G777),0)</f>
        <v>6877780.6620999</v>
      </c>
      <c r="I775" s="73" t="n">
        <f aca="false">H775*(1+Rend_MSIG/4)*IF(I755=1,(1-(Cap_MSIG*$N$15+(1-Cap_MSIG)*$N$16))*(1+MSIG_USD*$N$14),1)+I785-I779-I799*IF((H774+H775+H776+H777)&gt;0,H775/(H774+H775+H776+H777),0)</f>
        <v>7156839.28539727</v>
      </c>
      <c r="J775" s="73" t="n">
        <f aca="false">I775*(1+Rend_MSIG/4)*IF(J755=1,(1-(Cap_MSIG*$N$15+(1-Cap_MSIG)*$N$16))*(1+MSIG_USD*$N$14),1)+J785-J779-J799*IF((I774+I775+I776+I777)&gt;0,I775/(I774+I775+I776+I777),0)</f>
        <v>7437076.93137807</v>
      </c>
      <c r="K775" s="73" t="n">
        <f aca="false">J775*(1+Rend_MSIG/4)*IF(K755=1,(1-(Cap_MSIG*$N$15+(1-Cap_MSIG)*$N$16))*(1+MSIG_USD*$N$14),1)+K785-K779-K799*IF((J774+J775+J776+J777)&gt;0,J775/(J774+J775+J776+J777),0)</f>
        <v>7718498.58141314</v>
      </c>
      <c r="L775" s="73" t="n">
        <f aca="false">K775*(1+Rend_MSIG/4)*IF(L755=1,(1-(Cap_MSIG*$N$15+(1-Cap_MSIG)*$N$16))*(1+MSIG_USD*$N$14),1)+L785-L779-L799*IF((K774+K775+K776+K777)&gt;0,K775/(K774+K775+K776+K777),0)</f>
        <v>8001109.23791962</v>
      </c>
      <c r="M775" s="73" t="n">
        <f aca="false">L775*(1+Rend_MSIG/4)*IF(M755=1,(1-(Cap_MSIG*$N$15+(1-Cap_MSIG)*$N$16))*(1+MSIG_USD*$N$14),1)+M785-M779-M799*IF((L774+L775+L776+L777)&gt;0,L775/(L774+L775+L776+L777),0)</f>
        <v>8284913.92444983</v>
      </c>
      <c r="N775" s="73" t="n">
        <f aca="false">M775*(1+Rend_MSIG/4)*IF(N755=1,(1-(Cap_MSIG*$N$15+(1-Cap_MSIG)*$N$16))*(1+MSIG_USD*$N$14),1)+N785-N779-N799*IF((M774+M775+M776+M777)&gt;0,M775/(M774+M775+M776+M777),0)</f>
        <v>8569917.68578063</v>
      </c>
      <c r="O775" s="73" t="n">
        <f aca="false">N775*(1+Rend_MSIG/4)*IF(O755=1,(1-(Cap_MSIG*$N$15+(1-Cap_MSIG)*$N$16))*(1+MSIG_USD*$N$14),1)+O785-O779-O799*IF((N774+N775+N776+N777)&gt;0,N775/(N774+N775+N776+N777),0)</f>
        <v>8856125.58800305</v>
      </c>
    </row>
    <row r="776" customFormat="false" ht="15" hidden="false" customHeight="false" outlineLevel="0" collapsed="false">
      <c r="B776" s="65" t="s">
        <v>1037</v>
      </c>
      <c r="C776" s="73" t="n">
        <f aca="false">AN_cible*Ws_PG</f>
        <v>12250000</v>
      </c>
      <c r="D776" s="73" t="n">
        <f aca="false">C776*(1+Rend_PG/4)*IF(D755=1,(1-(Cap_PG*$N$15+(1-Cap_PG)*$N$16))*(1+0*$N$14),1)-D780-D796*IF((D786+D787)&gt;0,D786/(D786+D787),0)+D801/2-D799*IF((C774+C775+C776+C777)&gt;0,C776/(C774+C775+C776+C777),0)</f>
        <v>11888931.25</v>
      </c>
      <c r="E776" s="73" t="n">
        <f aca="false">D776*(1+Rend_PG/4)*IF(E755=1,(1-(Cap_PG*$N$15+(1-Cap_PG)*$N$16))*(1+0*$N$14),1)-E780-E796*IF((E786+E787)&gt;0,E786/(E786+E787),0)+E801/2-E799*IF((D774+D775+D776+D777)&gt;0,D776/(D774+D775+D776+D777),0)</f>
        <v>11538505.0014063</v>
      </c>
      <c r="F776" s="73" t="n">
        <f aca="false">E776*(1+Rend_PG/4)*IF(F755=1,(1-(Cap_PG*$N$15+(1-Cap_PG)*$N$16))*(1+0*$N$14),1)-F780-F796*IF((F786+F787)&gt;0,F786/(F786+F787),0)+F801/2-F799*IF((E774+E775+E776+E777)&gt;0,E776/(E774+E775+E776+E777),0)</f>
        <v>11198407.5664898</v>
      </c>
      <c r="G776" s="73" t="n">
        <f aca="false">F776*(1+Rend_PG/4)*IF(G755=1,(1-(Cap_PG*$N$15+(1-Cap_PG)*$N$16))*(1+0*$N$14),1)-G780-G796*IF((G786+G787)&gt;0,G786/(G786+G787),0)+G801/2-G799*IF((F774+F775+F776+F777)&gt;0,F776/(F774+F775+F776+F777),0)</f>
        <v>10868334.5034675</v>
      </c>
      <c r="H776" s="73" t="n">
        <f aca="false">G776*(1+Rend_PG/4)*IF(H755=1,(1-(Cap_PG*$N$15+(1-Cap_PG)*$N$16))*(1+0*$N$14),1)-H780-H796*IF((H786+H787)&gt;0,H786/(H786+H787),0)+H801/2-H799*IF((G774+G775+G776+G777)&gt;0,G776/(G774+G775+G776+G777),0)</f>
        <v>10547990.3439778</v>
      </c>
      <c r="I776" s="73" t="n">
        <f aca="false">H776*(1+Rend_PG/4)*IF(I755=1,(1-(Cap_PG*$N$15+(1-Cap_PG)*$N$16))*(1+0*$N$14),1)-I780-I796*IF((I786+I787)&gt;0,I786/(I786+I787),0)+I801/2-I799*IF((H774+H775+H776+H777)&gt;0,H776/(H774+H775+H776+H777),0)</f>
        <v>10237088.3285891</v>
      </c>
      <c r="J776" s="73" t="n">
        <f aca="false">I776*(1+Rend_PG/4)*IF(J755=1,(1-(Cap_PG*$N$15+(1-Cap_PG)*$N$16))*(1+0*$N$14),1)-J780-J796*IF((J786+J787)&gt;0,J786/(J786+J787),0)+J801/2-J799*IF((I774+I775+I776+I777)&gt;0,I776/(I774+I775+I776+I777),0)</f>
        <v>9935350.1501039</v>
      </c>
      <c r="K776" s="73" t="n">
        <f aca="false">J776*(1+Rend_PG/4)*IF(K755=1,(1-(Cap_PG*$N$15+(1-Cap_PG)*$N$16))*(1+0*$N$14),1)-K780-K796*IF((K786+K787)&gt;0,K786/(K786+K787),0)+K801/2-K799*IF((J774+J775+J776+J777)&gt;0,J776/(J774+J775+J776+J777),0)</f>
        <v>9642505.70442959</v>
      </c>
      <c r="L776" s="73" t="n">
        <f aca="false">K776*(1+Rend_PG/4)*IF(L755=1,(1-(Cap_PG*$N$15+(1-Cap_PG)*$N$16))*(1+0*$N$14),1)-L780-L796*IF((L786+L787)&gt;0,L786/(L786+L787),0)+L801/2-L799*IF((K774+K775+K776+K777)&gt;0,K776/(K774+K775+K776+K777),0)</f>
        <v>9358292.84879153</v>
      </c>
      <c r="M776" s="73" t="n">
        <f aca="false">L776*(1+Rend_PG/4)*IF(M755=1,(1-(Cap_PG*$N$15+(1-Cap_PG)*$N$16))*(1+0*$N$14),1)-M780-M796*IF((M786+M787)&gt;0,M786/(M786+M787),0)+M801/2-M799*IF((L774+L775+L776+L777)&gt;0,L776/(L774+L775+L776+L777),0)</f>
        <v>9082457.1670734</v>
      </c>
      <c r="N776" s="73" t="n">
        <f aca="false">M776*(1+Rend_PG/4)*IF(N755=1,(1-(Cap_PG*$N$15+(1-Cap_PG)*$N$16))*(1+0*$N$14),1)-N780-N796*IF((N786+N787)&gt;0,N786/(N786+N787),0)+N801/2-N799*IF((M774+M775+M776+M777)&gt;0,M776/(M774+M775+M776+M777),0)</f>
        <v>8814751.74207391</v>
      </c>
      <c r="O776" s="73" t="n">
        <f aca="false">N776*(1+Rend_PG/4)*IF(O755=1,(1-(Cap_PG*$N$15+(1-Cap_PG)*$N$16))*(1+0*$N$14),1)-O780-O796*IF((O786+O787)&gt;0,O786/(O786+O787),0)+O801/2-O799*IF((N774+N775+N776+N777)&gt;0,N776/(N774+N775+N776+N777),0)</f>
        <v>8554936.93447628</v>
      </c>
    </row>
    <row r="777" customFormat="false" ht="15" hidden="false" customHeight="false" outlineLevel="0" collapsed="false">
      <c r="B777" s="65" t="s">
        <v>1038</v>
      </c>
      <c r="C777" s="73" t="n">
        <f aca="false">AN_cible*Ws_ARES</f>
        <v>12250000</v>
      </c>
      <c r="D777" s="73" t="n">
        <f aca="false">C777*(1+Rend_ARES/4)*IF(D755=1,(1-(Cap_ARES*$N$15+(1-Cap_ARES)*$N$16))*(1+0*$N$14),1)-D781-D796*IF((D786+D787)&gt;0,D787/(D786+D787),0)/(1-IF(D755&lt;=Deduc_trim,Deduc_ares,0))+D801/2-D799*IF((C774+C775+C776+C777)&gt;0,C777/(C774+C775+C776+C777),0)</f>
        <v>11727537.5</v>
      </c>
      <c r="E777" s="73" t="n">
        <f aca="false">D777*(1+Rend_ARES/4)*IF(E755=1,(1-(Cap_ARES*$N$15+(1-Cap_ARES)*$N$16))*(1+0*$N$14),1)-E781-E796*IF((E786+E787)&gt;0,E787/(E786+E787),0)/(1-IF(E755&lt;=Deduc_trim,Deduc_ares,0))+E801/2-E799*IF((D774+D775+D776+D777)&gt;0,D777/(D774+D775+D776+D777),0)</f>
        <v>11227358.025625</v>
      </c>
      <c r="F777" s="73" t="n">
        <f aca="false">E777*(1+Rend_ARES/4)*IF(F755=1,(1-(Cap_ARES*$N$15+(1-Cap_ARES)*$N$16))*(1+0*$N$14),1)-F781-F796*IF((F786+F787)&gt;0,F787/(F786+F787),0)/(1-IF(F755&lt;=Deduc_trim,Deduc_ares,0))+F801/2-F799*IF((E774+E775+E776+E777)&gt;0,E777/(E774+E775+E776+E777),0)</f>
        <v>10748511.2058321</v>
      </c>
      <c r="G777" s="73" t="n">
        <f aca="false">F777*(1+Rend_ARES/4)*IF(G755=1,(1-(Cap_ARES*$N$15+(1-Cap_ARES)*$N$16))*(1+0*$N$14),1)-G781-G796*IF((G786+G787)&gt;0,G787/(G786+G787),0)/(1-IF(G755&lt;=Deduc_trim,Deduc_ares,0))+G801/2-G799*IF((F774+F775+F776+F777)&gt;0,F777/(F774+F775+F776+F777),0)</f>
        <v>10290087.2029034</v>
      </c>
      <c r="H777" s="73" t="n">
        <f aca="false">G777*(1+Rend_ARES/4)*IF(H755=1,(1-(Cap_ARES*$N$15+(1-Cap_ARES)*$N$16))*(1+0*$N$14),1)-H781-H796*IF((H786+H787)&gt;0,H787/(H786+H787),0)/(1-IF(H755&lt;=Deduc_trim,Deduc_ares,0))+H801/2-H799*IF((G774+G775+G776+G777)&gt;0,G777/(G774+G775+G776+G777),0)</f>
        <v>9851214.98369952</v>
      </c>
      <c r="I777" s="73" t="n">
        <f aca="false">H777*(1+Rend_ARES/4)*IF(I755=1,(1-(Cap_ARES*$N$15+(1-Cap_ARES)*$N$16))*(1+0*$N$14),1)-I781-I796*IF((I786+I787)&gt;0,I787/(I786+I787),0)/(1-IF(I755&lt;=Deduc_trim,Deduc_ares,0))+I801/2-I799*IF((H774+H775+H776+H777)&gt;0,H777/(H774+H775+H776+H777),0)</f>
        <v>9431060.66464474</v>
      </c>
      <c r="J777" s="73" t="n">
        <f aca="false">I777*(1+Rend_ARES/4)*IF(J755=1,(1-(Cap_ARES*$N$15+(1-Cap_ARES)*$N$16))*(1+0*$N$14),1)-J781-J796*IF((J786+J787)&gt;0,J787/(J786+J787),0)/(1-IF(J755&lt;=Deduc_trim,Deduc_ares,0))+J801/2-J799*IF((I774+I775+I776+I777)&gt;0,I777/(I774+I775+I776+I777),0)</f>
        <v>9028825.92729764</v>
      </c>
      <c r="K777" s="73" t="n">
        <f aca="false">J777*(1+Rend_ARES/4)*IF(K755=1,(1-(Cap_ARES*$N$15+(1-Cap_ARES)*$N$16))*(1+0*$N$14),1)-K781-K796*IF((K786+K787)&gt;0,K787/(K786+K787),0)/(1-IF(K755&lt;=Deduc_trim,Deduc_ares,0))+K801/2-K799*IF((J774+J775+J776+J777)&gt;0,J777/(J774+J775+J776+J777),0)</f>
        <v>8643746.5014984</v>
      </c>
      <c r="L777" s="73" t="n">
        <f aca="false">K777*(1+Rend_ARES/4)*IF(L755=1,(1-(Cap_ARES*$N$15+(1-Cap_ARES)*$N$16))*(1+0*$N$14),1)-L781-L796*IF((L786+L787)&gt;0,L787/(L786+L787),0)/(1-IF(L755&lt;=Deduc_trim,Deduc_ares,0))+L801/2-L799*IF((K774+K775+K776+K777)&gt;0,K777/(K774+K775+K776+K777),0)</f>
        <v>8275090.71320949</v>
      </c>
      <c r="M777" s="73" t="n">
        <f aca="false">L777*(1+Rend_ARES/4)*IF(M755=1,(1-(Cap_ARES*$N$15+(1-Cap_ARES)*$N$16))*(1+0*$N$14),1)-M781-M796*IF((M786+M787)&gt;0,M787/(M786+M787),0)/(1-IF(M755&lt;=Deduc_trim,Deduc_ares,0))+M801/2-M799*IF((L774+L775+L776+L777)&gt;0,L777/(L774+L775+L776+L777),0)</f>
        <v>7922158.0942911</v>
      </c>
      <c r="N777" s="73" t="n">
        <f aca="false">M777*(1+Rend_ARES/4)*IF(N755=1,(1-(Cap_ARES*$N$15+(1-Cap_ARES)*$N$16))*(1+0*$N$14),1)-N781-N796*IF((N786+N787)&gt;0,N787/(N786+N787),0)/(1-IF(N755&lt;=Deduc_trim,Deduc_ares,0))+N801/2-N799*IF((M774+M775+M776+M777)&gt;0,M777/(M774+M775+M776+M777),0)</f>
        <v>7584278.05156959</v>
      </c>
      <c r="O777" s="73" t="n">
        <f aca="false">N777*(1+Rend_ARES/4)*IF(O755=1,(1-(Cap_ARES*$N$15+(1-Cap_ARES)*$N$16))*(1+0*$N$14),1)-O781-O796*IF((O786+O787)&gt;0,O787/(O786+O787),0)/(1-IF(O755&lt;=Deduc_trim,Deduc_ares,0))+O801/2-O799*IF((N774+N775+N776+N777)&gt;0,N777/(N774+N775+N776+N777),0)</f>
        <v>7260808.59267014</v>
      </c>
    </row>
    <row r="778" customFormat="false" ht="15" hidden="false" customHeight="false" outlineLevel="0" collapsed="false">
      <c r="B778" s="65" t="s">
        <v>1039</v>
      </c>
      <c r="C778" s="25"/>
      <c r="D778" s="73" t="n">
        <f aca="false">C774*Dist_MAPIF/4*IF(D755&lt;=$N$11,0,$N$10)</f>
        <v>187500</v>
      </c>
      <c r="E778" s="73" t="n">
        <f aca="false">D774*Dist_MAPIF/4*IF(E755&lt;=$N$11,0,$N$10)</f>
        <v>194573.4375</v>
      </c>
      <c r="F778" s="73" t="n">
        <f aca="false">E774*Dist_MAPIF/4*IF(F755&lt;=$N$11,0,$N$10)</f>
        <v>201701.517304688</v>
      </c>
      <c r="G778" s="73" t="n">
        <f aca="false">F774*Dist_MAPIF/4*IF(G755&lt;=$N$11,0,$N$10)</f>
        <v>208884.661525866</v>
      </c>
      <c r="H778" s="73" t="n">
        <f aca="false">G774*Dist_MAPIF/4*IF(H755&lt;=$N$11,0,$N$10)</f>
        <v>216123.295536154</v>
      </c>
      <c r="I778" s="73" t="n">
        <f aca="false">H774*Dist_MAPIF/4*IF(I755&lt;=$N$11,0,$N$10)</f>
        <v>223417.84799417</v>
      </c>
      <c r="J778" s="73" t="n">
        <f aca="false">I774*Dist_MAPIF/4*IF(J755&lt;=$N$11,0,$N$10)</f>
        <v>230768.750869925</v>
      </c>
      <c r="K778" s="73" t="n">
        <f aca="false">J774*Dist_MAPIF/4*IF(K755&lt;=$N$11,0,$N$10)</f>
        <v>238176.439470396</v>
      </c>
      <c r="L778" s="73" t="n">
        <f aca="false">K774*Dist_MAPIF/4*IF(L755&lt;=$N$11,0,$N$10)</f>
        <v>245641.352465304</v>
      </c>
      <c r="M778" s="73" t="n">
        <f aca="false">L774*Dist_MAPIF/4*IF(M755&lt;=$N$11,0,$N$10)</f>
        <v>253163.931913099</v>
      </c>
      <c r="N778" s="73" t="n">
        <f aca="false">M774*Dist_MAPIF/4*IF(N755&lt;=$N$11,0,$N$10)</f>
        <v>260744.623287128</v>
      </c>
      <c r="O778" s="73" t="n">
        <f aca="false">N774*Dist_MAPIF/4*IF(O755&lt;=$N$11,0,$N$10)</f>
        <v>268383.875502021</v>
      </c>
    </row>
    <row r="779" customFormat="false" ht="15" hidden="false" customHeight="false" outlineLevel="0" collapsed="false">
      <c r="B779" s="65" t="s">
        <v>1040</v>
      </c>
      <c r="C779" s="25"/>
      <c r="D779" s="73" t="n">
        <f aca="false">C775*Dist_MSIG/4*IF(D755&lt;=$N$11,0,$N$10)</f>
        <v>96250</v>
      </c>
      <c r="E779" s="73" t="n">
        <f aca="false">D775*Dist_MSIG/4*IF(E755&lt;=$N$11,0,$N$10)</f>
        <v>101031.65625</v>
      </c>
      <c r="F779" s="73" t="n">
        <f aca="false">E775*Dist_MSIG/4*IF(F755&lt;=$N$11,0,$N$10)</f>
        <v>105833.514997656</v>
      </c>
      <c r="G779" s="73" t="n">
        <f aca="false">F775*Dist_MSIG/4*IF(G755&lt;=$N$11,0,$N$10)</f>
        <v>110655.661598521</v>
      </c>
      <c r="H779" s="73" t="n">
        <f aca="false">G775*Dist_MSIG/4*IF(H755&lt;=$N$11,0,$N$10)</f>
        <v>115498.181768775</v>
      </c>
      <c r="I779" s="73" t="n">
        <f aca="false">H775*Dist_MSIG/4*IF(I755&lt;=$N$11,0,$N$10)</f>
        <v>120361.161586748</v>
      </c>
      <c r="J779" s="73" t="n">
        <f aca="false">I775*Dist_MSIG/4*IF(J755&lt;=$N$11,0,$N$10)</f>
        <v>125244.687494452</v>
      </c>
      <c r="K779" s="73" t="n">
        <f aca="false">J775*Dist_MSIG/4*IF(K755&lt;=$N$11,0,$N$10)</f>
        <v>130148.846299116</v>
      </c>
      <c r="L779" s="73" t="n">
        <f aca="false">K775*Dist_MSIG/4*IF(L755&lt;=$N$11,0,$N$10)</f>
        <v>135073.72517473</v>
      </c>
      <c r="M779" s="73" t="n">
        <f aca="false">L775*Dist_MSIG/4*IF(M755&lt;=$N$11,0,$N$10)</f>
        <v>140019.411663593</v>
      </c>
      <c r="N779" s="73" t="n">
        <f aca="false">M775*Dist_MSIG/4*IF(N755&lt;=$N$11,0,$N$10)</f>
        <v>144985.993677872</v>
      </c>
      <c r="O779" s="73" t="n">
        <f aca="false">N775*Dist_MSIG/4*IF(O755&lt;=$N$11,0,$N$10)</f>
        <v>149973.559501161</v>
      </c>
    </row>
    <row r="780" customFormat="false" ht="15" hidden="false" customHeight="false" outlineLevel="0" collapsed="false">
      <c r="B780" s="65" t="s">
        <v>1041</v>
      </c>
      <c r="C780" s="25"/>
      <c r="D780" s="73" t="n">
        <f aca="false">C776*Dist_PG/4*IF(D755&lt;=$N$11,0,$N$10)</f>
        <v>61250</v>
      </c>
      <c r="E780" s="73" t="n">
        <f aca="false">D776*Dist_PG/4*IF(E755&lt;=$N$11,0,$N$10)</f>
        <v>59444.65625</v>
      </c>
      <c r="F780" s="73" t="n">
        <f aca="false">E776*Dist_PG/4*IF(F755&lt;=$N$11,0,$N$10)</f>
        <v>57692.5250070313</v>
      </c>
      <c r="G780" s="73" t="n">
        <f aca="false">F776*Dist_PG/4*IF(G755&lt;=$N$11,0,$N$10)</f>
        <v>55992.037832449</v>
      </c>
      <c r="H780" s="73" t="n">
        <f aca="false">G776*Dist_PG/4*IF(H755&lt;=$N$11,0,$N$10)</f>
        <v>54341.6725173376</v>
      </c>
      <c r="I780" s="73" t="n">
        <f aca="false">H776*Dist_PG/4*IF(I755&lt;=$N$11,0,$N$10)</f>
        <v>52739.9517198891</v>
      </c>
      <c r="J780" s="73" t="n">
        <f aca="false">I776*Dist_PG/4*IF(J755&lt;=$N$11,0,$N$10)</f>
        <v>51185.4416429453</v>
      </c>
      <c r="K780" s="73" t="n">
        <f aca="false">J776*Dist_PG/4*IF(K755&lt;=$N$11,0,$N$10)</f>
        <v>49676.7507505195</v>
      </c>
      <c r="L780" s="73" t="n">
        <f aca="false">K776*Dist_PG/4*IF(L755&lt;=$N$11,0,$N$10)</f>
        <v>48212.528522148</v>
      </c>
      <c r="M780" s="73" t="n">
        <f aca="false">L776*Dist_PG/4*IF(M755&lt;=$N$11,0,$N$10)</f>
        <v>46791.4642439576</v>
      </c>
      <c r="N780" s="73" t="n">
        <f aca="false">M776*Dist_PG/4*IF(N755&lt;=$N$11,0,$N$10)</f>
        <v>45412.285835367</v>
      </c>
      <c r="O780" s="73" t="n">
        <f aca="false">N776*Dist_PG/4*IF(O755&lt;=$N$11,0,$N$10)</f>
        <v>44073.7587103696</v>
      </c>
    </row>
    <row r="781" customFormat="false" ht="15" hidden="false" customHeight="false" outlineLevel="0" collapsed="false">
      <c r="B781" s="65" t="s">
        <v>1042</v>
      </c>
      <c r="C781" s="25"/>
      <c r="D781" s="73" t="n">
        <f aca="false">C777*Dist_ARES/4*IF(D755&lt;=$N$11,0,$N$10)</f>
        <v>153125</v>
      </c>
      <c r="E781" s="73" t="n">
        <f aca="false">D777*Dist_ARES/4*IF(E755&lt;=$N$11,0,$N$10)</f>
        <v>146594.21875</v>
      </c>
      <c r="F781" s="73" t="n">
        <f aca="false">E777*Dist_ARES/4*IF(F755&lt;=$N$11,0,$N$10)</f>
        <v>140341.975320313</v>
      </c>
      <c r="G781" s="73" t="n">
        <f aca="false">F777*Dist_ARES/4*IF(G755&lt;=$N$11,0,$N$10)</f>
        <v>134356.390072901</v>
      </c>
      <c r="H781" s="73" t="n">
        <f aca="false">G777*Dist_ARES/4*IF(H755&lt;=$N$11,0,$N$10)</f>
        <v>128626.090036292</v>
      </c>
      <c r="I781" s="73" t="n">
        <f aca="false">H777*Dist_ARES/4*IF(I755&lt;=$N$11,0,$N$10)</f>
        <v>123140.187296244</v>
      </c>
      <c r="J781" s="73" t="n">
        <f aca="false">I777*Dist_ARES/4*IF(J755&lt;=$N$11,0,$N$10)</f>
        <v>117888.258308059</v>
      </c>
      <c r="K781" s="73" t="n">
        <f aca="false">J777*Dist_ARES/4*IF(K755&lt;=$N$11,0,$N$10)</f>
        <v>112860.324091221</v>
      </c>
      <c r="L781" s="73" t="n">
        <f aca="false">K777*Dist_ARES/4*IF(L755&lt;=$N$11,0,$N$10)</f>
        <v>108046.83126873</v>
      </c>
      <c r="M781" s="73" t="n">
        <f aca="false">L777*Dist_ARES/4*IF(M755&lt;=$N$11,0,$N$10)</f>
        <v>103438.633915119</v>
      </c>
      <c r="N781" s="73" t="n">
        <f aca="false">M777*Dist_ARES/4*IF(N755&lt;=$N$11,0,$N$10)</f>
        <v>99026.9761786388</v>
      </c>
      <c r="O781" s="73" t="n">
        <f aca="false">N777*Dist_ARES/4*IF(O755&lt;=$N$11,0,$N$10)</f>
        <v>94803.4756446198</v>
      </c>
    </row>
    <row r="782" customFormat="false" ht="15" hidden="false" customHeight="false" outlineLevel="0" collapsed="false">
      <c r="B782" s="65" t="s">
        <v>1043</v>
      </c>
      <c r="C782" s="73" t="n">
        <f aca="false">AN_cible*$N$12*Part_MAPIF_NA</f>
        <v>4500000</v>
      </c>
      <c r="D782" s="73" t="n">
        <f aca="false">C782*IF(D755=1,1+$N$14,1)-D784</f>
        <v>4125000</v>
      </c>
      <c r="E782" s="73" t="n">
        <f aca="false">D782*IF(E755=1,1+$N$14,1)-E784</f>
        <v>3750000</v>
      </c>
      <c r="F782" s="73" t="n">
        <f aca="false">E782*IF(F755=1,1+$N$14,1)-F784</f>
        <v>3375000</v>
      </c>
      <c r="G782" s="73" t="n">
        <f aca="false">F782*IF(G755=1,1+$N$14,1)-G784</f>
        <v>3000000</v>
      </c>
      <c r="H782" s="73" t="n">
        <f aca="false">G782*IF(H755=1,1+$N$14,1)-H784</f>
        <v>2625000</v>
      </c>
      <c r="I782" s="73" t="n">
        <f aca="false">H782*IF(I755=1,1+$N$14,1)-I784</f>
        <v>2250000</v>
      </c>
      <c r="J782" s="73" t="n">
        <f aca="false">I782*IF(J755=1,1+$N$14,1)-J784</f>
        <v>1875000</v>
      </c>
      <c r="K782" s="73" t="n">
        <f aca="false">J782*IF(K755=1,1+$N$14,1)-K784</f>
        <v>1500000</v>
      </c>
      <c r="L782" s="73" t="n">
        <f aca="false">K782*IF(L755=1,1+$N$14,1)-L784</f>
        <v>1125000</v>
      </c>
      <c r="M782" s="73" t="n">
        <f aca="false">L782*IF(M755=1,1+$N$14,1)-M784</f>
        <v>750000</v>
      </c>
      <c r="N782" s="73" t="n">
        <f aca="false">M782*IF(N755=1,1+$N$14,1)-N784</f>
        <v>375000</v>
      </c>
      <c r="O782" s="73" t="n">
        <f aca="false">N782*IF(O755=1,1+$N$14,1)-O784</f>
        <v>0</v>
      </c>
    </row>
    <row r="783" customFormat="false" ht="15" hidden="false" customHeight="false" outlineLevel="0" collapsed="false">
      <c r="B783" s="65" t="s">
        <v>1044</v>
      </c>
      <c r="C783" s="73" t="n">
        <f aca="false">AN_cible*$N$12*(1-Part_MAPIF_NA)</f>
        <v>3000000</v>
      </c>
      <c r="D783" s="73" t="n">
        <f aca="false">C783*IF(D755=1,1+MSIG_USD*$N$14,1)-D785</f>
        <v>2750000</v>
      </c>
      <c r="E783" s="73" t="n">
        <f aca="false">D783*IF(E755=1,1+MSIG_USD*$N$14,1)-E785</f>
        <v>2500000</v>
      </c>
      <c r="F783" s="73" t="n">
        <f aca="false">E783*IF(F755=1,1+MSIG_USD*$N$14,1)-F785</f>
        <v>2250000</v>
      </c>
      <c r="G783" s="73" t="n">
        <f aca="false">F783*IF(G755=1,1+MSIG_USD*$N$14,1)-G785</f>
        <v>2000000</v>
      </c>
      <c r="H783" s="73" t="n">
        <f aca="false">G783*IF(H755=1,1+MSIG_USD*$N$14,1)-H785</f>
        <v>1750000</v>
      </c>
      <c r="I783" s="73" t="n">
        <f aca="false">H783*IF(I755=1,1+MSIG_USD*$N$14,1)-I785</f>
        <v>1500000</v>
      </c>
      <c r="J783" s="73" t="n">
        <f aca="false">I783*IF(J755=1,1+MSIG_USD*$N$14,1)-J785</f>
        <v>1250000</v>
      </c>
      <c r="K783" s="73" t="n">
        <f aca="false">J783*IF(K755=1,1+MSIG_USD*$N$14,1)-K785</f>
        <v>1000000</v>
      </c>
      <c r="L783" s="73" t="n">
        <f aca="false">K783*IF(L755=1,1+MSIG_USD*$N$14,1)-L785</f>
        <v>750000</v>
      </c>
      <c r="M783" s="73" t="n">
        <f aca="false">L783*IF(M755=1,1+MSIG_USD*$N$14,1)-M785</f>
        <v>500000</v>
      </c>
      <c r="N783" s="73" t="n">
        <f aca="false">M783*IF(N755=1,1+MSIG_USD*$N$14,1)-N785</f>
        <v>250000</v>
      </c>
      <c r="O783" s="73" t="n">
        <f aca="false">N783*IF(O755=1,1+MSIG_USD*$N$14,1)-O785</f>
        <v>0</v>
      </c>
    </row>
    <row r="784" customFormat="false" ht="15" hidden="false" customHeight="false" outlineLevel="0" collapsed="false">
      <c r="B784" s="65" t="s">
        <v>1045</v>
      </c>
      <c r="C784" s="25"/>
      <c r="D784" s="73" t="n">
        <f aca="false">MIN(C782*IF(D755=1,1+$N$14,1),$C782*(1+$N$14)*IF(D755&lt;=4,$N$13/4,Appels_base))</f>
        <v>375000</v>
      </c>
      <c r="E784" s="73" t="n">
        <f aca="false">MIN(D782*IF(E755=1,1+$N$14,1),$C782*(1+$N$14)*IF(E755&lt;=4,$N$13/4,Appels_base))</f>
        <v>375000</v>
      </c>
      <c r="F784" s="73" t="n">
        <f aca="false">MIN(E782*IF(F755=1,1+$N$14,1),$C782*(1+$N$14)*IF(F755&lt;=4,$N$13/4,Appels_base))</f>
        <v>375000</v>
      </c>
      <c r="G784" s="73" t="n">
        <f aca="false">MIN(F782*IF(G755=1,1+$N$14,1),$C782*(1+$N$14)*IF(G755&lt;=4,$N$13/4,Appels_base))</f>
        <v>375000</v>
      </c>
      <c r="H784" s="73" t="n">
        <f aca="false">MIN(G782*IF(H755=1,1+$N$14,1),$C782*(1+$N$14)*IF(H755&lt;=4,$N$13/4,Appels_base))</f>
        <v>375000</v>
      </c>
      <c r="I784" s="73" t="n">
        <f aca="false">MIN(H782*IF(I755=1,1+$N$14,1),$C782*(1+$N$14)*IF(I755&lt;=4,$N$13/4,Appels_base))</f>
        <v>375000</v>
      </c>
      <c r="J784" s="73" t="n">
        <f aca="false">MIN(I782*IF(J755=1,1+$N$14,1),$C782*(1+$N$14)*IF(J755&lt;=4,$N$13/4,Appels_base))</f>
        <v>375000</v>
      </c>
      <c r="K784" s="73" t="n">
        <f aca="false">MIN(J782*IF(K755=1,1+$N$14,1),$C782*(1+$N$14)*IF(K755&lt;=4,$N$13/4,Appels_base))</f>
        <v>375000</v>
      </c>
      <c r="L784" s="73" t="n">
        <f aca="false">MIN(K782*IF(L755=1,1+$N$14,1),$C782*(1+$N$14)*IF(L755&lt;=4,$N$13/4,Appels_base))</f>
        <v>375000</v>
      </c>
      <c r="M784" s="73" t="n">
        <f aca="false">MIN(L782*IF(M755=1,1+$N$14,1),$C782*(1+$N$14)*IF(M755&lt;=4,$N$13/4,Appels_base))</f>
        <v>375000</v>
      </c>
      <c r="N784" s="73" t="n">
        <f aca="false">MIN(M782*IF(N755=1,1+$N$14,1),$C782*(1+$N$14)*IF(N755&lt;=4,$N$13/4,Appels_base))</f>
        <v>375000</v>
      </c>
      <c r="O784" s="73" t="n">
        <f aca="false">MIN(N782*IF(O755=1,1+$N$14,1),$C782*(1+$N$14)*IF(O755&lt;=4,$N$13/4,Appels_base))</f>
        <v>375000</v>
      </c>
    </row>
    <row r="785" customFormat="false" ht="15" hidden="false" customHeight="false" outlineLevel="0" collapsed="false">
      <c r="B785" s="65" t="s">
        <v>1046</v>
      </c>
      <c r="C785" s="25"/>
      <c r="D785" s="73" t="n">
        <f aca="false">MIN(C783*IF(D755=1,1+MSIG_USD*$N$14,1),$C783*(1+MSIG_USD*$N$14)*IF(D755&lt;=4,$N$13/4,Appels_base))</f>
        <v>250000</v>
      </c>
      <c r="E785" s="73" t="n">
        <f aca="false">MIN(D783*IF(E755=1,1+MSIG_USD*$N$14,1),$C783*(1+MSIG_USD*$N$14)*IF(E755&lt;=4,$N$13/4,Appels_base))</f>
        <v>250000</v>
      </c>
      <c r="F785" s="73" t="n">
        <f aca="false">MIN(E783*IF(F755=1,1+MSIG_USD*$N$14,1),$C783*(1+MSIG_USD*$N$14)*IF(F755&lt;=4,$N$13/4,Appels_base))</f>
        <v>250000</v>
      </c>
      <c r="G785" s="73" t="n">
        <f aca="false">MIN(F783*IF(G755=1,1+MSIG_USD*$N$14,1),$C783*(1+MSIG_USD*$N$14)*IF(G755&lt;=4,$N$13/4,Appels_base))</f>
        <v>250000</v>
      </c>
      <c r="H785" s="73" t="n">
        <f aca="false">MIN(G783*IF(H755=1,1+MSIG_USD*$N$14,1),$C783*(1+MSIG_USD*$N$14)*IF(H755&lt;=4,$N$13/4,Appels_base))</f>
        <v>250000</v>
      </c>
      <c r="I785" s="73" t="n">
        <f aca="false">MIN(H783*IF(I755=1,1+MSIG_USD*$N$14,1),$C783*(1+MSIG_USD*$N$14)*IF(I755&lt;=4,$N$13/4,Appels_base))</f>
        <v>250000</v>
      </c>
      <c r="J785" s="73" t="n">
        <f aca="false">MIN(I783*IF(J755=1,1+MSIG_USD*$N$14,1),$C783*(1+MSIG_USD*$N$14)*IF(J755&lt;=4,$N$13/4,Appels_base))</f>
        <v>250000</v>
      </c>
      <c r="K785" s="73" t="n">
        <f aca="false">MIN(J783*IF(K755=1,1+MSIG_USD*$N$14,1),$C783*(1+MSIG_USD*$N$14)*IF(K755&lt;=4,$N$13/4,Appels_base))</f>
        <v>250000</v>
      </c>
      <c r="L785" s="73" t="n">
        <f aca="false">MIN(K783*IF(L755=1,1+MSIG_USD*$N$14,1),$C783*(1+MSIG_USD*$N$14)*IF(L755&lt;=4,$N$13/4,Appels_base))</f>
        <v>250000</v>
      </c>
      <c r="M785" s="73" t="n">
        <f aca="false">MIN(L783*IF(M755=1,1+MSIG_USD*$N$14,1),$C783*(1+MSIG_USD*$N$14)*IF(M755&lt;=4,$N$13/4,Appels_base))</f>
        <v>250000</v>
      </c>
      <c r="N785" s="73" t="n">
        <f aca="false">MIN(M783*IF(N755=1,1+MSIG_USD*$N$14,1),$C783*(1+MSIG_USD*$N$14)*IF(N755&lt;=4,$N$13/4,Appels_base))</f>
        <v>250000</v>
      </c>
      <c r="O785" s="73" t="n">
        <f aca="false">MIN(N783*IF(O755=1,1+MSIG_USD*$N$14,1),$C783*(1+MSIG_USD*$N$14)*IF(O755&lt;=4,$N$13/4,Appels_base))</f>
        <v>250000</v>
      </c>
    </row>
    <row r="786" customFormat="false" ht="15" hidden="false" customHeight="false" outlineLevel="0" collapsed="false">
      <c r="B786" s="65" t="s">
        <v>1047</v>
      </c>
      <c r="C786" s="25"/>
      <c r="D786" s="73" t="n">
        <f aca="false">C776*Capacite_evg*IF(D755&lt;=4,$N$17,$N$18)</f>
        <v>612500</v>
      </c>
      <c r="E786" s="73" t="n">
        <f aca="false">D776*Capacite_evg*IF(E755&lt;=4,$N$17,$N$18)</f>
        <v>594446.5625</v>
      </c>
      <c r="F786" s="73" t="n">
        <f aca="false">E776*Capacite_evg*IF(F755&lt;=4,$N$17,$N$18)</f>
        <v>576925.250070313</v>
      </c>
      <c r="G786" s="73" t="n">
        <f aca="false">F776*Capacite_evg*IF(G755&lt;=4,$N$17,$N$18)</f>
        <v>559920.37832449</v>
      </c>
      <c r="H786" s="73" t="n">
        <f aca="false">G776*Capacite_evg*IF(H755&lt;=4,$N$17,$N$18)</f>
        <v>543416.725173376</v>
      </c>
      <c r="I786" s="73" t="n">
        <f aca="false">H776*Capacite_evg*IF(I755&lt;=4,$N$17,$N$18)</f>
        <v>527399.517198891</v>
      </c>
      <c r="J786" s="73" t="n">
        <f aca="false">I776*Capacite_evg*IF(J755&lt;=4,$N$17,$N$18)</f>
        <v>511854.416429453</v>
      </c>
      <c r="K786" s="73" t="n">
        <f aca="false">J776*Capacite_evg*IF(K755&lt;=4,$N$17,$N$18)</f>
        <v>496767.507505195</v>
      </c>
      <c r="L786" s="73" t="n">
        <f aca="false">K776*Capacite_evg*IF(L755&lt;=4,$N$17,$N$18)</f>
        <v>482125.28522148</v>
      </c>
      <c r="M786" s="73" t="n">
        <f aca="false">L776*Capacite_evg*IF(M755&lt;=4,$N$17,$N$18)</f>
        <v>467914.642439576</v>
      </c>
      <c r="N786" s="73" t="n">
        <f aca="false">M776*Capacite_evg*IF(N755&lt;=4,$N$17,$N$18)</f>
        <v>454122.85835367</v>
      </c>
      <c r="O786" s="73" t="n">
        <f aca="false">N776*Capacite_evg*IF(O755&lt;=4,$N$17,$N$18)</f>
        <v>440737.587103696</v>
      </c>
    </row>
    <row r="787" customFormat="false" ht="15" hidden="false" customHeight="false" outlineLevel="0" collapsed="false">
      <c r="B787" s="65" t="s">
        <v>1048</v>
      </c>
      <c r="C787" s="25"/>
      <c r="D787" s="73" t="n">
        <f aca="false">C777*Capacite_evg*IF(D755&lt;=4,$N$17,$N$19)*(1-IF(D755&lt;=Deduc_trim,Deduc_ares,0))</f>
        <v>581875</v>
      </c>
      <c r="E787" s="73" t="n">
        <f aca="false">D777*Capacite_evg*IF(E755&lt;=4,$N$17,$N$19)*(1-IF(E755&lt;=Deduc_trim,Deduc_ares,0))</f>
        <v>557058.03125</v>
      </c>
      <c r="F787" s="73" t="n">
        <f aca="false">E777*Capacite_evg*IF(F755&lt;=4,$N$17,$N$19)*(1-IF(F755&lt;=Deduc_trim,Deduc_ares,0))</f>
        <v>533299.506217187</v>
      </c>
      <c r="G787" s="73" t="n">
        <f aca="false">F777*Capacite_evg*IF(G755&lt;=4,$N$17,$N$19)*(1-IF(G755&lt;=Deduc_trim,Deduc_ares,0))</f>
        <v>510554.282277024</v>
      </c>
      <c r="H787" s="73" t="n">
        <f aca="false">G777*Capacite_evg*IF(H755&lt;=4,$N$17,$N$19)*(1-IF(H755&lt;=Deduc_trim,Deduc_ares,0))</f>
        <v>514504.360145168</v>
      </c>
      <c r="I787" s="73" t="n">
        <f aca="false">H777*Capacite_evg*IF(I755&lt;=4,$N$17,$N$19)*(1-IF(I755&lt;=Deduc_trim,Deduc_ares,0))</f>
        <v>492560.749184976</v>
      </c>
      <c r="J787" s="73" t="n">
        <f aca="false">I777*Capacite_evg*IF(J755&lt;=4,$N$17,$N$19)*(1-IF(J755&lt;=Deduc_trim,Deduc_ares,0))</f>
        <v>471553.033232237</v>
      </c>
      <c r="K787" s="73" t="n">
        <f aca="false">J777*Capacite_evg*IF(K755&lt;=4,$N$17,$N$19)*(1-IF(K755&lt;=Deduc_trim,Deduc_ares,0))</f>
        <v>451441.296364882</v>
      </c>
      <c r="L787" s="73" t="n">
        <f aca="false">K777*Capacite_evg*IF(L755&lt;=4,$N$17,$N$19)*(1-IF(L755&lt;=Deduc_trim,Deduc_ares,0))</f>
        <v>432187.32507492</v>
      </c>
      <c r="M787" s="73" t="n">
        <f aca="false">L777*Capacite_evg*IF(M755&lt;=4,$N$17,$N$19)*(1-IF(M755&lt;=Deduc_trim,Deduc_ares,0))</f>
        <v>413754.535660474</v>
      </c>
      <c r="N787" s="73" t="n">
        <f aca="false">M777*Capacite_evg*IF(N755&lt;=4,$N$17,$N$19)*(1-IF(N755&lt;=Deduc_trim,Deduc_ares,0))</f>
        <v>396107.904714555</v>
      </c>
      <c r="O787" s="73" t="n">
        <f aca="false">N777*Capacite_evg*IF(O755&lt;=4,$N$17,$N$19)*(1-IF(O755&lt;=Deduc_trim,Deduc_ares,0))</f>
        <v>379213.902578479</v>
      </c>
    </row>
    <row r="788" customFormat="false" ht="15" hidden="false" customHeight="false" outlineLevel="0" collapsed="false">
      <c r="B788" s="65" t="s">
        <v>1049</v>
      </c>
      <c r="C788" s="25"/>
      <c r="D788" s="73" t="n">
        <f aca="false">C802</f>
        <v>7500000</v>
      </c>
      <c r="E788" s="73" t="n">
        <f aca="false">D802</f>
        <v>5739375</v>
      </c>
      <c r="F788" s="73" t="n">
        <f aca="false">E802</f>
        <v>6562891.4375</v>
      </c>
      <c r="G788" s="73" t="n">
        <f aca="false">F802</f>
        <v>4909430.45367109</v>
      </c>
      <c r="H788" s="73" t="n">
        <f aca="false">G802</f>
        <v>5659951.93568534</v>
      </c>
      <c r="I788" s="73" t="n">
        <f aca="false">H802</f>
        <v>4012380.04095581</v>
      </c>
      <c r="J788" s="73" t="n">
        <f aca="false">I802</f>
        <v>4721157.38504098</v>
      </c>
      <c r="K788" s="73" t="n">
        <f aca="false">J802</f>
        <v>3052969.10864954</v>
      </c>
      <c r="L788" s="73" t="n">
        <f aca="false">K802</f>
        <v>3699458.07298265</v>
      </c>
      <c r="M788" s="73" t="n">
        <f aca="false">L802</f>
        <v>4318465.23854271</v>
      </c>
      <c r="N788" s="73" t="n">
        <f aca="false">M802</f>
        <v>4911385.49862274</v>
      </c>
      <c r="O788" s="73" t="n">
        <f aca="false">N802</f>
        <v>5479562.85218514</v>
      </c>
    </row>
    <row r="789" customFormat="false" ht="15" hidden="false" customHeight="false" outlineLevel="0" collapsed="false">
      <c r="B789" s="65" t="s">
        <v>1050</v>
      </c>
      <c r="C789" s="25"/>
      <c r="D789" s="73" t="n">
        <f aca="false">D788*Taux_treso/4</f>
        <v>46875</v>
      </c>
      <c r="E789" s="73" t="n">
        <f aca="false">E788*Taux_treso/4</f>
        <v>35871.09375</v>
      </c>
      <c r="F789" s="73" t="n">
        <f aca="false">F788*Taux_treso/4</f>
        <v>41018.071484375</v>
      </c>
      <c r="G789" s="73" t="n">
        <f aca="false">G788*Taux_treso/4</f>
        <v>30683.9403354443</v>
      </c>
      <c r="H789" s="73" t="n">
        <f aca="false">H788*Taux_treso/4</f>
        <v>35374.6995980334</v>
      </c>
      <c r="I789" s="73" t="n">
        <f aca="false">I788*Taux_treso/4</f>
        <v>25077.3752559738</v>
      </c>
      <c r="J789" s="73" t="n">
        <f aca="false">J788*Taux_treso/4</f>
        <v>29507.2336565061</v>
      </c>
      <c r="K789" s="73" t="n">
        <f aca="false">K788*Taux_treso/4</f>
        <v>19081.0569290596</v>
      </c>
      <c r="L789" s="73" t="n">
        <f aca="false">L788*Taux_treso/4</f>
        <v>23121.6129561415</v>
      </c>
      <c r="M789" s="73" t="n">
        <f aca="false">M788*Taux_treso/4</f>
        <v>26990.407740892</v>
      </c>
      <c r="N789" s="73" t="n">
        <f aca="false">N788*Taux_treso/4</f>
        <v>30696.1593663921</v>
      </c>
      <c r="O789" s="73" t="n">
        <f aca="false">O788*Taux_treso/4</f>
        <v>34247.2678261571</v>
      </c>
    </row>
    <row r="790" customFormat="false" ht="15" hidden="false" customHeight="false" outlineLevel="0" collapsed="false">
      <c r="B790" s="65" t="s">
        <v>1051</v>
      </c>
      <c r="C790" s="25"/>
      <c r="D790" s="73" t="n">
        <f aca="false">SUM(D778:D781)</f>
        <v>498125</v>
      </c>
      <c r="E790" s="73" t="n">
        <f aca="false">SUM(E778:E781)</f>
        <v>501643.96875</v>
      </c>
      <c r="F790" s="73" t="n">
        <f aca="false">SUM(F778:F781)</f>
        <v>505569.532629688</v>
      </c>
      <c r="G790" s="73" t="n">
        <f aca="false">SUM(G778:G781)</f>
        <v>509888.751029738</v>
      </c>
      <c r="H790" s="73" t="n">
        <f aca="false">SUM(H778:H781)</f>
        <v>514589.239858558</v>
      </c>
      <c r="I790" s="73" t="n">
        <f aca="false">SUM(I778:I781)</f>
        <v>519659.148597052</v>
      </c>
      <c r="J790" s="73" t="n">
        <f aca="false">SUM(J778:J781)</f>
        <v>525087.138315382</v>
      </c>
      <c r="K790" s="73" t="n">
        <f aca="false">SUM(K778:K781)</f>
        <v>530862.360611252</v>
      </c>
      <c r="L790" s="73" t="n">
        <f aca="false">SUM(L778:L781)</f>
        <v>536974.437430912</v>
      </c>
      <c r="M790" s="73" t="n">
        <f aca="false">SUM(M778:M781)</f>
        <v>543413.441735769</v>
      </c>
      <c r="N790" s="73" t="n">
        <f aca="false">SUM(N778:N781)</f>
        <v>550169.878979005</v>
      </c>
      <c r="O790" s="73" t="n">
        <f aca="false">SUM(O778:O781)</f>
        <v>557234.669358171</v>
      </c>
    </row>
    <row r="791" customFormat="false" ht="15" hidden="false" customHeight="false" outlineLevel="0" collapsed="false">
      <c r="B791" s="65" t="s">
        <v>1052</v>
      </c>
      <c r="C791" s="25"/>
      <c r="D791" s="73" t="n">
        <f aca="false">IF(AND(Distrib_tension=1,OR(D763&gt;0.000001,C805&lt;Liq_min,C769=1)),0,MIN(Dist_porteurs/4*Part_d*D760,D790))</f>
        <v>125000</v>
      </c>
      <c r="E791" s="73" t="n">
        <f aca="false">IF(AND(Distrib_tension=1,OR(E763&gt;0.000001,D805&lt;Liq_min,D769=1)),0,MIN(Dist_porteurs/4*Part_d*E760,E790))</f>
        <v>0</v>
      </c>
      <c r="F791" s="73" t="n">
        <f aca="false">IF(AND(Distrib_tension=1,OR(F763&gt;0.000001,E805&lt;Liq_min,E769=1)),0,MIN(Dist_porteurs/4*Part_d*F760,F790))</f>
        <v>0</v>
      </c>
      <c r="G791" s="73" t="n">
        <f aca="false">IF(AND(Distrib_tension=1,OR(G763&gt;0.000001,F805&lt;Liq_min,F769=1)),0,MIN(Dist_porteurs/4*Part_d*G760,G790))</f>
        <v>0</v>
      </c>
      <c r="H791" s="73" t="n">
        <f aca="false">IF(AND(Distrib_tension=1,OR(H763&gt;0.000001,G805&lt;Liq_min,G769=1)),0,MIN(Dist_porteurs/4*Part_d*H760,H790))</f>
        <v>0</v>
      </c>
      <c r="I791" s="73" t="n">
        <f aca="false">IF(AND(Distrib_tension=1,OR(I763&gt;0.000001,H805&lt;Liq_min,H769=1)),0,MIN(Dist_porteurs/4*Part_d*I760,I790))</f>
        <v>0</v>
      </c>
      <c r="J791" s="73" t="n">
        <f aca="false">IF(AND(Distrib_tension=1,OR(J763&gt;0.000001,I805&lt;Liq_min,I769=1)),0,MIN(Dist_porteurs/4*Part_d*J760,J790))</f>
        <v>0</v>
      </c>
      <c r="K791" s="73" t="n">
        <f aca="false">IF(AND(Distrib_tension=1,OR(K763&gt;0.000001,J805&lt;Liq_min,J769=1)),0,MIN(Dist_porteurs/4*Part_d*K760,K790))</f>
        <v>0</v>
      </c>
      <c r="L791" s="73" t="n">
        <f aca="false">IF(AND(Distrib_tension=1,OR(L763&gt;0.000001,K805&lt;Liq_min,K769=1)),0,MIN(Dist_porteurs/4*Part_d*L760,L790))</f>
        <v>0</v>
      </c>
      <c r="M791" s="73" t="n">
        <f aca="false">IF(AND(Distrib_tension=1,OR(M763&gt;0.000001,L805&lt;Liq_min,L769=1)),0,MIN(Dist_porteurs/4*Part_d*M760,M790))</f>
        <v>0</v>
      </c>
      <c r="N791" s="73" t="n">
        <f aca="false">IF(AND(Distrib_tension=1,OR(N763&gt;0.000001,M805&lt;Liq_min,M769=1)),0,MIN(Dist_porteurs/4*Part_d*N760,N790))</f>
        <v>0</v>
      </c>
      <c r="O791" s="73" t="n">
        <f aca="false">IF(AND(Distrib_tension=1,OR(O763&gt;0.000001,N805&lt;Liq_min,N769=1)),0,MIN(Dist_porteurs/4*Part_d*O760,O790))</f>
        <v>0</v>
      </c>
    </row>
    <row r="792" customFormat="false" ht="15" hidden="false" customHeight="false" outlineLevel="0" collapsed="false">
      <c r="B792" s="65" t="s">
        <v>1053</v>
      </c>
      <c r="C792" s="25"/>
      <c r="D792" s="73" t="n">
        <f aca="false">D784+D785</f>
        <v>625000</v>
      </c>
      <c r="E792" s="73" t="n">
        <f aca="false">E784+E785</f>
        <v>625000</v>
      </c>
      <c r="F792" s="73" t="n">
        <f aca="false">F784+F785</f>
        <v>625000</v>
      </c>
      <c r="G792" s="73" t="n">
        <f aca="false">G784+G785</f>
        <v>625000</v>
      </c>
      <c r="H792" s="73" t="n">
        <f aca="false">H784+H785</f>
        <v>625000</v>
      </c>
      <c r="I792" s="73" t="n">
        <f aca="false">I784+I785</f>
        <v>625000</v>
      </c>
      <c r="J792" s="73" t="n">
        <f aca="false">J784+J785</f>
        <v>625000</v>
      </c>
      <c r="K792" s="73" t="n">
        <f aca="false">K784+K785</f>
        <v>625000</v>
      </c>
      <c r="L792" s="73" t="n">
        <f aca="false">L784+L785</f>
        <v>625000</v>
      </c>
      <c r="M792" s="73" t="n">
        <f aca="false">M784+M785</f>
        <v>625000</v>
      </c>
      <c r="N792" s="73" t="n">
        <f aca="false">N784+N785</f>
        <v>625000</v>
      </c>
      <c r="O792" s="73" t="n">
        <f aca="false">O784+O785</f>
        <v>625000</v>
      </c>
    </row>
    <row r="793" customFormat="false" ht="15" hidden="false" customHeight="false" outlineLevel="0" collapsed="false">
      <c r="B793" s="65" t="s">
        <v>1054</v>
      </c>
      <c r="C793" s="25"/>
      <c r="D793" s="73" t="n">
        <f aca="false">D760*Frais_an/4</f>
        <v>250000</v>
      </c>
      <c r="E793" s="73" t="n">
        <f aca="false">E760*Frais_an/4</f>
        <v>240503.21875</v>
      </c>
      <c r="F793" s="73" t="n">
        <f aca="false">F760*Frais_an/4</f>
        <v>244115.758566406</v>
      </c>
      <c r="G793" s="73" t="n">
        <f aca="false">G760*Frais_an/4</f>
        <v>235525.86995245</v>
      </c>
      <c r="H793" s="73" t="n">
        <f aca="false">H760*Frais_an/4</f>
        <v>239132.447227697</v>
      </c>
      <c r="I793" s="73" t="n">
        <f aca="false">I760*Frais_an/4</f>
        <v>230919.446151722</v>
      </c>
      <c r="J793" s="73" t="n">
        <f aca="false">J760*Frais_an/4</f>
        <v>234653.645275002</v>
      </c>
      <c r="K793" s="73" t="n">
        <f aca="false">K760*Frais_an/4</f>
        <v>226663.257077278</v>
      </c>
      <c r="L793" s="73" t="n">
        <f aca="false">L760*Frais_an/4</f>
        <v>230401.495123387</v>
      </c>
      <c r="M793" s="73" t="n">
        <f aca="false">M760*Frais_an/4</f>
        <v>234152.767496683</v>
      </c>
      <c r="N793" s="73" t="n">
        <f aca="false">N760*Frais_an/4</f>
        <v>237919.447851228</v>
      </c>
      <c r="O793" s="73" t="n">
        <f aca="false">O760*Frais_an/4</f>
        <v>241703.843492053</v>
      </c>
    </row>
    <row r="794" customFormat="false" ht="15" hidden="false" customHeight="false" outlineLevel="0" collapsed="false">
      <c r="B794" s="65" t="s">
        <v>1055</v>
      </c>
      <c r="C794" s="25"/>
      <c r="D794" s="73" t="n">
        <f aca="false">C803*Taux_emprunt/4</f>
        <v>0</v>
      </c>
      <c r="E794" s="73" t="n">
        <f aca="false">D803*Taux_emprunt/4</f>
        <v>0</v>
      </c>
      <c r="F794" s="73" t="n">
        <f aca="false">E803*Taux_emprunt/4</f>
        <v>0</v>
      </c>
      <c r="G794" s="73" t="n">
        <f aca="false">F803*Taux_emprunt/4</f>
        <v>0</v>
      </c>
      <c r="H794" s="73" t="n">
        <f aca="false">G803*Taux_emprunt/4</f>
        <v>0</v>
      </c>
      <c r="I794" s="73" t="n">
        <f aca="false">H803*Taux_emprunt/4</f>
        <v>0</v>
      </c>
      <c r="J794" s="73" t="n">
        <f aca="false">I803*Taux_emprunt/4</f>
        <v>0</v>
      </c>
      <c r="K794" s="73" t="n">
        <f aca="false">J803*Taux_emprunt/4</f>
        <v>0</v>
      </c>
      <c r="L794" s="73" t="n">
        <f aca="false">K803*Taux_emprunt/4</f>
        <v>0</v>
      </c>
      <c r="M794" s="73" t="n">
        <f aca="false">L803*Taux_emprunt/4</f>
        <v>0</v>
      </c>
      <c r="N794" s="73" t="n">
        <f aca="false">M803*Taux_emprunt/4</f>
        <v>0</v>
      </c>
      <c r="O794" s="73" t="n">
        <f aca="false">N803*Taux_emprunt/4</f>
        <v>0</v>
      </c>
    </row>
    <row r="795" customFormat="false" ht="15" hidden="false" customHeight="false" outlineLevel="0" collapsed="false">
      <c r="B795" s="65" t="s">
        <v>1056</v>
      </c>
      <c r="C795" s="25"/>
      <c r="D795" s="73" t="n">
        <f aca="false">D788+D789+D790-D791+D761-D792-D793-D794</f>
        <v>7045000</v>
      </c>
      <c r="E795" s="73" t="n">
        <f aca="false">E788+E789+E790-E791+E761-E792-E793-E794</f>
        <v>5411386.84375</v>
      </c>
      <c r="F795" s="73" t="n">
        <f aca="false">F788+F789+F790-F791+F761-F792-F793-F794</f>
        <v>6240363.28304766</v>
      </c>
      <c r="G795" s="73" t="n">
        <f aca="false">G788+G789+G790-G791+G761-G792-G793-G794</f>
        <v>4589477.27508382</v>
      </c>
      <c r="H795" s="73" t="n">
        <f aca="false">H788+H789+H790-H791+H761-H792-H793-H794</f>
        <v>5345783.42791423</v>
      </c>
      <c r="I795" s="73" t="n">
        <f aca="false">I788+I789+I790-I791+I761-I792-I793-I794</f>
        <v>3701197.11865711</v>
      </c>
      <c r="J795" s="73" t="n">
        <f aca="false">J788+J789+J790-J791+J761-J792-J793-J794</f>
        <v>4416098.11173787</v>
      </c>
      <c r="K795" s="73" t="n">
        <f aca="false">K788+K789+K790-K791+K761-K792-K793-K794</f>
        <v>2751249.26911257</v>
      </c>
      <c r="L795" s="73" t="n">
        <f aca="false">L788+L789+L790-L791+L761-L792-L793-L794</f>
        <v>3404152.62824631</v>
      </c>
      <c r="M795" s="73" t="n">
        <f aca="false">M788+M789+M790-M791+M761-M792-M793-M794</f>
        <v>4029716.32052269</v>
      </c>
      <c r="N795" s="73" t="n">
        <f aca="false">N788+N789+N790-N791+N761-N792-N793-N794</f>
        <v>4629332.08911691</v>
      </c>
      <c r="O795" s="73" t="n">
        <f aca="false">O788+O789+O790-O791+O761-O792-O793-O794</f>
        <v>5204340.94587741</v>
      </c>
    </row>
    <row r="796" customFormat="false" ht="15" hidden="false" customHeight="false" outlineLevel="0" collapsed="false">
      <c r="B796" s="65" t="s">
        <v>1057</v>
      </c>
      <c r="C796" s="25"/>
      <c r="D796" s="73" t="n">
        <f aca="false">MIN(D786+D787,MAX(0,Liq_cible*D760-(D795-D770)))</f>
        <v>1194375</v>
      </c>
      <c r="E796" s="73" t="n">
        <f aca="false">MIN(E786+E787,MAX(0,Liq_cible*E760-(E795-E770)))</f>
        <v>1151504.59375</v>
      </c>
      <c r="F796" s="73" t="n">
        <f aca="false">MIN(F786+F787,MAX(0,Liq_cible*F760-(F795-F770)))</f>
        <v>1110224.7562875</v>
      </c>
      <c r="G796" s="73" t="n">
        <f aca="false">MIN(G786+G787,MAX(0,Liq_cible*G760-(G795-G770)))</f>
        <v>1070474.66060151</v>
      </c>
      <c r="H796" s="73" t="n">
        <f aca="false">MIN(H786+H787,MAX(0,Liq_cible*H760-(H795-H770)))</f>
        <v>1057921.08531854</v>
      </c>
      <c r="I796" s="73" t="n">
        <f aca="false">MIN(I786+I787,MAX(0,Liq_cible*I760-(I795-I770)))</f>
        <v>1019960.26638387</v>
      </c>
      <c r="J796" s="73" t="n">
        <f aca="false">MIN(J786+J787,MAX(0,Liq_cible*J760-(J795-J770)))</f>
        <v>983407.44966169</v>
      </c>
      <c r="K796" s="73" t="n">
        <f aca="false">MIN(K786+K787,MAX(0,Liq_cible*K760-(K795-K770)))</f>
        <v>948208.803870077</v>
      </c>
      <c r="L796" s="73" t="n">
        <f aca="false">MIN(L786+L787,MAX(0,Liq_cible*L760-(L795-L770)))</f>
        <v>914312.610296399</v>
      </c>
      <c r="M796" s="73" t="n">
        <f aca="false">MIN(M786+M787,MAX(0,Liq_cible*M760-(M795-M770)))</f>
        <v>881669.178100051</v>
      </c>
      <c r="N796" s="73" t="n">
        <f aca="false">MIN(N786+N787,MAX(0,Liq_cible*N760-(N795-N770)))</f>
        <v>850230.763068225</v>
      </c>
      <c r="O796" s="73" t="n">
        <f aca="false">MIN(O786+O787,MAX(0,Liq_cible*O760-(O795-O770)))</f>
        <v>819951.489682175</v>
      </c>
    </row>
    <row r="797" customFormat="false" ht="15" hidden="false" customHeight="false" outlineLevel="0" collapsed="false">
      <c r="B797" s="65" t="s">
        <v>1058</v>
      </c>
      <c r="C797" s="25"/>
      <c r="D797" s="73" t="n">
        <f aca="false">D795-D770+D796</f>
        <v>5739375</v>
      </c>
      <c r="E797" s="73" t="n">
        <f aca="false">E795-E770+E796</f>
        <v>6562891.4375</v>
      </c>
      <c r="F797" s="73" t="n">
        <f aca="false">F795-F770+F796</f>
        <v>4909430.45367109</v>
      </c>
      <c r="G797" s="73" t="n">
        <f aca="false">G795-G770+G796</f>
        <v>5659951.93568534</v>
      </c>
      <c r="H797" s="73" t="n">
        <f aca="false">H795-H770+H796</f>
        <v>4012380.04095581</v>
      </c>
      <c r="I797" s="73" t="n">
        <f aca="false">I795-I770+I796</f>
        <v>4721157.38504098</v>
      </c>
      <c r="J797" s="73" t="n">
        <f aca="false">J795-J770+J796</f>
        <v>3052969.10864954</v>
      </c>
      <c r="K797" s="73" t="n">
        <f aca="false">K795-K770+K796</f>
        <v>3699458.07298265</v>
      </c>
      <c r="L797" s="73" t="n">
        <f aca="false">L795-L770+L796</f>
        <v>4318465.23854271</v>
      </c>
      <c r="M797" s="73" t="n">
        <f aca="false">M795-M770+M796</f>
        <v>4911385.49862274</v>
      </c>
      <c r="N797" s="73" t="n">
        <f aca="false">N795-N770+N796</f>
        <v>5479562.85218514</v>
      </c>
      <c r="O797" s="73" t="n">
        <f aca="false">O795-O770+O796</f>
        <v>6024292.43555959</v>
      </c>
    </row>
    <row r="798" customFormat="false" ht="15" hidden="false" customHeight="false" outlineLevel="0" collapsed="false">
      <c r="B798" s="65" t="s">
        <v>1059</v>
      </c>
      <c r="C798" s="25"/>
      <c r="D798" s="73" t="n">
        <f aca="false">MIN(MAX(0,MIN($N$20*AN_cible,Emprunt_max*D760)-C803),MAX(0,IF($N$20&gt;0,Poche_min_exec*D760,0)-D797))-IF(D797&gt;Liq_cible*D760,MIN(C803,D797-Liq_cible*D760),0)</f>
        <v>0</v>
      </c>
      <c r="E798" s="73" t="n">
        <f aca="false">MIN(MAX(0,MIN($N$20*AN_cible,Emprunt_max*E760)-D803),MAX(0,IF($N$20&gt;0,Poche_min_exec*E760,0)-E797))-IF(E797&gt;Liq_cible*E760,MIN(D803,E797-Liq_cible*E760),0)</f>
        <v>0</v>
      </c>
      <c r="F798" s="73" t="n">
        <f aca="false">MIN(MAX(0,MIN($N$20*AN_cible,Emprunt_max*F760)-E803),MAX(0,IF($N$20&gt;0,Poche_min_exec*F760,0)-F797))-IF(F797&gt;Liq_cible*F760,MIN(E803,F797-Liq_cible*F760),0)</f>
        <v>0</v>
      </c>
      <c r="G798" s="73" t="n">
        <f aca="false">MIN(MAX(0,MIN($N$20*AN_cible,Emprunt_max*G760)-F803),MAX(0,IF($N$20&gt;0,Poche_min_exec*G760,0)-G797))-IF(G797&gt;Liq_cible*G760,MIN(F803,G797-Liq_cible*G760),0)</f>
        <v>0</v>
      </c>
      <c r="H798" s="73" t="n">
        <f aca="false">MIN(MAX(0,MIN($N$20*AN_cible,Emprunt_max*H760)-G803),MAX(0,IF($N$20&gt;0,Poche_min_exec*H760,0)-H797))-IF(H797&gt;Liq_cible*H760,MIN(G803,H797-Liq_cible*H760),0)</f>
        <v>0</v>
      </c>
      <c r="I798" s="73" t="n">
        <f aca="false">MIN(MAX(0,MIN($N$20*AN_cible,Emprunt_max*I760)-H803),MAX(0,IF($N$20&gt;0,Poche_min_exec*I760,0)-I797))-IF(I797&gt;Liq_cible*I760,MIN(H803,I797-Liq_cible*I760),0)</f>
        <v>0</v>
      </c>
      <c r="J798" s="73" t="n">
        <f aca="false">MIN(MAX(0,MIN($N$20*AN_cible,Emprunt_max*J760)-I803),MAX(0,IF($N$20&gt;0,Poche_min_exec*J760,0)-J797))-IF(J797&gt;Liq_cible*J760,MIN(I803,J797-Liq_cible*J760),0)</f>
        <v>0</v>
      </c>
      <c r="K798" s="73" t="n">
        <f aca="false">MIN(MAX(0,MIN($N$20*AN_cible,Emprunt_max*K760)-J803),MAX(0,IF($N$20&gt;0,Poche_min_exec*K760,0)-K797))-IF(K797&gt;Liq_cible*K760,MIN(J803,K797-Liq_cible*K760),0)</f>
        <v>0</v>
      </c>
      <c r="L798" s="73" t="n">
        <f aca="false">MIN(MAX(0,MIN($N$20*AN_cible,Emprunt_max*L760)-K803),MAX(0,IF($N$20&gt;0,Poche_min_exec*L760,0)-L797))-IF(L797&gt;Liq_cible*L760,MIN(K803,L797-Liq_cible*L760),0)</f>
        <v>0</v>
      </c>
      <c r="M798" s="73" t="n">
        <f aca="false">MIN(MAX(0,MIN($N$20*AN_cible,Emprunt_max*M760)-L803),MAX(0,IF($N$20&gt;0,Poche_min_exec*M760,0)-M797))-IF(M797&gt;Liq_cible*M760,MIN(L803,M797-Liq_cible*M760),0)</f>
        <v>0</v>
      </c>
      <c r="N798" s="73" t="n">
        <f aca="false">MIN(MAX(0,MIN($N$20*AN_cible,Emprunt_max*N760)-M803),MAX(0,IF($N$20&gt;0,Poche_min_exec*N760,0)-N797))-IF(N797&gt;Liq_cible*N760,MIN(M803,N797-Liq_cible*N760),0)</f>
        <v>0</v>
      </c>
      <c r="O798" s="73" t="n">
        <f aca="false">MIN(MAX(0,MIN($N$20*AN_cible,Emprunt_max*O760)-N803),MAX(0,IF($N$20&gt;0,Poche_min_exec*O760,0)-O797))-IF(O797&gt;Liq_cible*O760,MIN(N803,O797-Liq_cible*O760),0)</f>
        <v>0</v>
      </c>
    </row>
    <row r="799" customFormat="false" ht="15" hidden="false" customHeight="false" outlineLevel="0" collapsed="false">
      <c r="B799" s="65" t="s">
        <v>1060</v>
      </c>
      <c r="C799" s="25"/>
      <c r="D799" s="73" t="n">
        <f aca="false">MIN((C774+C775+C776+C777),MAX(0,-(D797+D798))/(1-Decote))</f>
        <v>0</v>
      </c>
      <c r="E799" s="73" t="n">
        <f aca="false">MIN((D774+D775+D776+D777),MAX(0,-(E797+E798))/(1-Decote))</f>
        <v>0</v>
      </c>
      <c r="F799" s="73" t="n">
        <f aca="false">MIN((E774+E775+E776+E777),MAX(0,-(F797+F798))/(1-Decote))</f>
        <v>0</v>
      </c>
      <c r="G799" s="73" t="n">
        <f aca="false">MIN((F774+F775+F776+F777),MAX(0,-(G797+G798))/(1-Decote))</f>
        <v>0</v>
      </c>
      <c r="H799" s="73" t="n">
        <f aca="false">MIN((G774+G775+G776+G777),MAX(0,-(H797+H798))/(1-Decote))</f>
        <v>0</v>
      </c>
      <c r="I799" s="73" t="n">
        <f aca="false">MIN((H774+H775+H776+H777),MAX(0,-(I797+I798))/(1-Decote))</f>
        <v>0</v>
      </c>
      <c r="J799" s="73" t="n">
        <f aca="false">MIN((I774+I775+I776+I777),MAX(0,-(J797+J798))/(1-Decote))</f>
        <v>0</v>
      </c>
      <c r="K799" s="73" t="n">
        <f aca="false">MIN((J774+J775+J776+J777),MAX(0,-(K797+K798))/(1-Decote))</f>
        <v>0</v>
      </c>
      <c r="L799" s="73" t="n">
        <f aca="false">MIN((K774+K775+K776+K777),MAX(0,-(L797+L798))/(1-Decote))</f>
        <v>0</v>
      </c>
      <c r="M799" s="73" t="n">
        <f aca="false">MIN((L774+L775+L776+L777),MAX(0,-(M797+M798))/(1-Decote))</f>
        <v>0</v>
      </c>
      <c r="N799" s="73" t="n">
        <f aca="false">MIN((M774+M775+M776+M777),MAX(0,-(N797+N798))/(1-Decote))</f>
        <v>0</v>
      </c>
      <c r="O799" s="73" t="n">
        <f aca="false">MIN((N774+N775+N776+N777),MAX(0,-(O797+O798))/(1-Decote))</f>
        <v>0</v>
      </c>
    </row>
    <row r="800" customFormat="false" ht="15" hidden="false" customHeight="false" outlineLevel="0" collapsed="false">
      <c r="B800" s="65" t="s">
        <v>1061</v>
      </c>
      <c r="C800" s="25"/>
      <c r="D800" s="73" t="n">
        <f aca="false">D799*Decote</f>
        <v>0</v>
      </c>
      <c r="E800" s="73" t="n">
        <f aca="false">E799*Decote</f>
        <v>0</v>
      </c>
      <c r="F800" s="73" t="n">
        <f aca="false">F799*Decote</f>
        <v>0</v>
      </c>
      <c r="G800" s="73" t="n">
        <f aca="false">G799*Decote</f>
        <v>0</v>
      </c>
      <c r="H800" s="73" t="n">
        <f aca="false">H799*Decote</f>
        <v>0</v>
      </c>
      <c r="I800" s="73" t="n">
        <f aca="false">I799*Decote</f>
        <v>0</v>
      </c>
      <c r="J800" s="73" t="n">
        <f aca="false">J799*Decote</f>
        <v>0</v>
      </c>
      <c r="K800" s="73" t="n">
        <f aca="false">K799*Decote</f>
        <v>0</v>
      </c>
      <c r="L800" s="73" t="n">
        <f aca="false">L799*Decote</f>
        <v>0</v>
      </c>
      <c r="M800" s="73" t="n">
        <f aca="false">M799*Decote</f>
        <v>0</v>
      </c>
      <c r="N800" s="73" t="n">
        <f aca="false">N799*Decote</f>
        <v>0</v>
      </c>
      <c r="O800" s="73" t="n">
        <f aca="false">O799*Decote</f>
        <v>0</v>
      </c>
    </row>
    <row r="801" customFormat="false" ht="15" hidden="false" customHeight="false" outlineLevel="0" collapsed="false">
      <c r="B801" s="65" t="s">
        <v>1062</v>
      </c>
      <c r="C801" s="25"/>
      <c r="D801" s="73" t="n">
        <f aca="false">IF(AND(D771&lt;0.000001,C803+D798&lt;0.000001),MAX(0,D797+D798-Seuil_reinv*D760),0)</f>
        <v>0</v>
      </c>
      <c r="E801" s="73" t="n">
        <f aca="false">IF(AND(E771&lt;0.000001,D803+E798&lt;0.000001),MAX(0,E797+E798-Seuil_reinv*E760),0)</f>
        <v>0</v>
      </c>
      <c r="F801" s="73" t="n">
        <f aca="false">IF(AND(F771&lt;0.000001,E803+F798&lt;0.000001),MAX(0,F797+F798-Seuil_reinv*F760),0)</f>
        <v>0</v>
      </c>
      <c r="G801" s="73" t="n">
        <f aca="false">IF(AND(G771&lt;0.000001,F803+G798&lt;0.000001),MAX(0,G797+G798-Seuil_reinv*G760),0)</f>
        <v>0</v>
      </c>
      <c r="H801" s="73" t="n">
        <f aca="false">IF(AND(H771&lt;0.000001,G803+H798&lt;0.000001),MAX(0,H797+H798-Seuil_reinv*H760),0)</f>
        <v>0</v>
      </c>
      <c r="I801" s="73" t="n">
        <f aca="false">IF(AND(I771&lt;0.000001,H803+I798&lt;0.000001),MAX(0,I797+I798-Seuil_reinv*I760),0)</f>
        <v>0</v>
      </c>
      <c r="J801" s="73" t="n">
        <f aca="false">IF(AND(J771&lt;0.000001,I803+J798&lt;0.000001),MAX(0,J797+J798-Seuil_reinv*J760),0)</f>
        <v>0</v>
      </c>
      <c r="K801" s="73" t="n">
        <f aca="false">IF(AND(K771&lt;0.000001,J803+K798&lt;0.000001),MAX(0,K797+K798-Seuil_reinv*K760),0)</f>
        <v>0</v>
      </c>
      <c r="L801" s="73" t="n">
        <f aca="false">IF(AND(L771&lt;0.000001,K803+L798&lt;0.000001),MAX(0,L797+L798-Seuil_reinv*L760),0)</f>
        <v>0</v>
      </c>
      <c r="M801" s="73" t="n">
        <f aca="false">IF(AND(M771&lt;0.000001,L803+M798&lt;0.000001),MAX(0,M797+M798-Seuil_reinv*M760),0)</f>
        <v>0</v>
      </c>
      <c r="N801" s="73" t="n">
        <f aca="false">IF(AND(N771&lt;0.000001,M803+N798&lt;0.000001),MAX(0,N797+N798-Seuil_reinv*N760),0)</f>
        <v>0</v>
      </c>
      <c r="O801" s="73" t="n">
        <f aca="false">IF(AND(O771&lt;0.000001,N803+O798&lt;0.000001),MAX(0,O797+O798-Seuil_reinv*O760),0)</f>
        <v>0</v>
      </c>
    </row>
    <row r="802" customFormat="false" ht="15" hidden="false" customHeight="false" outlineLevel="0" collapsed="false">
      <c r="B802" s="65" t="s">
        <v>1063</v>
      </c>
      <c r="C802" s="73" t="n">
        <f aca="false">AN_cible*Ws_LIQ</f>
        <v>7500000</v>
      </c>
      <c r="D802" s="73" t="n">
        <f aca="false">D797+D798+D799-D800-D801</f>
        <v>5739375</v>
      </c>
      <c r="E802" s="73" t="n">
        <f aca="false">E797+E798+E799-E800-E801</f>
        <v>6562891.4375</v>
      </c>
      <c r="F802" s="73" t="n">
        <f aca="false">F797+F798+F799-F800-F801</f>
        <v>4909430.45367109</v>
      </c>
      <c r="G802" s="73" t="n">
        <f aca="false">G797+G798+G799-G800-G801</f>
        <v>5659951.93568534</v>
      </c>
      <c r="H802" s="73" t="n">
        <f aca="false">H797+H798+H799-H800-H801</f>
        <v>4012380.04095581</v>
      </c>
      <c r="I802" s="73" t="n">
        <f aca="false">I797+I798+I799-I800-I801</f>
        <v>4721157.38504098</v>
      </c>
      <c r="J802" s="73" t="n">
        <f aca="false">J797+J798+J799-J800-J801</f>
        <v>3052969.10864954</v>
      </c>
      <c r="K802" s="73" t="n">
        <f aca="false">K797+K798+K799-K800-K801</f>
        <v>3699458.07298265</v>
      </c>
      <c r="L802" s="73" t="n">
        <f aca="false">L797+L798+L799-L800-L801</f>
        <v>4318465.23854271</v>
      </c>
      <c r="M802" s="73" t="n">
        <f aca="false">M797+M798+M799-M800-M801</f>
        <v>4911385.49862274</v>
      </c>
      <c r="N802" s="73" t="n">
        <f aca="false">N797+N798+N799-N800-N801</f>
        <v>5479562.85218514</v>
      </c>
      <c r="O802" s="73" t="n">
        <f aca="false">O797+O798+O799-O800-O801</f>
        <v>6024292.43555959</v>
      </c>
    </row>
    <row r="803" customFormat="false" ht="15" hidden="false" customHeight="false" outlineLevel="0" collapsed="false">
      <c r="B803" s="65" t="s">
        <v>1064</v>
      </c>
      <c r="C803" s="73" t="n">
        <v>0</v>
      </c>
      <c r="D803" s="73" t="n">
        <f aca="false">C803+D798</f>
        <v>0</v>
      </c>
      <c r="E803" s="73" t="n">
        <f aca="false">D803+E798</f>
        <v>0</v>
      </c>
      <c r="F803" s="73" t="n">
        <f aca="false">E803+F798</f>
        <v>0</v>
      </c>
      <c r="G803" s="73" t="n">
        <f aca="false">F803+G798</f>
        <v>0</v>
      </c>
      <c r="H803" s="73" t="n">
        <f aca="false">G803+H798</f>
        <v>0</v>
      </c>
      <c r="I803" s="73" t="n">
        <f aca="false">H803+I798</f>
        <v>0</v>
      </c>
      <c r="J803" s="73" t="n">
        <f aca="false">I803+J798</f>
        <v>0</v>
      </c>
      <c r="K803" s="73" t="n">
        <f aca="false">J803+K798</f>
        <v>0</v>
      </c>
      <c r="L803" s="73" t="n">
        <f aca="false">K803+L798</f>
        <v>0</v>
      </c>
      <c r="M803" s="73" t="n">
        <f aca="false">L803+M798</f>
        <v>0</v>
      </c>
      <c r="N803" s="73" t="n">
        <f aca="false">M803+N798</f>
        <v>0</v>
      </c>
      <c r="O803" s="73" t="n">
        <f aca="false">N803+O798</f>
        <v>0</v>
      </c>
    </row>
    <row r="804" customFormat="false" ht="15" hidden="false" customHeight="false" outlineLevel="0" collapsed="false">
      <c r="B804" s="74" t="s">
        <v>1065</v>
      </c>
      <c r="C804" s="73" t="n">
        <f aca="false">C774+C775+C776+C777+C802-C803</f>
        <v>50000000</v>
      </c>
      <c r="D804" s="73" t="n">
        <f aca="false">D774+D775+D776+D777+D802-D803</f>
        <v>48100643.75</v>
      </c>
      <c r="E804" s="73" t="n">
        <f aca="false">E774+E775+E776+E777+E802-E803</f>
        <v>48823151.7132813</v>
      </c>
      <c r="F804" s="73" t="n">
        <f aca="false">F774+F775+F776+F777+F802-F803</f>
        <v>47105173.9904901</v>
      </c>
      <c r="G804" s="73" t="n">
        <f aca="false">G774+G775+G776+G777+G802-G803</f>
        <v>47826489.4455393</v>
      </c>
      <c r="H804" s="73" t="n">
        <f aca="false">H774+H775+H776+H777+H802-H803</f>
        <v>46183889.2303444</v>
      </c>
      <c r="I804" s="73" t="n">
        <f aca="false">I774+I775+I776+I777+I802-I803</f>
        <v>46930729.0550004</v>
      </c>
      <c r="J804" s="73" t="n">
        <f aca="false">J774+J775+J776+J777+J802-J803</f>
        <v>45332651.4154555</v>
      </c>
      <c r="K804" s="73" t="n">
        <f aca="false">K774+K775+K776+K777+K802-K803</f>
        <v>46080299.0246774</v>
      </c>
      <c r="L804" s="73" t="n">
        <f aca="false">L774+L775+L776+L777+L802-L803</f>
        <v>46830553.4993366</v>
      </c>
      <c r="M804" s="73" t="n">
        <f aca="false">M774+M775+M776+M777+M802-M803</f>
        <v>47583889.5702456</v>
      </c>
      <c r="N804" s="73" t="n">
        <f aca="false">N774+N775+N776+N777+N802-N803</f>
        <v>48340768.6984106</v>
      </c>
      <c r="O804" s="73" t="n">
        <f aca="false">O774+O775+O776+O777+O802-O803</f>
        <v>49101639.613394</v>
      </c>
    </row>
    <row r="805" customFormat="false" ht="15" hidden="false" customHeight="false" outlineLevel="0" collapsed="false">
      <c r="B805" s="65" t="s">
        <v>1066</v>
      </c>
      <c r="C805" s="72" t="n">
        <f aca="false">IF((C804+C803)&gt;0,C802/(C804+C803),0)</f>
        <v>0.15</v>
      </c>
      <c r="D805" s="72" t="n">
        <f aca="false">IF((D804+D803)&gt;0,D802/(D804+D803),0)</f>
        <v>0.119320128641729</v>
      </c>
      <c r="E805" s="72" t="n">
        <f aca="false">IF((E804+E803)&gt;0,E802/(E804+E803),0)</f>
        <v>0.134421707882384</v>
      </c>
      <c r="F805" s="72" t="n">
        <f aca="false">IF((F804+F803)&gt;0,F802/(F804+F803),0)</f>
        <v>0.104222743231184</v>
      </c>
      <c r="G805" s="72" t="n">
        <f aca="false">IF((G804+G803)&gt;0,G802/(G804+G803),0)</f>
        <v>0.118343453623758</v>
      </c>
      <c r="H805" s="72" t="n">
        <f aca="false">IF((H804+H803)&gt;0,H802/(H804+H803),0)</f>
        <v>0.0868783488749479</v>
      </c>
      <c r="I805" s="72" t="n">
        <f aca="false">IF((I804+I803)&gt;0,I802/(I804+I803),0)</f>
        <v>0.100598424105196</v>
      </c>
      <c r="J805" s="72" t="n">
        <f aca="false">IF((J804+J803)&gt;0,J802/(J804+J803),0)</f>
        <v>0.0673459198463885</v>
      </c>
      <c r="K805" s="72" t="n">
        <f aca="false">IF((K804+K803)&gt;0,K802/(K804+K803),0)</f>
        <v>0.0802828573443387</v>
      </c>
      <c r="L805" s="72" t="n">
        <f aca="false">IF((L804+L803)&gt;0,L802/(L804+L803),0)</f>
        <v>0.0922146956602571</v>
      </c>
      <c r="M805" s="72" t="n">
        <f aca="false">IF((M804+M803)&gt;0,M802/(M804+M803),0)</f>
        <v>0.103215301291676</v>
      </c>
      <c r="N805" s="72" t="n">
        <f aca="false">IF((N804+N803)&gt;0,N802/(N804+N803),0)</f>
        <v>0.113352828259127</v>
      </c>
      <c r="O805" s="72" t="n">
        <f aca="false">IF((O804+O803)&gt;0,O802/(O804+O803),0)</f>
        <v>0.122690249918177</v>
      </c>
    </row>
    <row r="806" customFormat="false" ht="15" hidden="false" customHeight="false" outlineLevel="0" collapsed="false">
      <c r="B806" s="65" t="s">
        <v>1067</v>
      </c>
      <c r="C806" s="72" t="n">
        <f aca="false">0</f>
        <v>0</v>
      </c>
      <c r="D806" s="72" t="n">
        <f aca="false">IF(D804&gt;0,D771/D804,0)</f>
        <v>0.0519743563723095</v>
      </c>
      <c r="E806" s="72" t="n">
        <f aca="false">IF(E804&gt;0,E771/E804,0)</f>
        <v>0.0512052154002981</v>
      </c>
      <c r="F806" s="72" t="n">
        <f aca="false">IF(F804&gt;0,F771/F804,0)</f>
        <v>0.104896281386449</v>
      </c>
      <c r="G806" s="72" t="n">
        <f aca="false">IF(G804&gt;0,G771/G804,0)</f>
        <v>0.103314243695236</v>
      </c>
      <c r="H806" s="72" t="n">
        <f aca="false">IF(H804&gt;0,H771/H804,0)</f>
        <v>0.158767097793993</v>
      </c>
      <c r="I806" s="72" t="n">
        <f aca="false">IF(I804&gt;0,I771/I804,0)</f>
        <v>0.156240531642876</v>
      </c>
      <c r="J806" s="72" t="n">
        <f aca="false">IF(J804&gt;0,J771/J804,0)</f>
        <v>0.213510972962661</v>
      </c>
      <c r="K806" s="72" t="n">
        <f aca="false">IF(K804&gt;0,K771/K804,0)</f>
        <v>0.210046781717012</v>
      </c>
      <c r="L806" s="72" t="n">
        <f aca="false">IF(L804&gt;0,L771/L804,0)</f>
        <v>0.30507964022593</v>
      </c>
      <c r="M806" s="72" t="n">
        <f aca="false">IF(M804&gt;0,M771/M804,0)</f>
        <v>0.300249696739641</v>
      </c>
      <c r="N806" s="72" t="n">
        <f aca="false">IF(N804&gt;0,N771/N804,0)</f>
        <v>0.295548639333667</v>
      </c>
      <c r="O806" s="72" t="n">
        <f aca="false">IF(O804&gt;0,O771/O804,0)</f>
        <v>0.290968866328072</v>
      </c>
    </row>
    <row r="807" customFormat="false" ht="15" hidden="false" customHeight="false" outlineLevel="0" collapsed="false">
      <c r="B807" s="65" t="s">
        <v>1068</v>
      </c>
      <c r="C807" s="75" t="n">
        <f aca="false">IF((C771+SUM(D762:G762)+SUM(D792:G792)+SUM(D793:G793)+SUM(D791:G791))&lt;=0,9.99,MIN(9.99,(C802+SUM(D790:G790)+SUM(D786:G787)+MAX(0,MIN($N$20*AN_cible,Emprunt_max*C804)-C803))/(C771+SUM(D762:G762)+SUM(D792:G792)+SUM(D793:G793)+SUM(D791:G791))))</f>
        <v>1.04187333842376</v>
      </c>
      <c r="D807" s="73" t="n">
        <f aca="false">IF((D771+SUM(E762:H762)+SUM(E792:H792)+SUM(E793:H793)+SUM(E791:H791))&lt;=0,9.99,MIN(9.99,(D802+SUM(E790:H790)+SUM(E786:H787)+MAX(0,MIN($N$20*AN_cible,Emprunt_max*D804)-D803))/(D771+SUM(E762:H762)+SUM(E792:H792)+SUM(E793:H793)+SUM(E791:H791))))</f>
        <v>0.778354050529923</v>
      </c>
      <c r="E807" s="73" t="n">
        <f aca="false">IF((E771+SUM(F762:I762)+SUM(F792:I792)+SUM(F793:I793)+SUM(F791:I791))&lt;=0,9.99,MIN(9.99,(E802+SUM(F790:I790)+SUM(F786:I787)+MAX(0,MIN($N$20*AN_cible,Emprunt_max*E804)-E803))/(E771+SUM(F762:I762)+SUM(F792:I792)+SUM(F793:I793)+SUM(F791:I791))))</f>
        <v>0.82430106229573</v>
      </c>
      <c r="F807" s="73" t="n">
        <f aca="false">IF((F771+SUM(G762:J762)+SUM(G792:J792)+SUM(G793:J793)+SUM(G791:J791))&lt;=0,9.99,MIN(9.99,(F802+SUM(G790:J790)+SUM(G786:J787)+MAX(0,MIN($N$20*AN_cible,Emprunt_max*F804)-F803))/(F771+SUM(G762:J762)+SUM(G792:J792)+SUM(G793:J793)+SUM(G791:J791))))</f>
        <v>0.622184534233789</v>
      </c>
      <c r="G807" s="73" t="n">
        <f aca="false">IF((G771+SUM(H762:K762)+SUM(H792:K792)+SUM(H793:K793)+SUM(H791:K791))&lt;=0,9.99,MIN(9.99,(G802+SUM(H790:K790)+SUM(H786:K787)+MAX(0,MIN($N$20*AN_cible,Emprunt_max*G804)-G803))/(G771+SUM(H762:K762)+SUM(H792:K792)+SUM(H793:K793)+SUM(H791:K791))))</f>
        <v>0.658868437720433</v>
      </c>
      <c r="H807" s="73" t="n">
        <f aca="false">IF((H771+SUM(I762:L762)+SUM(I792:L792)+SUM(I793:L793)+SUM(I791:L791))&lt;=0,9.99,MIN(9.99,(H802+SUM(I790:L790)+SUM(I786:L787)+MAX(0,MIN($N$20*AN_cible,Emprunt_max*H804)-H803))/(H771+SUM(I762:L762)+SUM(I792:L792)+SUM(I793:L793)+SUM(I791:L791))))</f>
        <v>0.498142267405719</v>
      </c>
      <c r="I807" s="73" t="n">
        <f aca="false">IF((I771+SUM(J762:M762)+SUM(J792:M792)+SUM(J793:M793)+SUM(J791:M791))&lt;=0,9.99,MIN(9.99,(I802+SUM(J790:M790)+SUM(J786:M787)+MAX(0,MIN($N$20*AN_cible,Emprunt_max*I804)-I803))/(I771+SUM(J762:M762)+SUM(J792:M792)+SUM(J793:M793)+SUM(J791:M791))))</f>
        <v>0.527685934691697</v>
      </c>
      <c r="J807" s="73" t="n">
        <f aca="false">IF((J771+SUM(K762:N762)+SUM(K792:N792)+SUM(K793:N793)+SUM(K791:N791))&lt;=0,9.99,MIN(9.99,(J802+SUM(K790:N790)+SUM(K786:N787)+MAX(0,MIN($N$20*AN_cible,Emprunt_max*J804)-J803))/(J771+SUM(K762:N762)+SUM(K792:N792)+SUM(K793:N793)+SUM(K791:N791))))</f>
        <v>0.497218243851404</v>
      </c>
      <c r="K807" s="73" t="n">
        <f aca="false">IF((K771+SUM(L762:O762)+SUM(L792:O792)+SUM(L793:O793)+SUM(L791:O791))&lt;=0,9.99,MIN(9.99,(K802+SUM(L790:O790)+SUM(L786:O787)+MAX(0,MIN($N$20*AN_cible,Emprunt_max*K804)-K803))/(K771+SUM(L762:O762)+SUM(L792:O792)+SUM(L793:O793)+SUM(L791:O791))))</f>
        <v>0.527510875952784</v>
      </c>
      <c r="L807" s="73" t="n">
        <f aca="false">IF((L771+SUM(M762:O762)+SUM(M792:O792)+SUM(M793:O793)+SUM(M791:O791))&lt;=0,9.99,MIN(9.99,(L802+SUM(M790:O790)+SUM(M786:O787)+MAX(0,MIN($N$20*AN_cible,Emprunt_max*L804)-L803))/(L771+SUM(M762:O762)+SUM(M792:O792)+SUM(M793:O793)+SUM(M791:O791))))</f>
        <v>0.504931458229186</v>
      </c>
      <c r="M807" s="73" t="n">
        <f aca="false">IF((M771+SUM(N762:O762)+SUM(N792:O792)+SUM(N793:O793)+SUM(N791:O791))&lt;=0,9.99,MIN(9.99,(M802+SUM(N790:O790)+SUM(N786:O787)+MAX(0,MIN($N$20*AN_cible,Emprunt_max*M804)-M803))/(M771+SUM(N762:O762)+SUM(N792:O792)+SUM(N793:O793)+SUM(N791:O791))))</f>
        <v>0.480060554500162</v>
      </c>
      <c r="N807" s="73" t="n">
        <f aca="false">IF((N771+SUM(O762:O762)+SUM(O792:O792)+SUM(O793:O793)+SUM(O791:O791))&lt;=0,9.99,MIN(9.99,(N802+SUM(O790:O790)+SUM(O786:O787)+MAX(0,MIN($N$20*AN_cible,Emprunt_max*N804)-N803))/(N771+SUM(O762:O762)+SUM(O792:O792)+SUM(O793:O793)+SUM(O791:O791))))</f>
        <v>0.452478626751742</v>
      </c>
      <c r="O807" s="73" t="n">
        <f aca="false">9.99</f>
        <v>9.99</v>
      </c>
    </row>
    <row r="808" customFormat="false" ht="15" hidden="false" customHeight="false" outlineLevel="0" collapsed="false">
      <c r="B808" s="65" t="s">
        <v>1069</v>
      </c>
      <c r="C808" s="72" t="n">
        <f aca="false">(C774+C775+C776+C777+C782+C783)/C804</f>
        <v>1</v>
      </c>
      <c r="D808" s="72" t="n">
        <f aca="false">(D774+D775+D776+D777+D782+D783)/D804</f>
        <v>1.02360935138212</v>
      </c>
      <c r="E808" s="72" t="n">
        <f aca="false">(E774+E775+E776+E777+E782+E783)/E804</f>
        <v>0.993591330618362</v>
      </c>
      <c r="F808" s="72" t="n">
        <f aca="false">(F774+F775+F776+F777+F782+F783)/F804</f>
        <v>1.01519089063281</v>
      </c>
      <c r="G808" s="72" t="n">
        <f aca="false">(G774+G775+G776+G777+G782+G783)/G804</f>
        <v>0.986201121108067</v>
      </c>
      <c r="H808" s="72" t="n">
        <f aca="false">(H774+H775+H776+H777+H782+H783)/H804</f>
        <v>1.00785165487548</v>
      </c>
      <c r="I808" s="72" t="n">
        <f aca="false">(I774+I775+I776+I777+I782+I783)/I804</f>
        <v>0.979306577916085</v>
      </c>
      <c r="J808" s="72" t="n">
        <f aca="false">(J774+J775+J776+J777+J782+J783)/J804</f>
        <v>1.0015889406223</v>
      </c>
      <c r="K808" s="72" t="n">
        <f aca="false">(K774+K775+K776+K777+K782+K783)/K804</f>
        <v>0.97397026281578</v>
      </c>
      <c r="L808" s="72" t="n">
        <f aca="false">(L774+L775+L776+L777+L782+L783)/L804</f>
        <v>0.947823268017165</v>
      </c>
      <c r="M808" s="72" t="n">
        <f aca="false">(M774+M775+M776+M777+M782+M783)/M804</f>
        <v>0.923054093902567</v>
      </c>
      <c r="N808" s="72" t="n">
        <f aca="false">(N774+N775+N776+N777+N782+N783)/N804</f>
        <v>0.899576217282107</v>
      </c>
      <c r="O808" s="72" t="n">
        <f aca="false">(O774+O775+O776+O777+O782+O783)/O804</f>
        <v>0.877309750081823</v>
      </c>
    </row>
    <row r="809" customFormat="false" ht="15" hidden="false" customHeight="false" outlineLevel="0" collapsed="false">
      <c r="B809" s="65" t="s">
        <v>849</v>
      </c>
      <c r="C809" s="72" t="n">
        <f aca="false">(C804+C803)/C804</f>
        <v>1</v>
      </c>
      <c r="D809" s="72" t="n">
        <f aca="false">(D804+D803)/D804</f>
        <v>1</v>
      </c>
      <c r="E809" s="72" t="n">
        <f aca="false">(E804+E803)/E804</f>
        <v>1</v>
      </c>
      <c r="F809" s="72" t="n">
        <f aca="false">(F804+F803)/F804</f>
        <v>1</v>
      </c>
      <c r="G809" s="72" t="n">
        <f aca="false">(G804+G803)/G804</f>
        <v>1</v>
      </c>
      <c r="H809" s="72" t="n">
        <f aca="false">(H804+H803)/H804</f>
        <v>1</v>
      </c>
      <c r="I809" s="72" t="n">
        <f aca="false">(I804+I803)/I804</f>
        <v>1</v>
      </c>
      <c r="J809" s="72" t="n">
        <f aca="false">(J804+J803)/J804</f>
        <v>1</v>
      </c>
      <c r="K809" s="72" t="n">
        <f aca="false">(K804+K803)/K804</f>
        <v>1</v>
      </c>
      <c r="L809" s="72" t="n">
        <f aca="false">(L804+L803)/L804</f>
        <v>1</v>
      </c>
      <c r="M809" s="72" t="n">
        <f aca="false">(M804+M803)/M804</f>
        <v>1</v>
      </c>
      <c r="N809" s="72" t="n">
        <f aca="false">(N804+N803)/N804</f>
        <v>1</v>
      </c>
      <c r="O809" s="72" t="n">
        <f aca="false">(O804+O803)/O804</f>
        <v>1</v>
      </c>
    </row>
    <row r="810" customFormat="false" ht="15" hidden="false" customHeight="false" outlineLevel="0" collapsed="false">
      <c r="B810" s="65" t="s">
        <v>1070</v>
      </c>
      <c r="C810" s="72" t="n">
        <f aca="false">(C774+C775*MSIG_USD)/C804</f>
        <v>0.25</v>
      </c>
      <c r="D810" s="72" t="n">
        <f aca="false">(D774+D775*MSIG_USD)/D804</f>
        <v>0.269675444832274</v>
      </c>
      <c r="E810" s="72" t="n">
        <f aca="false">(E774+E775*MSIG_USD)/E804</f>
        <v>0.27541785707076</v>
      </c>
      <c r="F810" s="72" t="n">
        <f aca="false">(F774+F775*MSIG_USD)/F804</f>
        <v>0.295628758414858</v>
      </c>
      <c r="G810" s="72" t="n">
        <f aca="false">(G774+G775*MSIG_USD)/G804</f>
        <v>0.301260240286235</v>
      </c>
      <c r="H810" s="72" t="n">
        <f aca="false">(H774+H775*MSIG_USD)/H804</f>
        <v>0.3225047402423</v>
      </c>
      <c r="I810" s="72" t="n">
        <f aca="false">(I774+I775*MSIG_USD)/I804</f>
        <v>0.327814711194842</v>
      </c>
      <c r="J810" s="72" t="n">
        <f aca="false">(J774+J775*MSIG_USD)/J804</f>
        <v>0.350264738598829</v>
      </c>
      <c r="K810" s="72" t="n">
        <f aca="false">(K774+K775*MSIG_USD)/K804</f>
        <v>0.355381594975843</v>
      </c>
      <c r="L810" s="72" t="n">
        <f aca="false">(L774+L775*MSIG_USD)/L804</f>
        <v>0.360397095479821</v>
      </c>
      <c r="M810" s="72" t="n">
        <f aca="false">(M774+M775*MSIG_USD)/M804</f>
        <v>0.365312189541524</v>
      </c>
      <c r="N810" s="72" t="n">
        <f aca="false">(N774+N775*MSIG_USD)/N804</f>
        <v>0.370127717215834</v>
      </c>
      <c r="O810" s="72" t="n">
        <f aca="false">(O774+O775*MSIG_USD)/O804</f>
        <v>0.374844428976344</v>
      </c>
    </row>
    <row r="811" customFormat="false" ht="15" hidden="false" customHeight="false" outlineLevel="0" collapsed="false">
      <c r="B811" s="65" t="s">
        <v>1071</v>
      </c>
      <c r="C811" s="25"/>
      <c r="D811" s="65" t="n">
        <f aca="false">IF(AND($N$9&lt;0.5*Collecte_norm,IF(D755&lt;=$N$11,0,$N$10)&lt;0.5,IF(D755&lt;=4,$N$17,($N$18+$N$19)/2)&lt;0.7),1,0)</f>
        <v>0</v>
      </c>
      <c r="E811" s="65" t="n">
        <f aca="false">IF(AND($N$9&lt;0.5*Collecte_norm,IF(E755&lt;=$N$11,0,$N$10)&lt;0.5,IF(E755&lt;=4,$N$17,($N$18+$N$19)/2)&lt;0.7),1,0)</f>
        <v>0</v>
      </c>
      <c r="F811" s="65" t="n">
        <f aca="false">IF(AND($N$9&lt;0.5*Collecte_norm,IF(F755&lt;=$N$11,0,$N$10)&lt;0.5,IF(F755&lt;=4,$N$17,($N$18+$N$19)/2)&lt;0.7),1,0)</f>
        <v>0</v>
      </c>
      <c r="G811" s="65" t="n">
        <f aca="false">IF(AND($N$9&lt;0.5*Collecte_norm,IF(G755&lt;=$N$11,0,$N$10)&lt;0.5,IF(G755&lt;=4,$N$17,($N$18+$N$19)/2)&lt;0.7),1,0)</f>
        <v>0</v>
      </c>
      <c r="H811" s="65" t="n">
        <f aca="false">IF(AND($N$9&lt;0.5*Collecte_norm,IF(H755&lt;=$N$11,0,$N$10)&lt;0.5,IF(H755&lt;=4,$N$17,($N$18+$N$19)/2)&lt;0.7),1,0)</f>
        <v>0</v>
      </c>
      <c r="I811" s="65" t="n">
        <f aca="false">IF(AND($N$9&lt;0.5*Collecte_norm,IF(I755&lt;=$N$11,0,$N$10)&lt;0.5,IF(I755&lt;=4,$N$17,($N$18+$N$19)/2)&lt;0.7),1,0)</f>
        <v>0</v>
      </c>
      <c r="J811" s="65" t="n">
        <f aca="false">IF(AND($N$9&lt;0.5*Collecte_norm,IF(J755&lt;=$N$11,0,$N$10)&lt;0.5,IF(J755&lt;=4,$N$17,($N$18+$N$19)/2)&lt;0.7),1,0)</f>
        <v>0</v>
      </c>
      <c r="K811" s="65" t="n">
        <f aca="false">IF(AND($N$9&lt;0.5*Collecte_norm,IF(K755&lt;=$N$11,0,$N$10)&lt;0.5,IF(K755&lt;=4,$N$17,($N$18+$N$19)/2)&lt;0.7),1,0)</f>
        <v>0</v>
      </c>
      <c r="L811" s="65" t="n">
        <f aca="false">IF(AND($N$9&lt;0.5*Collecte_norm,IF(L755&lt;=$N$11,0,$N$10)&lt;0.5,IF(L755&lt;=4,$N$17,($N$18+$N$19)/2)&lt;0.7),1,0)</f>
        <v>0</v>
      </c>
      <c r="M811" s="65" t="n">
        <f aca="false">IF(AND($N$9&lt;0.5*Collecte_norm,IF(M755&lt;=$N$11,0,$N$10)&lt;0.5,IF(M755&lt;=4,$N$17,($N$18+$N$19)/2)&lt;0.7),1,0)</f>
        <v>0</v>
      </c>
      <c r="N811" s="65" t="n">
        <f aca="false">IF(AND($N$9&lt;0.5*Collecte_norm,IF(N755&lt;=$N$11,0,$N$10)&lt;0.5,IF(N755&lt;=4,$N$17,($N$18+$N$19)/2)&lt;0.7),1,0)</f>
        <v>0</v>
      </c>
      <c r="O811" s="65" t="n">
        <f aca="false">IF(AND($N$9&lt;0.5*Collecte_norm,IF(O755&lt;=$N$11,0,$N$10)&lt;0.5,IF(O755&lt;=4,$N$17,($N$18+$N$19)/2)&lt;0.7),1,0)</f>
        <v>0</v>
      </c>
    </row>
    <row r="812" customFormat="false" ht="15" hidden="false" customHeight="false" outlineLevel="0" collapsed="false">
      <c r="B812" s="76" t="s">
        <v>1072</v>
      </c>
      <c r="C812" s="76" t="n">
        <v>99</v>
      </c>
      <c r="D812" s="76" t="n">
        <f aca="false">IF(D772=1,D758,99)</f>
        <v>1</v>
      </c>
      <c r="E812" s="76" t="n">
        <f aca="false">IF(E772=1,E758,99)</f>
        <v>99</v>
      </c>
      <c r="F812" s="76" t="n">
        <f aca="false">IF(F772=1,F758,99)</f>
        <v>2</v>
      </c>
      <c r="G812" s="76" t="n">
        <f aca="false">IF(G772=1,G758,99)</f>
        <v>99</v>
      </c>
      <c r="H812" s="76" t="n">
        <f aca="false">IF(H772=1,H758,99)</f>
        <v>3</v>
      </c>
      <c r="I812" s="76" t="n">
        <f aca="false">IF(I772=1,I758,99)</f>
        <v>99</v>
      </c>
      <c r="J812" s="76" t="n">
        <f aca="false">IF(J772=1,J758,99)</f>
        <v>4</v>
      </c>
      <c r="K812" s="76" t="n">
        <f aca="false">IF(K772=1,K758,99)</f>
        <v>99</v>
      </c>
      <c r="L812" s="76" t="n">
        <f aca="false">IF(L772=1,L758,99)</f>
        <v>99</v>
      </c>
      <c r="M812" s="76" t="n">
        <f aca="false">IF(M772=1,M758,99)</f>
        <v>99</v>
      </c>
      <c r="N812" s="76" t="n">
        <f aca="false">IF(N772=1,N758,99)</f>
        <v>99</v>
      </c>
      <c r="O812" s="76" t="n">
        <f aca="false">IF(O772=1,O758,99)</f>
        <v>99</v>
      </c>
    </row>
    <row r="813" customFormat="false" ht="15" hidden="false" customHeight="false" outlineLevel="0" collapsed="false">
      <c r="B813" s="76" t="s">
        <v>1073</v>
      </c>
      <c r="C813" s="76" t="n">
        <v>99</v>
      </c>
      <c r="D813" s="76" t="n">
        <f aca="false">IF(AND(D757=1,D758&gt;MIN($D812:$O812),D771&lt;=0.000001),D758,99)</f>
        <v>99</v>
      </c>
      <c r="E813" s="76" t="n">
        <f aca="false">IF(AND(E757=1,E758&gt;MIN($D812:$O812),E771&lt;=0.000001),E758,99)</f>
        <v>99</v>
      </c>
      <c r="F813" s="76" t="n">
        <f aca="false">IF(AND(F757=1,F758&gt;MIN($D812:$O812),F771&lt;=0.000001),F758,99)</f>
        <v>99</v>
      </c>
      <c r="G813" s="76" t="n">
        <f aca="false">IF(AND(G757=1,G758&gt;MIN($D812:$O812),G771&lt;=0.000001),G758,99)</f>
        <v>99</v>
      </c>
      <c r="H813" s="76" t="n">
        <f aca="false">IF(AND(H757=1,H758&gt;MIN($D812:$O812),H771&lt;=0.000001),H758,99)</f>
        <v>99</v>
      </c>
      <c r="I813" s="76" t="n">
        <f aca="false">IF(AND(I757=1,I758&gt;MIN($D812:$O812),I771&lt;=0.000001),I758,99)</f>
        <v>99</v>
      </c>
      <c r="J813" s="76" t="n">
        <f aca="false">IF(AND(J757=1,J758&gt;MIN($D812:$O812),J771&lt;=0.000001),J758,99)</f>
        <v>99</v>
      </c>
      <c r="K813" s="76" t="n">
        <f aca="false">IF(AND(K757=1,K758&gt;MIN($D812:$O812),K771&lt;=0.000001),K758,99)</f>
        <v>99</v>
      </c>
      <c r="L813" s="76" t="n">
        <f aca="false">IF(AND(L757=1,L758&gt;MIN($D812:$O812),L771&lt;=0.000001),L758,99)</f>
        <v>99</v>
      </c>
      <c r="M813" s="76" t="n">
        <f aca="false">IF(AND(M757=1,M758&gt;MIN($D812:$O812),M771&lt;=0.000001),M758,99)</f>
        <v>99</v>
      </c>
      <c r="N813" s="76" t="n">
        <f aca="false">IF(AND(N757=1,N758&gt;MIN($D812:$O812),N771&lt;=0.000001),N758,99)</f>
        <v>99</v>
      </c>
      <c r="O813" s="76" t="n">
        <f aca="false">IF(AND(O757=1,O758&gt;MIN($D812:$O812),O771&lt;=0.000001),O758,99)</f>
        <v>99</v>
      </c>
    </row>
    <row r="814" customFormat="false" ht="15" hidden="false" customHeight="false" outlineLevel="0" collapsed="false">
      <c r="B814" s="76" t="s">
        <v>1074</v>
      </c>
      <c r="C814" s="76" t="n">
        <v>9999999</v>
      </c>
      <c r="D814" s="76" t="n">
        <f aca="false">IF(D769=1,D756,9999999)</f>
        <v>9999999</v>
      </c>
      <c r="E814" s="76" t="n">
        <f aca="false">IF(E769=1,E756,9999999)</f>
        <v>9999999</v>
      </c>
      <c r="F814" s="76" t="n">
        <f aca="false">IF(F769=1,F756,9999999)</f>
        <v>9999999</v>
      </c>
      <c r="G814" s="76" t="n">
        <f aca="false">IF(G769=1,G756,9999999)</f>
        <v>9999999</v>
      </c>
      <c r="H814" s="76" t="n">
        <f aca="false">IF(H769=1,H756,9999999)</f>
        <v>9999999</v>
      </c>
      <c r="I814" s="76" t="n">
        <f aca="false">IF(I769=1,I756,9999999)</f>
        <v>9999999</v>
      </c>
      <c r="J814" s="76" t="n">
        <f aca="false">IF(J769=1,J756,9999999)</f>
        <v>9999999</v>
      </c>
      <c r="K814" s="76" t="n">
        <f aca="false">IF(K769=1,K756,9999999)</f>
        <v>9999999</v>
      </c>
      <c r="L814" s="77" t="n">
        <f aca="false">IF(L769=1,L756,9999999)</f>
        <v>47848</v>
      </c>
      <c r="M814" s="77" t="n">
        <f aca="false">IF(M769=1,M756,9999999)</f>
        <v>47938</v>
      </c>
      <c r="N814" s="77" t="n">
        <f aca="false">IF(N769=1,N756,9999999)</f>
        <v>48029</v>
      </c>
      <c r="O814" s="77" t="n">
        <f aca="false">IF(O769=1,O756,9999999)</f>
        <v>48121</v>
      </c>
    </row>
    <row r="815" customFormat="false" ht="15" hidden="false" customHeight="false" outlineLevel="0" collapsed="false">
      <c r="B815" s="76" t="s">
        <v>1075</v>
      </c>
      <c r="C815" s="76" t="n">
        <v>9999999</v>
      </c>
      <c r="D815" s="76" t="n">
        <f aca="false">IF(D811=1,D756,9999999)</f>
        <v>9999999</v>
      </c>
      <c r="E815" s="76" t="n">
        <f aca="false">IF(E811=1,E756,9999999)</f>
        <v>9999999</v>
      </c>
      <c r="F815" s="76" t="n">
        <f aca="false">IF(F811=1,F756,9999999)</f>
        <v>9999999</v>
      </c>
      <c r="G815" s="76" t="n">
        <f aca="false">IF(G811=1,G756,9999999)</f>
        <v>9999999</v>
      </c>
      <c r="H815" s="76" t="n">
        <f aca="false">IF(H811=1,H756,9999999)</f>
        <v>9999999</v>
      </c>
      <c r="I815" s="76" t="n">
        <f aca="false">IF(I811=1,I756,9999999)</f>
        <v>9999999</v>
      </c>
      <c r="J815" s="76" t="n">
        <f aca="false">IF(J811=1,J756,9999999)</f>
        <v>9999999</v>
      </c>
      <c r="K815" s="76" t="n">
        <f aca="false">IF(K811=1,K756,9999999)</f>
        <v>9999999</v>
      </c>
      <c r="L815" s="76" t="n">
        <f aca="false">IF(L811=1,L756,9999999)</f>
        <v>9999999</v>
      </c>
      <c r="M815" s="76" t="n">
        <f aca="false">IF(M811=1,M756,9999999)</f>
        <v>9999999</v>
      </c>
      <c r="N815" s="76" t="n">
        <f aca="false">IF(N811=1,N756,9999999)</f>
        <v>9999999</v>
      </c>
      <c r="O815" s="76" t="n">
        <f aca="false">IF(O811=1,O756,9999999)</f>
        <v>9999999</v>
      </c>
    </row>
    <row r="820" customFormat="false" ht="15" hidden="false" customHeight="false" outlineLevel="0" collapsed="false">
      <c r="B820" s="45" t="str">
        <f aca="false">O$5</f>
        <v>Rachats persistants 12.5 % par date</v>
      </c>
      <c r="C820" s="45" t="s">
        <v>55</v>
      </c>
      <c r="D820" s="45" t="n">
        <v>13</v>
      </c>
      <c r="E820" s="2"/>
      <c r="F820" s="2"/>
      <c r="G820" s="2"/>
      <c r="H820" s="2"/>
      <c r="I820" s="2"/>
      <c r="J820" s="2"/>
      <c r="K820" s="2"/>
      <c r="L820" s="2"/>
      <c r="M820" s="2"/>
      <c r="N820" s="2"/>
      <c r="O820" s="2"/>
    </row>
    <row r="821" customFormat="false" ht="15" hidden="false" customHeight="false" outlineLevel="0" collapsed="false">
      <c r="B821" s="65" t="s">
        <v>1019</v>
      </c>
      <c r="C821" s="65" t="n">
        <v>0</v>
      </c>
      <c r="D821" s="65" t="n">
        <v>1</v>
      </c>
      <c r="E821" s="65" t="n">
        <v>2</v>
      </c>
      <c r="F821" s="65" t="n">
        <v>3</v>
      </c>
      <c r="G821" s="65" t="n">
        <v>4</v>
      </c>
      <c r="H821" s="65" t="n">
        <v>5</v>
      </c>
      <c r="I821" s="65" t="n">
        <v>6</v>
      </c>
      <c r="J821" s="65" t="n">
        <v>7</v>
      </c>
      <c r="K821" s="65" t="n">
        <v>8</v>
      </c>
      <c r="L821" s="65" t="n">
        <v>9</v>
      </c>
      <c r="M821" s="65" t="n">
        <v>10</v>
      </c>
      <c r="N821" s="65" t="n">
        <v>11</v>
      </c>
      <c r="O821" s="65" t="n">
        <v>12</v>
      </c>
    </row>
    <row r="822" customFormat="false" ht="15" hidden="false" customHeight="false" outlineLevel="0" collapsed="false">
      <c r="B822" s="65" t="s">
        <v>209</v>
      </c>
      <c r="C822" s="71" t="n">
        <f aca="false">Date_depart</f>
        <v>47026</v>
      </c>
      <c r="D822" s="71" t="n">
        <f aca="false">EOMONTH(Date_depart,3*D821)</f>
        <v>47118</v>
      </c>
      <c r="E822" s="71" t="n">
        <f aca="false">EOMONTH(Date_depart,3*E821)</f>
        <v>47208</v>
      </c>
      <c r="F822" s="71" t="n">
        <f aca="false">EOMONTH(Date_depart,3*F821)</f>
        <v>47299</v>
      </c>
      <c r="G822" s="71" t="n">
        <f aca="false">EOMONTH(Date_depart,3*G821)</f>
        <v>47391</v>
      </c>
      <c r="H822" s="71" t="n">
        <f aca="false">EOMONTH(Date_depart,3*H821)</f>
        <v>47483</v>
      </c>
      <c r="I822" s="71" t="n">
        <f aca="false">EOMONTH(Date_depart,3*I821)</f>
        <v>47573</v>
      </c>
      <c r="J822" s="71" t="n">
        <f aca="false">EOMONTH(Date_depart,3*J821)</f>
        <v>47664</v>
      </c>
      <c r="K822" s="71" t="n">
        <f aca="false">EOMONTH(Date_depart,3*K821)</f>
        <v>47756</v>
      </c>
      <c r="L822" s="71" t="n">
        <f aca="false">EOMONTH(Date_depart,3*L821)</f>
        <v>47848</v>
      </c>
      <c r="M822" s="71" t="n">
        <f aca="false">EOMONTH(Date_depart,3*M821)</f>
        <v>47938</v>
      </c>
      <c r="N822" s="71" t="n">
        <f aca="false">EOMONTH(Date_depart,3*N821)</f>
        <v>48029</v>
      </c>
      <c r="O822" s="71" t="n">
        <f aca="false">EOMONTH(Date_depart,3*O821)</f>
        <v>48121</v>
      </c>
    </row>
    <row r="823" customFormat="false" ht="15" hidden="false" customHeight="false" outlineLevel="0" collapsed="false">
      <c r="B823" s="65" t="s">
        <v>1020</v>
      </c>
      <c r="C823" s="65" t="n">
        <v>0</v>
      </c>
      <c r="D823" s="65" t="n">
        <f aca="false">IF(OR(MONTH(D822)=6,MONTH(D822)=12),1,0)</f>
        <v>1</v>
      </c>
      <c r="E823" s="65" t="n">
        <f aca="false">IF(OR(MONTH(E822)=6,MONTH(E822)=12),1,0)</f>
        <v>0</v>
      </c>
      <c r="F823" s="65" t="n">
        <f aca="false">IF(OR(MONTH(F822)=6,MONTH(F822)=12),1,0)</f>
        <v>1</v>
      </c>
      <c r="G823" s="65" t="n">
        <f aca="false">IF(OR(MONTH(G822)=6,MONTH(G822)=12),1,0)</f>
        <v>0</v>
      </c>
      <c r="H823" s="65" t="n">
        <f aca="false">IF(OR(MONTH(H822)=6,MONTH(H822)=12),1,0)</f>
        <v>1</v>
      </c>
      <c r="I823" s="65" t="n">
        <f aca="false">IF(OR(MONTH(I822)=6,MONTH(I822)=12),1,0)</f>
        <v>0</v>
      </c>
      <c r="J823" s="65" t="n">
        <f aca="false">IF(OR(MONTH(J822)=6,MONTH(J822)=12),1,0)</f>
        <v>1</v>
      </c>
      <c r="K823" s="65" t="n">
        <f aca="false">IF(OR(MONTH(K822)=6,MONTH(K822)=12),1,0)</f>
        <v>0</v>
      </c>
      <c r="L823" s="65" t="n">
        <f aca="false">IF(OR(MONTH(L822)=6,MONTH(L822)=12),1,0)</f>
        <v>1</v>
      </c>
      <c r="M823" s="65" t="n">
        <f aca="false">IF(OR(MONTH(M822)=6,MONTH(M822)=12),1,0)</f>
        <v>0</v>
      </c>
      <c r="N823" s="65" t="n">
        <f aca="false">IF(OR(MONTH(N822)=6,MONTH(N822)=12),1,0)</f>
        <v>1</v>
      </c>
      <c r="O823" s="65" t="n">
        <f aca="false">IF(OR(MONTH(O822)=6,MONTH(O822)=12),1,0)</f>
        <v>0</v>
      </c>
    </row>
    <row r="824" customFormat="false" ht="15" hidden="false" customHeight="false" outlineLevel="0" collapsed="false">
      <c r="B824" s="65" t="s">
        <v>1021</v>
      </c>
      <c r="C824" s="65" t="n">
        <v>0</v>
      </c>
      <c r="D824" s="65" t="n">
        <f aca="false">C824+D823</f>
        <v>1</v>
      </c>
      <c r="E824" s="65" t="n">
        <f aca="false">D824+E823</f>
        <v>1</v>
      </c>
      <c r="F824" s="65" t="n">
        <f aca="false">E824+F823</f>
        <v>2</v>
      </c>
      <c r="G824" s="65" t="n">
        <f aca="false">F824+G823</f>
        <v>2</v>
      </c>
      <c r="H824" s="65" t="n">
        <f aca="false">G824+H823</f>
        <v>3</v>
      </c>
      <c r="I824" s="65" t="n">
        <f aca="false">H824+I823</f>
        <v>3</v>
      </c>
      <c r="J824" s="65" t="n">
        <f aca="false">I824+J823</f>
        <v>4</v>
      </c>
      <c r="K824" s="65" t="n">
        <f aca="false">J824+K823</f>
        <v>4</v>
      </c>
      <c r="L824" s="65" t="n">
        <f aca="false">K824+L823</f>
        <v>5</v>
      </c>
      <c r="M824" s="65" t="n">
        <f aca="false">L824+M823</f>
        <v>5</v>
      </c>
      <c r="N824" s="65" t="n">
        <f aca="false">M824+N823</f>
        <v>6</v>
      </c>
      <c r="O824" s="65" t="n">
        <f aca="false">N824+O823</f>
        <v>6</v>
      </c>
    </row>
    <row r="825" customFormat="false" ht="15" hidden="false" customHeight="false" outlineLevel="0" collapsed="false">
      <c r="B825" s="65" t="s">
        <v>1022</v>
      </c>
      <c r="C825" s="25"/>
      <c r="D825" s="72" t="n">
        <f aca="false">IF(D823=1,IF(C835=1,0,IF(D824=1,$O$6,IF(D824=2,$O$7,$O$8))),0)</f>
        <v>0.125</v>
      </c>
      <c r="E825" s="72" t="n">
        <f aca="false">IF(E823=1,IF(D835=1,0,IF(E824=1,$O$6,IF(E824=2,$O$7,$O$8))),0)</f>
        <v>0</v>
      </c>
      <c r="F825" s="72" t="n">
        <f aca="false">IF(F823=1,IF(E835=1,0,IF(F824=1,$O$6,IF(F824=2,$O$7,$O$8))),0)</f>
        <v>0.125</v>
      </c>
      <c r="G825" s="72" t="n">
        <f aca="false">IF(G823=1,IF(F835=1,0,IF(G824=1,$O$6,IF(G824=2,$O$7,$O$8))),0)</f>
        <v>0</v>
      </c>
      <c r="H825" s="72" t="n">
        <f aca="false">IF(H823=1,IF(G835=1,0,IF(H824=1,$O$6,IF(H824=2,$O$7,$O$8))),0)</f>
        <v>0.125</v>
      </c>
      <c r="I825" s="72" t="n">
        <f aca="false">IF(I823=1,IF(H835=1,0,IF(I824=1,$O$6,IF(I824=2,$O$7,$O$8))),0)</f>
        <v>0</v>
      </c>
      <c r="J825" s="72" t="n">
        <f aca="false">IF(J823=1,IF(I835=1,0,IF(J824=1,$O$6,IF(J824=2,$O$7,$O$8))),0)</f>
        <v>0.125</v>
      </c>
      <c r="K825" s="72" t="n">
        <f aca="false">IF(K823=1,IF(J835=1,0,IF(K824=1,$O$6,IF(K824=2,$O$7,$O$8))),0)</f>
        <v>0</v>
      </c>
      <c r="L825" s="72" t="n">
        <f aca="false">IF(L823=1,IF(K835=1,0,IF(L824=1,$O$6,IF(L824=2,$O$7,$O$8))),0)</f>
        <v>0.125</v>
      </c>
      <c r="M825" s="72" t="n">
        <f aca="false">IF(M823=1,IF(L835=1,0,IF(M824=1,$O$6,IF(M824=2,$O$7,$O$8))),0)</f>
        <v>0</v>
      </c>
      <c r="N825" s="72" t="n">
        <f aca="false">IF(N823=1,IF(M835=1,0,IF(N824=1,$O$6,IF(N824=2,$O$7,$O$8))),0)</f>
        <v>0</v>
      </c>
      <c r="O825" s="72" t="n">
        <f aca="false">IF(O823=1,IF(N835=1,0,IF(O824=1,$O$6,IF(O824=2,$O$7,$O$8))),0)</f>
        <v>0</v>
      </c>
    </row>
    <row r="826" customFormat="false" ht="15" hidden="false" customHeight="false" outlineLevel="0" collapsed="false">
      <c r="B826" s="65" t="s">
        <v>1023</v>
      </c>
      <c r="C826" s="25"/>
      <c r="D826" s="73" t="n">
        <f aca="false">C870</f>
        <v>50000000</v>
      </c>
      <c r="E826" s="73" t="n">
        <f aca="false">D870</f>
        <v>48100643.75</v>
      </c>
      <c r="F826" s="73" t="n">
        <f aca="false">E870</f>
        <v>48823151.7132813</v>
      </c>
      <c r="G826" s="73" t="n">
        <f aca="false">F870</f>
        <v>47105173.9904901</v>
      </c>
      <c r="H826" s="73" t="n">
        <f aca="false">G870</f>
        <v>47826489.4455393</v>
      </c>
      <c r="I826" s="73" t="n">
        <f aca="false">H870</f>
        <v>46183889.2303444</v>
      </c>
      <c r="J826" s="73" t="n">
        <f aca="false">I870</f>
        <v>46930729.0550004</v>
      </c>
      <c r="K826" s="73" t="n">
        <f aca="false">J870</f>
        <v>45332651.4154555</v>
      </c>
      <c r="L826" s="73" t="n">
        <f aca="false">K870</f>
        <v>46080299.0246774</v>
      </c>
      <c r="M826" s="73" t="n">
        <f aca="false">L870</f>
        <v>46830553.4993366</v>
      </c>
      <c r="N826" s="73" t="n">
        <f aca="false">M870</f>
        <v>47583889.5702456</v>
      </c>
      <c r="O826" s="73" t="n">
        <f aca="false">N870</f>
        <v>48340768.6984106</v>
      </c>
    </row>
    <row r="827" customFormat="false" ht="15" hidden="false" customHeight="false" outlineLevel="0" collapsed="false">
      <c r="B827" s="65" t="s">
        <v>177</v>
      </c>
      <c r="C827" s="25"/>
      <c r="D827" s="73" t="n">
        <f aca="false">IF(C835=1,0,$O$9*D826)</f>
        <v>0</v>
      </c>
      <c r="E827" s="73" t="n">
        <f aca="false">IF(D835=1,0,$O$9*E826)</f>
        <v>0</v>
      </c>
      <c r="F827" s="73" t="n">
        <f aca="false">IF(E835=1,0,$O$9*F826)</f>
        <v>0</v>
      </c>
      <c r="G827" s="73" t="n">
        <f aca="false">IF(F835=1,0,$O$9*G826)</f>
        <v>0</v>
      </c>
      <c r="H827" s="73" t="n">
        <f aca="false">IF(G835=1,0,$O$9*H826)</f>
        <v>0</v>
      </c>
      <c r="I827" s="73" t="n">
        <f aca="false">IF(H835=1,0,$O$9*I826)</f>
        <v>0</v>
      </c>
      <c r="J827" s="73" t="n">
        <f aca="false">IF(I835=1,0,$O$9*J826)</f>
        <v>0</v>
      </c>
      <c r="K827" s="73" t="n">
        <f aca="false">IF(J835=1,0,$O$9*K826)</f>
        <v>0</v>
      </c>
      <c r="L827" s="73" t="n">
        <f aca="false">IF(K835=1,0,$O$9*L826)</f>
        <v>0</v>
      </c>
      <c r="M827" s="73" t="n">
        <f aca="false">IF(L835=1,0,$O$9*M826)</f>
        <v>0</v>
      </c>
      <c r="N827" s="73" t="n">
        <f aca="false">IF(M835=1,0,$O$9*N826)</f>
        <v>0</v>
      </c>
      <c r="O827" s="73" t="n">
        <f aca="false">IF(N835=1,0,$O$9*O826)</f>
        <v>0</v>
      </c>
    </row>
    <row r="828" customFormat="false" ht="15" hidden="false" customHeight="false" outlineLevel="0" collapsed="false">
      <c r="B828" s="65" t="s">
        <v>1024</v>
      </c>
      <c r="C828" s="25"/>
      <c r="D828" s="73" t="n">
        <f aca="false">D825*D826</f>
        <v>6250000</v>
      </c>
      <c r="E828" s="73" t="n">
        <f aca="false">E825*E826</f>
        <v>0</v>
      </c>
      <c r="F828" s="73" t="n">
        <f aca="false">F825*F826</f>
        <v>6102893.96416016</v>
      </c>
      <c r="G828" s="73" t="n">
        <f aca="false">G825*G826</f>
        <v>0</v>
      </c>
      <c r="H828" s="73" t="n">
        <f aca="false">H825*H826</f>
        <v>5978311.18069241</v>
      </c>
      <c r="I828" s="73" t="n">
        <f aca="false">I825*I826</f>
        <v>0</v>
      </c>
      <c r="J828" s="73" t="n">
        <f aca="false">J825*J826</f>
        <v>5866341.13187505</v>
      </c>
      <c r="K828" s="73" t="n">
        <f aca="false">K825*K826</f>
        <v>0</v>
      </c>
      <c r="L828" s="73" t="n">
        <f aca="false">L825*L826</f>
        <v>5760037.37808468</v>
      </c>
      <c r="M828" s="73" t="n">
        <f aca="false">M825*M826</f>
        <v>0</v>
      </c>
      <c r="N828" s="73" t="n">
        <f aca="false">N825*N826</f>
        <v>0</v>
      </c>
      <c r="O828" s="73" t="n">
        <f aca="false">O825*O826</f>
        <v>0</v>
      </c>
    </row>
    <row r="829" customFormat="false" ht="15" hidden="false" customHeight="false" outlineLevel="0" collapsed="false">
      <c r="B829" s="65" t="s">
        <v>1025</v>
      </c>
      <c r="C829" s="25"/>
      <c r="D829" s="73" t="n">
        <f aca="false">C837</f>
        <v>0</v>
      </c>
      <c r="E829" s="73" t="n">
        <f aca="false">D837</f>
        <v>3750000</v>
      </c>
      <c r="F829" s="73" t="n">
        <f aca="false">E837</f>
        <v>3750000</v>
      </c>
      <c r="G829" s="73" t="n">
        <f aca="false">F837</f>
        <v>7411736.37849609</v>
      </c>
      <c r="H829" s="73" t="n">
        <f aca="false">G837</f>
        <v>7411736.37849609</v>
      </c>
      <c r="I829" s="73" t="n">
        <f aca="false">H837</f>
        <v>10998723.0869115</v>
      </c>
      <c r="J829" s="73" t="n">
        <f aca="false">I837</f>
        <v>10998723.0869115</v>
      </c>
      <c r="K829" s="73" t="n">
        <f aca="false">J837</f>
        <v>14518527.7660366</v>
      </c>
      <c r="L829" s="73" t="n">
        <f aca="false">K837</f>
        <v>14518527.7660366</v>
      </c>
      <c r="M829" s="73" t="n">
        <f aca="false">L837</f>
        <v>20278565.1441213</v>
      </c>
      <c r="N829" s="73" t="n">
        <f aca="false">M837</f>
        <v>20278565.1441213</v>
      </c>
      <c r="O829" s="73" t="n">
        <f aca="false">N837</f>
        <v>20278565.1441213</v>
      </c>
    </row>
    <row r="830" customFormat="false" ht="15" hidden="false" customHeight="false" outlineLevel="0" collapsed="false">
      <c r="B830" s="65" t="s">
        <v>1026</v>
      </c>
      <c r="C830" s="25"/>
      <c r="D830" s="73" t="n">
        <f aca="false">D828+D829</f>
        <v>6250000</v>
      </c>
      <c r="E830" s="73" t="n">
        <f aca="false">E828+E829</f>
        <v>3750000</v>
      </c>
      <c r="F830" s="73" t="n">
        <f aca="false">F828+F829</f>
        <v>9852893.96416016</v>
      </c>
      <c r="G830" s="73" t="n">
        <f aca="false">G828+G829</f>
        <v>7411736.37849609</v>
      </c>
      <c r="H830" s="73" t="n">
        <f aca="false">H828+H829</f>
        <v>13390047.5591885</v>
      </c>
      <c r="I830" s="73" t="n">
        <f aca="false">I828+I829</f>
        <v>10998723.0869115</v>
      </c>
      <c r="J830" s="73" t="n">
        <f aca="false">J828+J829</f>
        <v>16865064.2187866</v>
      </c>
      <c r="K830" s="73" t="n">
        <f aca="false">K828+K829</f>
        <v>14518527.7660366</v>
      </c>
      <c r="L830" s="73" t="n">
        <f aca="false">L828+L829</f>
        <v>20278565.1441213</v>
      </c>
      <c r="M830" s="73" t="n">
        <f aca="false">M828+M829</f>
        <v>20278565.1441213</v>
      </c>
      <c r="N830" s="73" t="n">
        <f aca="false">N828+N829</f>
        <v>20278565.1441213</v>
      </c>
      <c r="O830" s="73" t="n">
        <f aca="false">O828+O829</f>
        <v>20278565.1441213</v>
      </c>
    </row>
    <row r="831" customFormat="false" ht="15" hidden="false" customHeight="false" outlineLevel="0" collapsed="false">
      <c r="B831" s="65" t="s">
        <v>1027</v>
      </c>
      <c r="C831" s="25"/>
      <c r="D831" s="73" t="n">
        <f aca="false">IF($O$21=1,Gate*D826+D827,D830)</f>
        <v>2500000</v>
      </c>
      <c r="E831" s="73" t="n">
        <f aca="false">IF($O$21=1,Gate*E826+E827,E830)</f>
        <v>2405032.1875</v>
      </c>
      <c r="F831" s="73" t="n">
        <f aca="false">IF($O$21=1,Gate*F826+F827,F830)</f>
        <v>2441157.58566406</v>
      </c>
      <c r="G831" s="73" t="n">
        <f aca="false">IF($O$21=1,Gate*G826+G827,G830)</f>
        <v>2355258.6995245</v>
      </c>
      <c r="H831" s="73" t="n">
        <f aca="false">IF($O$21=1,Gate*H826+H827,H830)</f>
        <v>2391324.47227697</v>
      </c>
      <c r="I831" s="73" t="n">
        <f aca="false">IF($O$21=1,Gate*I826+I827,I830)</f>
        <v>2309194.46151722</v>
      </c>
      <c r="J831" s="73" t="n">
        <f aca="false">IF($O$21=1,Gate*J826+J827,J830)</f>
        <v>2346536.45275002</v>
      </c>
      <c r="K831" s="73" t="n">
        <f aca="false">IF($O$21=1,Gate*K826+K827,K830)</f>
        <v>2266632.57077278</v>
      </c>
      <c r="L831" s="73" t="n">
        <f aca="false">IF($O$21=1,Gate*L826+L827,L830)</f>
        <v>2304014.95123387</v>
      </c>
      <c r="M831" s="73" t="n">
        <f aca="false">IF($O$21=1,Gate*M826+M827,M830)</f>
        <v>2341527.67496683</v>
      </c>
      <c r="N831" s="73" t="n">
        <f aca="false">IF($O$21=1,Gate*N826+N827,N830)</f>
        <v>2379194.47851228</v>
      </c>
      <c r="O831" s="73" t="n">
        <f aca="false">IF($O$21=1,Gate*O826+O827,O830)</f>
        <v>2417038.43492053</v>
      </c>
    </row>
    <row r="832" customFormat="false" ht="15" hidden="false" customHeight="false" outlineLevel="0" collapsed="false">
      <c r="B832" s="65" t="s">
        <v>1028</v>
      </c>
      <c r="C832" s="25"/>
      <c r="D832" s="73" t="n">
        <f aca="false">IF(D823=1,MIN(D830,D831),0)</f>
        <v>2500000</v>
      </c>
      <c r="E832" s="73" t="n">
        <f aca="false">IF(E823=1,MIN(E830,E831),0)</f>
        <v>0</v>
      </c>
      <c r="F832" s="73" t="n">
        <f aca="false">IF(F823=1,MIN(F830,F831),0)</f>
        <v>2441157.58566406</v>
      </c>
      <c r="G832" s="73" t="n">
        <f aca="false">IF(G823=1,MIN(G830,G831),0)</f>
        <v>0</v>
      </c>
      <c r="H832" s="73" t="n">
        <f aca="false">IF(H823=1,MIN(H830,H831),0)</f>
        <v>2391324.47227697</v>
      </c>
      <c r="I832" s="73" t="n">
        <f aca="false">IF(I823=1,MIN(I830,I831),0)</f>
        <v>0</v>
      </c>
      <c r="J832" s="73" t="n">
        <f aca="false">IF(J823=1,MIN(J830,J831),0)</f>
        <v>2346536.45275002</v>
      </c>
      <c r="K832" s="73" t="n">
        <f aca="false">IF(K823=1,MIN(K830,K831),0)</f>
        <v>0</v>
      </c>
      <c r="L832" s="73" t="n">
        <f aca="false">IF(L823=1,MIN(L830,L831),0)</f>
        <v>2304014.95123387</v>
      </c>
      <c r="M832" s="73" t="n">
        <f aca="false">IF(M823=1,MIN(M830,M831),0)</f>
        <v>0</v>
      </c>
      <c r="N832" s="73" t="n">
        <f aca="false">IF(N823=1,MIN(N830,N831),0)</f>
        <v>2379194.47851228</v>
      </c>
      <c r="O832" s="73" t="n">
        <f aca="false">IF(O823=1,MIN(O830,O831),0)</f>
        <v>0</v>
      </c>
    </row>
    <row r="833" customFormat="false" ht="15" hidden="false" customHeight="false" outlineLevel="0" collapsed="false">
      <c r="B833" s="65" t="s">
        <v>1029</v>
      </c>
      <c r="C833" s="25"/>
      <c r="D833" s="73" t="n">
        <f aca="false">MAX(0,D861+D852+D853-Poche_min_exec*D826-D832-SUM(E858:F858)+MAX(0,MIN($O$20*AN_cible,Emprunt_max*D826)-C869))</f>
        <v>0</v>
      </c>
      <c r="E833" s="73" t="n">
        <f aca="false">MAX(0,E861+E852+E853-Poche_min_exec*E826-E832-SUM(F858:G858)+MAX(0,MIN($O$20*AN_cible,Emprunt_max*E826)-D869))</f>
        <v>502827.0625</v>
      </c>
      <c r="F833" s="73" t="n">
        <f aca="false">MAX(0,F861+F852+F853-Poche_min_exec*F826-F832-SUM(G858:H858)+MAX(0,MIN($O$20*AN_cible,Emprunt_max*F826)-E869))</f>
        <v>0</v>
      </c>
      <c r="G833" s="73" t="n">
        <f aca="false">MAX(0,G861+G852+G853-Poche_min_exec*G826-G832-SUM(H858:I858)+MAX(0,MIN($O$20*AN_cible,Emprunt_max*G826)-F869))</f>
        <v>0</v>
      </c>
      <c r="H833" s="73" t="n">
        <f aca="false">MAX(0,H861+H852+H853-Poche_min_exec*H826-H832-SUM(I858:J858)+MAX(0,MIN($O$20*AN_cible,Emprunt_max*H826)-G869))</f>
        <v>0</v>
      </c>
      <c r="I833" s="73" t="n">
        <f aca="false">MAX(0,I861+I852+I853-Poche_min_exec*I826-I832-SUM(J858:K858)+MAX(0,MIN($O$20*AN_cible,Emprunt_max*I826)-H869))</f>
        <v>0</v>
      </c>
      <c r="J833" s="73" t="n">
        <f aca="false">MAX(0,J861+J852+J853-Poche_min_exec*J826-J832-SUM(K858:L858)+MAX(0,MIN($O$20*AN_cible,Emprunt_max*J826)-I869))</f>
        <v>0</v>
      </c>
      <c r="K833" s="73" t="n">
        <f aca="false">MAX(0,K861+K852+K853-Poche_min_exec*K826-K832-SUM(L858:M858)+MAX(0,MIN($O$20*AN_cible,Emprunt_max*K826)-J869))</f>
        <v>0</v>
      </c>
      <c r="L833" s="73" t="n">
        <f aca="false">MAX(0,L861+L852+L853-Poche_min_exec*L826-L832-SUM(M858:N858)+MAX(0,MIN($O$20*AN_cible,Emprunt_max*L826)-K869))</f>
        <v>0</v>
      </c>
      <c r="M833" s="73" t="n">
        <f aca="false">MAX(0,M861+M852+M853-Poche_min_exec*M826-M832-SUM(N858:O858)+MAX(0,MIN($O$20*AN_cible,Emprunt_max*M826)-L869))</f>
        <v>0</v>
      </c>
      <c r="N833" s="73" t="n">
        <f aca="false">MAX(0,N861+N852+N853-Poche_min_exec*N826-N832-SUM(O858:O858)+MAX(0,MIN($O$20*AN_cible,Emprunt_max*N826)-M869))</f>
        <v>0</v>
      </c>
      <c r="O833" s="73" t="n">
        <f aca="false">MAX(0,O861+O852+O853-Poche_min_exec*O826-O832-0+MAX(0,MIN($O$20*AN_cible,Emprunt_max*O826)-N869))</f>
        <v>1190215.56571852</v>
      </c>
    </row>
    <row r="834" customFormat="false" ht="15" hidden="false" customHeight="false" outlineLevel="0" collapsed="false">
      <c r="B834" s="65" t="s">
        <v>1030</v>
      </c>
      <c r="C834" s="25"/>
      <c r="D834" s="73" t="n">
        <f aca="false">IF(AND(D823=1,$O$21=1,$O$22=1),MIN(D830-D832,D833),0)</f>
        <v>0</v>
      </c>
      <c r="E834" s="73" t="n">
        <f aca="false">IF(AND(E823=1,$O$21=1,$O$22=1),MIN(E830-E832,E833),0)</f>
        <v>0</v>
      </c>
      <c r="F834" s="73" t="n">
        <f aca="false">IF(AND(F823=1,$O$21=1,$O$22=1),MIN(F830-F832,F833),0)</f>
        <v>0</v>
      </c>
      <c r="G834" s="73" t="n">
        <f aca="false">IF(AND(G823=1,$O$21=1,$O$22=1),MIN(G830-G832,G833),0)</f>
        <v>0</v>
      </c>
      <c r="H834" s="73" t="n">
        <f aca="false">IF(AND(H823=1,$O$21=1,$O$22=1),MIN(H830-H832,H833),0)</f>
        <v>0</v>
      </c>
      <c r="I834" s="73" t="n">
        <f aca="false">IF(AND(I823=1,$O$21=1,$O$22=1),MIN(I830-I832,I833),0)</f>
        <v>0</v>
      </c>
      <c r="J834" s="73" t="n">
        <f aca="false">IF(AND(J823=1,$O$21=1,$O$22=1),MIN(J830-J832,J833),0)</f>
        <v>0</v>
      </c>
      <c r="K834" s="73" t="n">
        <f aca="false">IF(AND(K823=1,$O$21=1,$O$22=1),MIN(K830-K832,K833),0)</f>
        <v>0</v>
      </c>
      <c r="L834" s="73" t="n">
        <f aca="false">IF(AND(L823=1,$O$21=1,$O$22=1),MIN(L830-L832,L833),0)</f>
        <v>0</v>
      </c>
      <c r="M834" s="73" t="n">
        <f aca="false">IF(AND(M823=1,$O$21=1,$O$22=1),MIN(M830-M832,M833),0)</f>
        <v>0</v>
      </c>
      <c r="N834" s="73" t="n">
        <f aca="false">IF(AND(N823=1,$O$21=1,$O$22=1),MIN(N830-N832,N833),0)</f>
        <v>0</v>
      </c>
      <c r="O834" s="73" t="n">
        <f aca="false">IF(AND(O823=1,$O$21=1,$O$22=1),MIN(O830-O832,O833),0)</f>
        <v>0</v>
      </c>
    </row>
    <row r="835" customFormat="false" ht="15" hidden="false" customHeight="false" outlineLevel="0" collapsed="false">
      <c r="B835" s="65" t="s">
        <v>1031</v>
      </c>
      <c r="C835" s="65" t="n">
        <v>0</v>
      </c>
      <c r="D835" s="65" t="n">
        <f aca="false">IF(C835=1,1,IF(AND(D823=1,$O$21=1,C839&gt;=Gate_dates,D830-D832-D834&gt;0.000001),1,0))</f>
        <v>0</v>
      </c>
      <c r="E835" s="65" t="n">
        <f aca="false">IF(D835=1,1,IF(AND(E823=1,$O$21=1,D839&gt;=Gate_dates,E830-E832-E834&gt;0.000001),1,0))</f>
        <v>0</v>
      </c>
      <c r="F835" s="65" t="n">
        <f aca="false">IF(E835=1,1,IF(AND(F823=1,$O$21=1,E839&gt;=Gate_dates,F830-F832-F834&gt;0.000001),1,0))</f>
        <v>0</v>
      </c>
      <c r="G835" s="65" t="n">
        <f aca="false">IF(F835=1,1,IF(AND(G823=1,$O$21=1,F839&gt;=Gate_dates,G830-G832-G834&gt;0.000001),1,0))</f>
        <v>0</v>
      </c>
      <c r="H835" s="65" t="n">
        <f aca="false">IF(G835=1,1,IF(AND(H823=1,$O$21=1,G839&gt;=Gate_dates,H830-H832-H834&gt;0.000001),1,0))</f>
        <v>0</v>
      </c>
      <c r="I835" s="65" t="n">
        <f aca="false">IF(H835=1,1,IF(AND(I823=1,$O$21=1,H839&gt;=Gate_dates,I830-I832-I834&gt;0.000001),1,0))</f>
        <v>0</v>
      </c>
      <c r="J835" s="65" t="n">
        <f aca="false">IF(I835=1,1,IF(AND(J823=1,$O$21=1,I839&gt;=Gate_dates,J830-J832-J834&gt;0.000001),1,0))</f>
        <v>0</v>
      </c>
      <c r="K835" s="65" t="n">
        <f aca="false">IF(J835=1,1,IF(AND(K823=1,$O$21=1,J839&gt;=Gate_dates,K830-K832-K834&gt;0.000001),1,0))</f>
        <v>0</v>
      </c>
      <c r="L835" s="65" t="n">
        <f aca="false">IF(K835=1,1,IF(AND(L823=1,$O$21=1,K839&gt;=Gate_dates,L830-L832-L834&gt;0.000001),1,0))</f>
        <v>1</v>
      </c>
      <c r="M835" s="65" t="n">
        <f aca="false">IF(L835=1,1,IF(AND(M823=1,$O$21=1,L839&gt;=Gate_dates,M830-M832-M834&gt;0.000001),1,0))</f>
        <v>1</v>
      </c>
      <c r="N835" s="65" t="n">
        <f aca="false">IF(M835=1,1,IF(AND(N823=1,$O$21=1,M839&gt;=Gate_dates,N830-N832-N834&gt;0.000001),1,0))</f>
        <v>1</v>
      </c>
      <c r="O835" s="65" t="n">
        <f aca="false">IF(N835=1,1,IF(AND(O823=1,$O$21=1,N839&gt;=Gate_dates,O830-O832-O834&gt;0.000001),1,0))</f>
        <v>1</v>
      </c>
    </row>
    <row r="836" customFormat="false" ht="15" hidden="false" customHeight="false" outlineLevel="0" collapsed="false">
      <c r="B836" s="65" t="s">
        <v>1032</v>
      </c>
      <c r="C836" s="25"/>
      <c r="D836" s="73" t="n">
        <f aca="false">IF(D835=1,0,D832+D834)</f>
        <v>2500000</v>
      </c>
      <c r="E836" s="73" t="n">
        <f aca="false">IF(E835=1,0,E832+E834)</f>
        <v>0</v>
      </c>
      <c r="F836" s="73" t="n">
        <f aca="false">IF(F835=1,0,F832+F834)</f>
        <v>2441157.58566406</v>
      </c>
      <c r="G836" s="73" t="n">
        <f aca="false">IF(G835=1,0,G832+G834)</f>
        <v>0</v>
      </c>
      <c r="H836" s="73" t="n">
        <f aca="false">IF(H835=1,0,H832+H834)</f>
        <v>2391324.47227697</v>
      </c>
      <c r="I836" s="73" t="n">
        <f aca="false">IF(I835=1,0,I832+I834)</f>
        <v>0</v>
      </c>
      <c r="J836" s="73" t="n">
        <f aca="false">IF(J835=1,0,J832+J834)</f>
        <v>2346536.45275002</v>
      </c>
      <c r="K836" s="73" t="n">
        <f aca="false">IF(K835=1,0,K832+K834)</f>
        <v>0</v>
      </c>
      <c r="L836" s="73" t="n">
        <f aca="false">IF(L835=1,0,L832+L834)</f>
        <v>0</v>
      </c>
      <c r="M836" s="73" t="n">
        <f aca="false">IF(M835=1,0,M832+M834)</f>
        <v>0</v>
      </c>
      <c r="N836" s="73" t="n">
        <f aca="false">IF(N835=1,0,N832+N834)</f>
        <v>0</v>
      </c>
      <c r="O836" s="73" t="n">
        <f aca="false">IF(O835=1,0,O832+O834)</f>
        <v>0</v>
      </c>
    </row>
    <row r="837" customFormat="false" ht="15" hidden="false" customHeight="false" outlineLevel="0" collapsed="false">
      <c r="B837" s="65" t="s">
        <v>1033</v>
      </c>
      <c r="C837" s="73" t="n">
        <v>0</v>
      </c>
      <c r="D837" s="73" t="n">
        <f aca="false">D830-D836</f>
        <v>3750000</v>
      </c>
      <c r="E837" s="73" t="n">
        <f aca="false">E830-E836</f>
        <v>3750000</v>
      </c>
      <c r="F837" s="73" t="n">
        <f aca="false">F830-F836</f>
        <v>7411736.37849609</v>
      </c>
      <c r="G837" s="73" t="n">
        <f aca="false">G830-G836</f>
        <v>7411736.37849609</v>
      </c>
      <c r="H837" s="73" t="n">
        <f aca="false">H830-H836</f>
        <v>10998723.0869115</v>
      </c>
      <c r="I837" s="73" t="n">
        <f aca="false">I830-I836</f>
        <v>10998723.0869115</v>
      </c>
      <c r="J837" s="73" t="n">
        <f aca="false">J830-J836</f>
        <v>14518527.7660366</v>
      </c>
      <c r="K837" s="73" t="n">
        <f aca="false">K830-K836</f>
        <v>14518527.7660366</v>
      </c>
      <c r="L837" s="73" t="n">
        <f aca="false">L830-L836</f>
        <v>20278565.1441213</v>
      </c>
      <c r="M837" s="73" t="n">
        <f aca="false">M830-M836</f>
        <v>20278565.1441213</v>
      </c>
      <c r="N837" s="73" t="n">
        <f aca="false">N830-N836</f>
        <v>20278565.1441213</v>
      </c>
      <c r="O837" s="73" t="n">
        <f aca="false">O830-O836</f>
        <v>20278565.1441213</v>
      </c>
    </row>
    <row r="838" customFormat="false" ht="15" hidden="false" customHeight="false" outlineLevel="0" collapsed="false">
      <c r="B838" s="65" t="s">
        <v>1034</v>
      </c>
      <c r="C838" s="25"/>
      <c r="D838" s="65" t="n">
        <f aca="false">IF(AND(D823=1,D835=0,D837&gt;0.000001),1,0)</f>
        <v>1</v>
      </c>
      <c r="E838" s="65" t="n">
        <f aca="false">IF(AND(E823=1,E835=0,E837&gt;0.000001),1,0)</f>
        <v>0</v>
      </c>
      <c r="F838" s="65" t="n">
        <f aca="false">IF(AND(F823=1,F835=0,F837&gt;0.000001),1,0)</f>
        <v>1</v>
      </c>
      <c r="G838" s="65" t="n">
        <f aca="false">IF(AND(G823=1,G835=0,G837&gt;0.000001),1,0)</f>
        <v>0</v>
      </c>
      <c r="H838" s="65" t="n">
        <f aca="false">IF(AND(H823=1,H835=0,H837&gt;0.000001),1,0)</f>
        <v>1</v>
      </c>
      <c r="I838" s="65" t="n">
        <f aca="false">IF(AND(I823=1,I835=0,I837&gt;0.000001),1,0)</f>
        <v>0</v>
      </c>
      <c r="J838" s="65" t="n">
        <f aca="false">IF(AND(J823=1,J835=0,J837&gt;0.000001),1,0)</f>
        <v>1</v>
      </c>
      <c r="K838" s="65" t="n">
        <f aca="false">IF(AND(K823=1,K835=0,K837&gt;0.000001),1,0)</f>
        <v>0</v>
      </c>
      <c r="L838" s="65" t="n">
        <f aca="false">IF(AND(L823=1,L835=0,L837&gt;0.000001),1,0)</f>
        <v>0</v>
      </c>
      <c r="M838" s="65" t="n">
        <f aca="false">IF(AND(M823=1,M835=0,M837&gt;0.000001),1,0)</f>
        <v>0</v>
      </c>
      <c r="N838" s="65" t="n">
        <f aca="false">IF(AND(N823=1,N835=0,N837&gt;0.000001),1,0)</f>
        <v>0</v>
      </c>
      <c r="O838" s="65" t="n">
        <f aca="false">IF(AND(O823=1,O835=0,O837&gt;0.000001),1,0)</f>
        <v>0</v>
      </c>
    </row>
    <row r="839" customFormat="false" ht="15" hidden="false" customHeight="false" outlineLevel="0" collapsed="false">
      <c r="B839" s="65" t="s">
        <v>843</v>
      </c>
      <c r="C839" s="65" t="n">
        <v>0</v>
      </c>
      <c r="D839" s="65" t="n">
        <f aca="false">IF(D823=1,IF(D838=1,C839+1,0),C839)</f>
        <v>1</v>
      </c>
      <c r="E839" s="65" t="n">
        <f aca="false">IF(E823=1,IF(E838=1,D839+1,0),D839)</f>
        <v>1</v>
      </c>
      <c r="F839" s="65" t="n">
        <f aca="false">IF(F823=1,IF(F838=1,E839+1,0),E839)</f>
        <v>2</v>
      </c>
      <c r="G839" s="65" t="n">
        <f aca="false">IF(G823=1,IF(G838=1,F839+1,0),F839)</f>
        <v>2</v>
      </c>
      <c r="H839" s="65" t="n">
        <f aca="false">IF(H823=1,IF(H838=1,G839+1,0),G839)</f>
        <v>3</v>
      </c>
      <c r="I839" s="65" t="n">
        <f aca="false">IF(I823=1,IF(I838=1,H839+1,0),H839)</f>
        <v>3</v>
      </c>
      <c r="J839" s="65" t="n">
        <f aca="false">IF(J823=1,IF(J838=1,I839+1,0),I839)</f>
        <v>4</v>
      </c>
      <c r="K839" s="65" t="n">
        <f aca="false">IF(K823=1,IF(K838=1,J839+1,0),J839)</f>
        <v>4</v>
      </c>
      <c r="L839" s="65" t="n">
        <f aca="false">IF(L823=1,IF(L838=1,K839+1,0),K839)</f>
        <v>0</v>
      </c>
      <c r="M839" s="65" t="n">
        <f aca="false">IF(M823=1,IF(M838=1,L839+1,0),L839)</f>
        <v>0</v>
      </c>
      <c r="N839" s="65" t="n">
        <f aca="false">IF(N823=1,IF(N838=1,M839+1,0),M839)</f>
        <v>0</v>
      </c>
      <c r="O839" s="65" t="n">
        <f aca="false">IF(O823=1,IF(O838=1,N839+1,0),N839)</f>
        <v>0</v>
      </c>
    </row>
    <row r="840" customFormat="false" ht="15" hidden="false" customHeight="false" outlineLevel="0" collapsed="false">
      <c r="B840" s="65" t="s">
        <v>1035</v>
      </c>
      <c r="C840" s="73" t="n">
        <f aca="false">AN_cible*Ws_MAPIF</f>
        <v>12500000</v>
      </c>
      <c r="D840" s="73" t="n">
        <f aca="false">C840*(1+Rend_MAPIF/4)*IF(D821=1,(1-(Cap_MAPIF*$O$15+(1-Cap_MAPIF)*$O$16))*(1+1*$O$14),1)+D850-D844-D865*IF((C840+C841+C842+C843)&gt;0,C840/(C840+C841+C842+C843),0)</f>
        <v>12971562.5</v>
      </c>
      <c r="E840" s="73" t="n">
        <f aca="false">D840*(1+Rend_MAPIF/4)*IF(E821=1,(1-(Cap_MAPIF*$O$15+(1-Cap_MAPIF)*$O$16))*(1+1*$O$14),1)+E850-E844-E865*IF((D840+D841+D842+D843)&gt;0,D840/(D840+D841+D842+D843),0)</f>
        <v>13446767.8203125</v>
      </c>
      <c r="F840" s="73" t="n">
        <f aca="false">E840*(1+Rend_MAPIF/4)*IF(F821=1,(1-(Cap_MAPIF*$O$15+(1-Cap_MAPIF)*$O$16))*(1+1*$O$14),1)+F850-F844-F865*IF((E840+E841+E842+E843)&gt;0,E840/(E840+E841+E842+E843),0)</f>
        <v>13925644.1017244</v>
      </c>
      <c r="G840" s="73" t="n">
        <f aca="false">F840*(1+Rend_MAPIF/4)*IF(G821=1,(1-(Cap_MAPIF*$O$15+(1-Cap_MAPIF)*$O$16))*(1+1*$O$14),1)+G850-G844-G865*IF((F840+F841+F842+F843)&gt;0,F840/(F840+F841+F842+F843),0)</f>
        <v>14408219.7024102</v>
      </c>
      <c r="H840" s="73" t="n">
        <f aca="false">G840*(1+Rend_MAPIF/4)*IF(H821=1,(1-(Cap_MAPIF*$O$15+(1-Cap_MAPIF)*$O$16))*(1+1*$O$14),1)+H850-H844-H865*IF((G840+G841+G842+G843)&gt;0,G840/(G840+G841+G842+G843),0)</f>
        <v>14894523.1996114</v>
      </c>
      <c r="I840" s="73" t="n">
        <f aca="false">H840*(1+Rend_MAPIF/4)*IF(I821=1,(1-(Cap_MAPIF*$O$15+(1-Cap_MAPIF)*$O$16))*(1+1*$O$14),1)+I850-I844-I865*IF((H840+H841+H842+H843)&gt;0,H840/(H840+H841+H842+H843),0)</f>
        <v>15384583.3913284</v>
      </c>
      <c r="J840" s="73" t="n">
        <f aca="false">I840*(1+Rend_MAPIF/4)*IF(J821=1,(1-(Cap_MAPIF*$O$15+(1-Cap_MAPIF)*$O$16))*(1+1*$O$14),1)+J850-J844-J865*IF((I840+I841+I842+I843)&gt;0,I840/(I840+I841+I842+I843),0)</f>
        <v>15878429.2980264</v>
      </c>
      <c r="K840" s="73" t="n">
        <f aca="false">J840*(1+Rend_MAPIF/4)*IF(K821=1,(1-(Cap_MAPIF*$O$15+(1-Cap_MAPIF)*$O$16))*(1+1*$O$14),1)+K850-K844-K865*IF((J840+J841+J842+J843)&gt;0,J840/(J840+J841+J842+J843),0)</f>
        <v>16376090.1643536</v>
      </c>
      <c r="L840" s="73" t="n">
        <f aca="false">K840*(1+Rend_MAPIF/4)*IF(L821=1,(1-(Cap_MAPIF*$O$15+(1-Cap_MAPIF)*$O$16))*(1+1*$O$14),1)+L850-L844-L865*IF((K840+K841+K842+K843)&gt;0,K840/(K840+K841+K842+K843),0)</f>
        <v>16877595.4608733</v>
      </c>
      <c r="M840" s="73" t="n">
        <f aca="false">L840*(1+Rend_MAPIF/4)*IF(M821=1,(1-(Cap_MAPIF*$O$15+(1-Cap_MAPIF)*$O$16))*(1+1*$O$14),1)+M850-M844-M865*IF((L840+L841+L842+L843)&gt;0,L840/(L840+L841+L842+L843),0)</f>
        <v>17382974.8858085</v>
      </c>
      <c r="N840" s="73" t="n">
        <f aca="false">M840*(1+Rend_MAPIF/4)*IF(N821=1,(1-(Cap_MAPIF*$O$15+(1-Cap_MAPIF)*$O$16))*(1+1*$O$14),1)+N850-N844-N865*IF((M840+M841+M842+M843)&gt;0,M840/(M840+M841+M842+M843),0)</f>
        <v>17892258.3668014</v>
      </c>
      <c r="O840" s="73" t="n">
        <f aca="false">N840*(1+Rend_MAPIF/4)*IF(O821=1,(1-(Cap_MAPIF*$O$15+(1-Cap_MAPIF)*$O$16))*(1+1*$O$14),1)+O850-O844-O865*IF((N840+N841+N842+N843)&gt;0,N840/(N840+N841+N842+N843),0)</f>
        <v>18405476.0626849</v>
      </c>
    </row>
    <row r="841" customFormat="false" ht="15" hidden="false" customHeight="false" outlineLevel="0" collapsed="false">
      <c r="B841" s="65" t="s">
        <v>1036</v>
      </c>
      <c r="C841" s="73" t="n">
        <f aca="false">AN_cible*Ws_MSIG</f>
        <v>5500000</v>
      </c>
      <c r="D841" s="73" t="n">
        <f aca="false">C841*(1+Rend_MSIG/4)*IF(D821=1,(1-(Cap_MSIG*$O$15+(1-Cap_MSIG)*$O$16))*(1+MSIG_USD*$O$14),1)+D851-D845-D865*IF((C840+C841+C842+C843)&gt;0,C841/(C840+C841+C842+C843),0)</f>
        <v>5773237.5</v>
      </c>
      <c r="E841" s="73" t="n">
        <f aca="false">D841*(1+Rend_MSIG/4)*IF(E821=1,(1-(Cap_MSIG*$O$15+(1-Cap_MSIG)*$O$16))*(1+MSIG_USD*$O$14),1)+E851-E845-E865*IF((D840+D841+D842+D843)&gt;0,D841/(D840+D841+D842+D843),0)</f>
        <v>6047629.4284375</v>
      </c>
      <c r="F841" s="73" t="n">
        <f aca="false">E841*(1+Rend_MSIG/4)*IF(F821=1,(1-(Cap_MSIG*$O$15+(1-Cap_MSIG)*$O$16))*(1+MSIG_USD*$O$14),1)+F851-F845-F865*IF((E840+E841+E842+E843)&gt;0,E841/(E840+E841+E842+E843),0)</f>
        <v>6323180.66277265</v>
      </c>
      <c r="G841" s="73" t="n">
        <f aca="false">F841*(1+Rend_MSIG/4)*IF(G821=1,(1-(Cap_MSIG*$O$15+(1-Cap_MSIG)*$O$16))*(1+MSIG_USD*$O$14),1)+G851-G845-G865*IF((F840+F841+F842+F843)&gt;0,F841/(F840+F841+F842+F843),0)</f>
        <v>6599896.10107286</v>
      </c>
      <c r="H841" s="73" t="n">
        <f aca="false">G841*(1+Rend_MSIG/4)*IF(H821=1,(1-(Cap_MSIG*$O$15+(1-Cap_MSIG)*$O$16))*(1+MSIG_USD*$O$14),1)+H851-H845-H865*IF((G840+G841+G842+G843)&gt;0,G841/(G840+G841+G842+G843),0)</f>
        <v>6877780.6620999</v>
      </c>
      <c r="I841" s="73" t="n">
        <f aca="false">H841*(1+Rend_MSIG/4)*IF(I821=1,(1-(Cap_MSIG*$O$15+(1-Cap_MSIG)*$O$16))*(1+MSIG_USD*$O$14),1)+I851-I845-I865*IF((H840+H841+H842+H843)&gt;0,H841/(H840+H841+H842+H843),0)</f>
        <v>7156839.28539727</v>
      </c>
      <c r="J841" s="73" t="n">
        <f aca="false">I841*(1+Rend_MSIG/4)*IF(J821=1,(1-(Cap_MSIG*$O$15+(1-Cap_MSIG)*$O$16))*(1+MSIG_USD*$O$14),1)+J851-J845-J865*IF((I840+I841+I842+I843)&gt;0,I841/(I840+I841+I842+I843),0)</f>
        <v>7437076.93137807</v>
      </c>
      <c r="K841" s="73" t="n">
        <f aca="false">J841*(1+Rend_MSIG/4)*IF(K821=1,(1-(Cap_MSIG*$O$15+(1-Cap_MSIG)*$O$16))*(1+MSIG_USD*$O$14),1)+K851-K845-K865*IF((J840+J841+J842+J843)&gt;0,J841/(J840+J841+J842+J843),0)</f>
        <v>7718498.58141314</v>
      </c>
      <c r="L841" s="73" t="n">
        <f aca="false">K841*(1+Rend_MSIG/4)*IF(L821=1,(1-(Cap_MSIG*$O$15+(1-Cap_MSIG)*$O$16))*(1+MSIG_USD*$O$14),1)+L851-L845-L865*IF((K840+K841+K842+K843)&gt;0,K841/(K840+K841+K842+K843),0)</f>
        <v>8001109.23791962</v>
      </c>
      <c r="M841" s="73" t="n">
        <f aca="false">L841*(1+Rend_MSIG/4)*IF(M821=1,(1-(Cap_MSIG*$O$15+(1-Cap_MSIG)*$O$16))*(1+MSIG_USD*$O$14),1)+M851-M845-M865*IF((L840+L841+L842+L843)&gt;0,L841/(L840+L841+L842+L843),0)</f>
        <v>8284913.92444983</v>
      </c>
      <c r="N841" s="73" t="n">
        <f aca="false">M841*(1+Rend_MSIG/4)*IF(N821=1,(1-(Cap_MSIG*$O$15+(1-Cap_MSIG)*$O$16))*(1+MSIG_USD*$O$14),1)+N851-N845-N865*IF((M840+M841+M842+M843)&gt;0,M841/(M840+M841+M842+M843),0)</f>
        <v>8569917.68578063</v>
      </c>
      <c r="O841" s="73" t="n">
        <f aca="false">N841*(1+Rend_MSIG/4)*IF(O821=1,(1-(Cap_MSIG*$O$15+(1-Cap_MSIG)*$O$16))*(1+MSIG_USD*$O$14),1)+O851-O845-O865*IF((N840+N841+N842+N843)&gt;0,N841/(N840+N841+N842+N843),0)</f>
        <v>8856125.58800305</v>
      </c>
    </row>
    <row r="842" customFormat="false" ht="15" hidden="false" customHeight="false" outlineLevel="0" collapsed="false">
      <c r="B842" s="65" t="s">
        <v>1037</v>
      </c>
      <c r="C842" s="73" t="n">
        <f aca="false">AN_cible*Ws_PG</f>
        <v>12250000</v>
      </c>
      <c r="D842" s="73" t="n">
        <f aca="false">C842*(1+Rend_PG/4)*IF(D821=1,(1-(Cap_PG*$O$15+(1-Cap_PG)*$O$16))*(1+0*$O$14),1)-D846-D862*IF((D852+D853)&gt;0,D852/(D852+D853),0)+D867/2-D865*IF((C840+C841+C842+C843)&gt;0,C842/(C840+C841+C842+C843),0)</f>
        <v>11888931.25</v>
      </c>
      <c r="E842" s="73" t="n">
        <f aca="false">D842*(1+Rend_PG/4)*IF(E821=1,(1-(Cap_PG*$O$15+(1-Cap_PG)*$O$16))*(1+0*$O$14),1)-E846-E862*IF((E852+E853)&gt;0,E852/(E852+E853),0)+E867/2-E865*IF((D840+D841+D842+D843)&gt;0,D842/(D840+D841+D842+D843),0)</f>
        <v>11538505.0014063</v>
      </c>
      <c r="F842" s="73" t="n">
        <f aca="false">E842*(1+Rend_PG/4)*IF(F821=1,(1-(Cap_PG*$O$15+(1-Cap_PG)*$O$16))*(1+0*$O$14),1)-F846-F862*IF((F852+F853)&gt;0,F852/(F852+F853),0)+F867/2-F865*IF((E840+E841+E842+E843)&gt;0,E842/(E840+E841+E842+E843),0)</f>
        <v>11198407.5664898</v>
      </c>
      <c r="G842" s="73" t="n">
        <f aca="false">F842*(1+Rend_PG/4)*IF(G821=1,(1-(Cap_PG*$O$15+(1-Cap_PG)*$O$16))*(1+0*$O$14),1)-G846-G862*IF((G852+G853)&gt;0,G852/(G852+G853),0)+G867/2-G865*IF((F840+F841+F842+F843)&gt;0,F842/(F840+F841+F842+F843),0)</f>
        <v>10868334.5034675</v>
      </c>
      <c r="H842" s="73" t="n">
        <f aca="false">G842*(1+Rend_PG/4)*IF(H821=1,(1-(Cap_PG*$O$15+(1-Cap_PG)*$O$16))*(1+0*$O$14),1)-H846-H862*IF((H852+H853)&gt;0,H852/(H852+H853),0)+H867/2-H865*IF((G840+G841+G842+G843)&gt;0,G842/(G840+G841+G842+G843),0)</f>
        <v>10547990.3439778</v>
      </c>
      <c r="I842" s="73" t="n">
        <f aca="false">H842*(1+Rend_PG/4)*IF(I821=1,(1-(Cap_PG*$O$15+(1-Cap_PG)*$O$16))*(1+0*$O$14),1)-I846-I862*IF((I852+I853)&gt;0,I852/(I852+I853),0)+I867/2-I865*IF((H840+H841+H842+H843)&gt;0,H842/(H840+H841+H842+H843),0)</f>
        <v>10237088.3285891</v>
      </c>
      <c r="J842" s="73" t="n">
        <f aca="false">I842*(1+Rend_PG/4)*IF(J821=1,(1-(Cap_PG*$O$15+(1-Cap_PG)*$O$16))*(1+0*$O$14),1)-J846-J862*IF((J852+J853)&gt;0,J852/(J852+J853),0)+J867/2-J865*IF((I840+I841+I842+I843)&gt;0,I842/(I840+I841+I842+I843),0)</f>
        <v>9935350.1501039</v>
      </c>
      <c r="K842" s="73" t="n">
        <f aca="false">J842*(1+Rend_PG/4)*IF(K821=1,(1-(Cap_PG*$O$15+(1-Cap_PG)*$O$16))*(1+0*$O$14),1)-K846-K862*IF((K852+K853)&gt;0,K852/(K852+K853),0)+K867/2-K865*IF((J840+J841+J842+J843)&gt;0,J842/(J840+J841+J842+J843),0)</f>
        <v>9642505.70442959</v>
      </c>
      <c r="L842" s="73" t="n">
        <f aca="false">K842*(1+Rend_PG/4)*IF(L821=1,(1-(Cap_PG*$O$15+(1-Cap_PG)*$O$16))*(1+0*$O$14),1)-L846-L862*IF((L852+L853)&gt;0,L852/(L852+L853),0)+L867/2-L865*IF((K840+K841+K842+K843)&gt;0,K842/(K840+K841+K842+K843),0)</f>
        <v>9358292.84879153</v>
      </c>
      <c r="M842" s="73" t="n">
        <f aca="false">L842*(1+Rend_PG/4)*IF(M821=1,(1-(Cap_PG*$O$15+(1-Cap_PG)*$O$16))*(1+0*$O$14),1)-M846-M862*IF((M852+M853)&gt;0,M852/(M852+M853),0)+M867/2-M865*IF((L840+L841+L842+L843)&gt;0,L842/(L840+L841+L842+L843),0)</f>
        <v>9082457.1670734</v>
      </c>
      <c r="N842" s="73" t="n">
        <f aca="false">M842*(1+Rend_PG/4)*IF(N821=1,(1-(Cap_PG*$O$15+(1-Cap_PG)*$O$16))*(1+0*$O$14),1)-N846-N862*IF((N852+N853)&gt;0,N852/(N852+N853),0)+N867/2-N865*IF((M840+M841+M842+M843)&gt;0,M842/(M840+M841+M842+M843),0)</f>
        <v>8814751.74207391</v>
      </c>
      <c r="O842" s="73" t="n">
        <f aca="false">N842*(1+Rend_PG/4)*IF(O821=1,(1-(Cap_PG*$O$15+(1-Cap_PG)*$O$16))*(1+0*$O$14),1)-O846-O862*IF((O852+O853)&gt;0,O852/(O852+O853),0)+O867/2-O865*IF((N840+N841+N842+N843)&gt;0,N842/(N840+N841+N842+N843),0)</f>
        <v>8554936.93447628</v>
      </c>
    </row>
    <row r="843" customFormat="false" ht="15" hidden="false" customHeight="false" outlineLevel="0" collapsed="false">
      <c r="B843" s="65" t="s">
        <v>1038</v>
      </c>
      <c r="C843" s="73" t="n">
        <f aca="false">AN_cible*Ws_ARES</f>
        <v>12250000</v>
      </c>
      <c r="D843" s="73" t="n">
        <f aca="false">C843*(1+Rend_ARES/4)*IF(D821=1,(1-(Cap_ARES*$O$15+(1-Cap_ARES)*$O$16))*(1+0*$O$14),1)-D847-D862*IF((D852+D853)&gt;0,D853/(D852+D853),0)/(1-IF(D821&lt;=Deduc_trim,Deduc_ares,0))+D867/2-D865*IF((C840+C841+C842+C843)&gt;0,C843/(C840+C841+C842+C843),0)</f>
        <v>11727537.5</v>
      </c>
      <c r="E843" s="73" t="n">
        <f aca="false">D843*(1+Rend_ARES/4)*IF(E821=1,(1-(Cap_ARES*$O$15+(1-Cap_ARES)*$O$16))*(1+0*$O$14),1)-E847-E862*IF((E852+E853)&gt;0,E853/(E852+E853),0)/(1-IF(E821&lt;=Deduc_trim,Deduc_ares,0))+E867/2-E865*IF((D840+D841+D842+D843)&gt;0,D843/(D840+D841+D842+D843),0)</f>
        <v>11227358.025625</v>
      </c>
      <c r="F843" s="73" t="n">
        <f aca="false">E843*(1+Rend_ARES/4)*IF(F821=1,(1-(Cap_ARES*$O$15+(1-Cap_ARES)*$O$16))*(1+0*$O$14),1)-F847-F862*IF((F852+F853)&gt;0,F853/(F852+F853),0)/(1-IF(F821&lt;=Deduc_trim,Deduc_ares,0))+F867/2-F865*IF((E840+E841+E842+E843)&gt;0,E843/(E840+E841+E842+E843),0)</f>
        <v>10748511.2058321</v>
      </c>
      <c r="G843" s="73" t="n">
        <f aca="false">F843*(1+Rend_ARES/4)*IF(G821=1,(1-(Cap_ARES*$O$15+(1-Cap_ARES)*$O$16))*(1+0*$O$14),1)-G847-G862*IF((G852+G853)&gt;0,G853/(G852+G853),0)/(1-IF(G821&lt;=Deduc_trim,Deduc_ares,0))+G867/2-G865*IF((F840+F841+F842+F843)&gt;0,F843/(F840+F841+F842+F843),0)</f>
        <v>10290087.2029034</v>
      </c>
      <c r="H843" s="73" t="n">
        <f aca="false">G843*(1+Rend_ARES/4)*IF(H821=1,(1-(Cap_ARES*$O$15+(1-Cap_ARES)*$O$16))*(1+0*$O$14),1)-H847-H862*IF((H852+H853)&gt;0,H853/(H852+H853),0)/(1-IF(H821&lt;=Deduc_trim,Deduc_ares,0))+H867/2-H865*IF((G840+G841+G842+G843)&gt;0,G843/(G840+G841+G842+G843),0)</f>
        <v>9851214.98369952</v>
      </c>
      <c r="I843" s="73" t="n">
        <f aca="false">H843*(1+Rend_ARES/4)*IF(I821=1,(1-(Cap_ARES*$O$15+(1-Cap_ARES)*$O$16))*(1+0*$O$14),1)-I847-I862*IF((I852+I853)&gt;0,I853/(I852+I853),0)/(1-IF(I821&lt;=Deduc_trim,Deduc_ares,0))+I867/2-I865*IF((H840+H841+H842+H843)&gt;0,H843/(H840+H841+H842+H843),0)</f>
        <v>9431060.66464474</v>
      </c>
      <c r="J843" s="73" t="n">
        <f aca="false">I843*(1+Rend_ARES/4)*IF(J821=1,(1-(Cap_ARES*$O$15+(1-Cap_ARES)*$O$16))*(1+0*$O$14),1)-J847-J862*IF((J852+J853)&gt;0,J853/(J852+J853),0)/(1-IF(J821&lt;=Deduc_trim,Deduc_ares,0))+J867/2-J865*IF((I840+I841+I842+I843)&gt;0,I843/(I840+I841+I842+I843),0)</f>
        <v>9028825.92729764</v>
      </c>
      <c r="K843" s="73" t="n">
        <f aca="false">J843*(1+Rend_ARES/4)*IF(K821=1,(1-(Cap_ARES*$O$15+(1-Cap_ARES)*$O$16))*(1+0*$O$14),1)-K847-K862*IF((K852+K853)&gt;0,K853/(K852+K853),0)/(1-IF(K821&lt;=Deduc_trim,Deduc_ares,0))+K867/2-K865*IF((J840+J841+J842+J843)&gt;0,J843/(J840+J841+J842+J843),0)</f>
        <v>8643746.5014984</v>
      </c>
      <c r="L843" s="73" t="n">
        <f aca="false">K843*(1+Rend_ARES/4)*IF(L821=1,(1-(Cap_ARES*$O$15+(1-Cap_ARES)*$O$16))*(1+0*$O$14),1)-L847-L862*IF((L852+L853)&gt;0,L853/(L852+L853),0)/(1-IF(L821&lt;=Deduc_trim,Deduc_ares,0))+L867/2-L865*IF((K840+K841+K842+K843)&gt;0,K843/(K840+K841+K842+K843),0)</f>
        <v>8275090.71320949</v>
      </c>
      <c r="M843" s="73" t="n">
        <f aca="false">L843*(1+Rend_ARES/4)*IF(M821=1,(1-(Cap_ARES*$O$15+(1-Cap_ARES)*$O$16))*(1+0*$O$14),1)-M847-M862*IF((M852+M853)&gt;0,M853/(M852+M853),0)/(1-IF(M821&lt;=Deduc_trim,Deduc_ares,0))+M867/2-M865*IF((L840+L841+L842+L843)&gt;0,L843/(L840+L841+L842+L843),0)</f>
        <v>7922158.0942911</v>
      </c>
      <c r="N843" s="73" t="n">
        <f aca="false">M843*(1+Rend_ARES/4)*IF(N821=1,(1-(Cap_ARES*$O$15+(1-Cap_ARES)*$O$16))*(1+0*$O$14),1)-N847-N862*IF((N852+N853)&gt;0,N853/(N852+N853),0)/(1-IF(N821&lt;=Deduc_trim,Deduc_ares,0))+N867/2-N865*IF((M840+M841+M842+M843)&gt;0,M843/(M840+M841+M842+M843),0)</f>
        <v>7584278.05156959</v>
      </c>
      <c r="O843" s="73" t="n">
        <f aca="false">N843*(1+Rend_ARES/4)*IF(O821=1,(1-(Cap_ARES*$O$15+(1-Cap_ARES)*$O$16))*(1+0*$O$14),1)-O847-O862*IF((O852+O853)&gt;0,O853/(O852+O853),0)/(1-IF(O821&lt;=Deduc_trim,Deduc_ares,0))+O867/2-O865*IF((N840+N841+N842+N843)&gt;0,N843/(N840+N841+N842+N843),0)</f>
        <v>7260808.59267014</v>
      </c>
    </row>
    <row r="844" customFormat="false" ht="15" hidden="false" customHeight="false" outlineLevel="0" collapsed="false">
      <c r="B844" s="65" t="s">
        <v>1039</v>
      </c>
      <c r="C844" s="25"/>
      <c r="D844" s="73" t="n">
        <f aca="false">C840*Dist_MAPIF/4*IF(D821&lt;=$O$11,0,$O$10)</f>
        <v>187500</v>
      </c>
      <c r="E844" s="73" t="n">
        <f aca="false">D840*Dist_MAPIF/4*IF(E821&lt;=$O$11,0,$O$10)</f>
        <v>194573.4375</v>
      </c>
      <c r="F844" s="73" t="n">
        <f aca="false">E840*Dist_MAPIF/4*IF(F821&lt;=$O$11,0,$O$10)</f>
        <v>201701.517304688</v>
      </c>
      <c r="G844" s="73" t="n">
        <f aca="false">F840*Dist_MAPIF/4*IF(G821&lt;=$O$11,0,$O$10)</f>
        <v>208884.661525866</v>
      </c>
      <c r="H844" s="73" t="n">
        <f aca="false">G840*Dist_MAPIF/4*IF(H821&lt;=$O$11,0,$O$10)</f>
        <v>216123.295536154</v>
      </c>
      <c r="I844" s="73" t="n">
        <f aca="false">H840*Dist_MAPIF/4*IF(I821&lt;=$O$11,0,$O$10)</f>
        <v>223417.84799417</v>
      </c>
      <c r="J844" s="73" t="n">
        <f aca="false">I840*Dist_MAPIF/4*IF(J821&lt;=$O$11,0,$O$10)</f>
        <v>230768.750869925</v>
      </c>
      <c r="K844" s="73" t="n">
        <f aca="false">J840*Dist_MAPIF/4*IF(K821&lt;=$O$11,0,$O$10)</f>
        <v>238176.439470396</v>
      </c>
      <c r="L844" s="73" t="n">
        <f aca="false">K840*Dist_MAPIF/4*IF(L821&lt;=$O$11,0,$O$10)</f>
        <v>245641.352465304</v>
      </c>
      <c r="M844" s="73" t="n">
        <f aca="false">L840*Dist_MAPIF/4*IF(M821&lt;=$O$11,0,$O$10)</f>
        <v>253163.931913099</v>
      </c>
      <c r="N844" s="73" t="n">
        <f aca="false">M840*Dist_MAPIF/4*IF(N821&lt;=$O$11,0,$O$10)</f>
        <v>260744.623287128</v>
      </c>
      <c r="O844" s="73" t="n">
        <f aca="false">N840*Dist_MAPIF/4*IF(O821&lt;=$O$11,0,$O$10)</f>
        <v>268383.875502021</v>
      </c>
    </row>
    <row r="845" customFormat="false" ht="15" hidden="false" customHeight="false" outlineLevel="0" collapsed="false">
      <c r="B845" s="65" t="s">
        <v>1040</v>
      </c>
      <c r="C845" s="25"/>
      <c r="D845" s="73" t="n">
        <f aca="false">C841*Dist_MSIG/4*IF(D821&lt;=$O$11,0,$O$10)</f>
        <v>96250</v>
      </c>
      <c r="E845" s="73" t="n">
        <f aca="false">D841*Dist_MSIG/4*IF(E821&lt;=$O$11,0,$O$10)</f>
        <v>101031.65625</v>
      </c>
      <c r="F845" s="73" t="n">
        <f aca="false">E841*Dist_MSIG/4*IF(F821&lt;=$O$11,0,$O$10)</f>
        <v>105833.514997656</v>
      </c>
      <c r="G845" s="73" t="n">
        <f aca="false">F841*Dist_MSIG/4*IF(G821&lt;=$O$11,0,$O$10)</f>
        <v>110655.661598521</v>
      </c>
      <c r="H845" s="73" t="n">
        <f aca="false">G841*Dist_MSIG/4*IF(H821&lt;=$O$11,0,$O$10)</f>
        <v>115498.181768775</v>
      </c>
      <c r="I845" s="73" t="n">
        <f aca="false">H841*Dist_MSIG/4*IF(I821&lt;=$O$11,0,$O$10)</f>
        <v>120361.161586748</v>
      </c>
      <c r="J845" s="73" t="n">
        <f aca="false">I841*Dist_MSIG/4*IF(J821&lt;=$O$11,0,$O$10)</f>
        <v>125244.687494452</v>
      </c>
      <c r="K845" s="73" t="n">
        <f aca="false">J841*Dist_MSIG/4*IF(K821&lt;=$O$11,0,$O$10)</f>
        <v>130148.846299116</v>
      </c>
      <c r="L845" s="73" t="n">
        <f aca="false">K841*Dist_MSIG/4*IF(L821&lt;=$O$11,0,$O$10)</f>
        <v>135073.72517473</v>
      </c>
      <c r="M845" s="73" t="n">
        <f aca="false">L841*Dist_MSIG/4*IF(M821&lt;=$O$11,0,$O$10)</f>
        <v>140019.411663593</v>
      </c>
      <c r="N845" s="73" t="n">
        <f aca="false">M841*Dist_MSIG/4*IF(N821&lt;=$O$11,0,$O$10)</f>
        <v>144985.993677872</v>
      </c>
      <c r="O845" s="73" t="n">
        <f aca="false">N841*Dist_MSIG/4*IF(O821&lt;=$O$11,0,$O$10)</f>
        <v>149973.559501161</v>
      </c>
    </row>
    <row r="846" customFormat="false" ht="15" hidden="false" customHeight="false" outlineLevel="0" collapsed="false">
      <c r="B846" s="65" t="s">
        <v>1041</v>
      </c>
      <c r="C846" s="25"/>
      <c r="D846" s="73" t="n">
        <f aca="false">C842*Dist_PG/4*IF(D821&lt;=$O$11,0,$O$10)</f>
        <v>61250</v>
      </c>
      <c r="E846" s="73" t="n">
        <f aca="false">D842*Dist_PG/4*IF(E821&lt;=$O$11,0,$O$10)</f>
        <v>59444.65625</v>
      </c>
      <c r="F846" s="73" t="n">
        <f aca="false">E842*Dist_PG/4*IF(F821&lt;=$O$11,0,$O$10)</f>
        <v>57692.5250070313</v>
      </c>
      <c r="G846" s="73" t="n">
        <f aca="false">F842*Dist_PG/4*IF(G821&lt;=$O$11,0,$O$10)</f>
        <v>55992.037832449</v>
      </c>
      <c r="H846" s="73" t="n">
        <f aca="false">G842*Dist_PG/4*IF(H821&lt;=$O$11,0,$O$10)</f>
        <v>54341.6725173376</v>
      </c>
      <c r="I846" s="73" t="n">
        <f aca="false">H842*Dist_PG/4*IF(I821&lt;=$O$11,0,$O$10)</f>
        <v>52739.9517198891</v>
      </c>
      <c r="J846" s="73" t="n">
        <f aca="false">I842*Dist_PG/4*IF(J821&lt;=$O$11,0,$O$10)</f>
        <v>51185.4416429453</v>
      </c>
      <c r="K846" s="73" t="n">
        <f aca="false">J842*Dist_PG/4*IF(K821&lt;=$O$11,0,$O$10)</f>
        <v>49676.7507505195</v>
      </c>
      <c r="L846" s="73" t="n">
        <f aca="false">K842*Dist_PG/4*IF(L821&lt;=$O$11,0,$O$10)</f>
        <v>48212.528522148</v>
      </c>
      <c r="M846" s="73" t="n">
        <f aca="false">L842*Dist_PG/4*IF(M821&lt;=$O$11,0,$O$10)</f>
        <v>46791.4642439576</v>
      </c>
      <c r="N846" s="73" t="n">
        <f aca="false">M842*Dist_PG/4*IF(N821&lt;=$O$11,0,$O$10)</f>
        <v>45412.285835367</v>
      </c>
      <c r="O846" s="73" t="n">
        <f aca="false">N842*Dist_PG/4*IF(O821&lt;=$O$11,0,$O$10)</f>
        <v>44073.7587103696</v>
      </c>
    </row>
    <row r="847" customFormat="false" ht="15" hidden="false" customHeight="false" outlineLevel="0" collapsed="false">
      <c r="B847" s="65" t="s">
        <v>1042</v>
      </c>
      <c r="C847" s="25"/>
      <c r="D847" s="73" t="n">
        <f aca="false">C843*Dist_ARES/4*IF(D821&lt;=$O$11,0,$O$10)</f>
        <v>153125</v>
      </c>
      <c r="E847" s="73" t="n">
        <f aca="false">D843*Dist_ARES/4*IF(E821&lt;=$O$11,0,$O$10)</f>
        <v>146594.21875</v>
      </c>
      <c r="F847" s="73" t="n">
        <f aca="false">E843*Dist_ARES/4*IF(F821&lt;=$O$11,0,$O$10)</f>
        <v>140341.975320313</v>
      </c>
      <c r="G847" s="73" t="n">
        <f aca="false">F843*Dist_ARES/4*IF(G821&lt;=$O$11,0,$O$10)</f>
        <v>134356.390072901</v>
      </c>
      <c r="H847" s="73" t="n">
        <f aca="false">G843*Dist_ARES/4*IF(H821&lt;=$O$11,0,$O$10)</f>
        <v>128626.090036292</v>
      </c>
      <c r="I847" s="73" t="n">
        <f aca="false">H843*Dist_ARES/4*IF(I821&lt;=$O$11,0,$O$10)</f>
        <v>123140.187296244</v>
      </c>
      <c r="J847" s="73" t="n">
        <f aca="false">I843*Dist_ARES/4*IF(J821&lt;=$O$11,0,$O$10)</f>
        <v>117888.258308059</v>
      </c>
      <c r="K847" s="73" t="n">
        <f aca="false">J843*Dist_ARES/4*IF(K821&lt;=$O$11,0,$O$10)</f>
        <v>112860.324091221</v>
      </c>
      <c r="L847" s="73" t="n">
        <f aca="false">K843*Dist_ARES/4*IF(L821&lt;=$O$11,0,$O$10)</f>
        <v>108046.83126873</v>
      </c>
      <c r="M847" s="73" t="n">
        <f aca="false">L843*Dist_ARES/4*IF(M821&lt;=$O$11,0,$O$10)</f>
        <v>103438.633915119</v>
      </c>
      <c r="N847" s="73" t="n">
        <f aca="false">M843*Dist_ARES/4*IF(N821&lt;=$O$11,0,$O$10)</f>
        <v>99026.9761786388</v>
      </c>
      <c r="O847" s="73" t="n">
        <f aca="false">N843*Dist_ARES/4*IF(O821&lt;=$O$11,0,$O$10)</f>
        <v>94803.4756446198</v>
      </c>
    </row>
    <row r="848" customFormat="false" ht="15" hidden="false" customHeight="false" outlineLevel="0" collapsed="false">
      <c r="B848" s="65" t="s">
        <v>1043</v>
      </c>
      <c r="C848" s="73" t="n">
        <f aca="false">AN_cible*$O$12*Part_MAPIF_NA</f>
        <v>4500000</v>
      </c>
      <c r="D848" s="73" t="n">
        <f aca="false">C848*IF(D821=1,1+$O$14,1)-D850</f>
        <v>4125000</v>
      </c>
      <c r="E848" s="73" t="n">
        <f aca="false">D848*IF(E821=1,1+$O$14,1)-E850</f>
        <v>3750000</v>
      </c>
      <c r="F848" s="73" t="n">
        <f aca="false">E848*IF(F821=1,1+$O$14,1)-F850</f>
        <v>3375000</v>
      </c>
      <c r="G848" s="73" t="n">
        <f aca="false">F848*IF(G821=1,1+$O$14,1)-G850</f>
        <v>3000000</v>
      </c>
      <c r="H848" s="73" t="n">
        <f aca="false">G848*IF(H821=1,1+$O$14,1)-H850</f>
        <v>2625000</v>
      </c>
      <c r="I848" s="73" t="n">
        <f aca="false">H848*IF(I821=1,1+$O$14,1)-I850</f>
        <v>2250000</v>
      </c>
      <c r="J848" s="73" t="n">
        <f aca="false">I848*IF(J821=1,1+$O$14,1)-J850</f>
        <v>1875000</v>
      </c>
      <c r="K848" s="73" t="n">
        <f aca="false">J848*IF(K821=1,1+$O$14,1)-K850</f>
        <v>1500000</v>
      </c>
      <c r="L848" s="73" t="n">
        <f aca="false">K848*IF(L821=1,1+$O$14,1)-L850</f>
        <v>1125000</v>
      </c>
      <c r="M848" s="73" t="n">
        <f aca="false">L848*IF(M821=1,1+$O$14,1)-M850</f>
        <v>750000</v>
      </c>
      <c r="N848" s="73" t="n">
        <f aca="false">M848*IF(N821=1,1+$O$14,1)-N850</f>
        <v>375000</v>
      </c>
      <c r="O848" s="73" t="n">
        <f aca="false">N848*IF(O821=1,1+$O$14,1)-O850</f>
        <v>0</v>
      </c>
    </row>
    <row r="849" customFormat="false" ht="15" hidden="false" customHeight="false" outlineLevel="0" collapsed="false">
      <c r="B849" s="65" t="s">
        <v>1044</v>
      </c>
      <c r="C849" s="73" t="n">
        <f aca="false">AN_cible*$O$12*(1-Part_MAPIF_NA)</f>
        <v>3000000</v>
      </c>
      <c r="D849" s="73" t="n">
        <f aca="false">C849*IF(D821=1,1+MSIG_USD*$O$14,1)-D851</f>
        <v>2750000</v>
      </c>
      <c r="E849" s="73" t="n">
        <f aca="false">D849*IF(E821=1,1+MSIG_USD*$O$14,1)-E851</f>
        <v>2500000</v>
      </c>
      <c r="F849" s="73" t="n">
        <f aca="false">E849*IF(F821=1,1+MSIG_USD*$O$14,1)-F851</f>
        <v>2250000</v>
      </c>
      <c r="G849" s="73" t="n">
        <f aca="false">F849*IF(G821=1,1+MSIG_USD*$O$14,1)-G851</f>
        <v>2000000</v>
      </c>
      <c r="H849" s="73" t="n">
        <f aca="false">G849*IF(H821=1,1+MSIG_USD*$O$14,1)-H851</f>
        <v>1750000</v>
      </c>
      <c r="I849" s="73" t="n">
        <f aca="false">H849*IF(I821=1,1+MSIG_USD*$O$14,1)-I851</f>
        <v>1500000</v>
      </c>
      <c r="J849" s="73" t="n">
        <f aca="false">I849*IF(J821=1,1+MSIG_USD*$O$14,1)-J851</f>
        <v>1250000</v>
      </c>
      <c r="K849" s="73" t="n">
        <f aca="false">J849*IF(K821=1,1+MSIG_USD*$O$14,1)-K851</f>
        <v>1000000</v>
      </c>
      <c r="L849" s="73" t="n">
        <f aca="false">K849*IF(L821=1,1+MSIG_USD*$O$14,1)-L851</f>
        <v>750000</v>
      </c>
      <c r="M849" s="73" t="n">
        <f aca="false">L849*IF(M821=1,1+MSIG_USD*$O$14,1)-M851</f>
        <v>500000</v>
      </c>
      <c r="N849" s="73" t="n">
        <f aca="false">M849*IF(N821=1,1+MSIG_USD*$O$14,1)-N851</f>
        <v>250000</v>
      </c>
      <c r="O849" s="73" t="n">
        <f aca="false">N849*IF(O821=1,1+MSIG_USD*$O$14,1)-O851</f>
        <v>0</v>
      </c>
    </row>
    <row r="850" customFormat="false" ht="15" hidden="false" customHeight="false" outlineLevel="0" collapsed="false">
      <c r="B850" s="65" t="s">
        <v>1045</v>
      </c>
      <c r="C850" s="25"/>
      <c r="D850" s="73" t="n">
        <f aca="false">MIN(C848*IF(D821=1,1+$O$14,1),$C848*(1+$O$14)*IF(D821&lt;=4,$O$13/4,Appels_base))</f>
        <v>375000</v>
      </c>
      <c r="E850" s="73" t="n">
        <f aca="false">MIN(D848*IF(E821=1,1+$O$14,1),$C848*(1+$O$14)*IF(E821&lt;=4,$O$13/4,Appels_base))</f>
        <v>375000</v>
      </c>
      <c r="F850" s="73" t="n">
        <f aca="false">MIN(E848*IF(F821=1,1+$O$14,1),$C848*(1+$O$14)*IF(F821&lt;=4,$O$13/4,Appels_base))</f>
        <v>375000</v>
      </c>
      <c r="G850" s="73" t="n">
        <f aca="false">MIN(F848*IF(G821=1,1+$O$14,1),$C848*(1+$O$14)*IF(G821&lt;=4,$O$13/4,Appels_base))</f>
        <v>375000</v>
      </c>
      <c r="H850" s="73" t="n">
        <f aca="false">MIN(G848*IF(H821=1,1+$O$14,1),$C848*(1+$O$14)*IF(H821&lt;=4,$O$13/4,Appels_base))</f>
        <v>375000</v>
      </c>
      <c r="I850" s="73" t="n">
        <f aca="false">MIN(H848*IF(I821=1,1+$O$14,1),$C848*(1+$O$14)*IF(I821&lt;=4,$O$13/4,Appels_base))</f>
        <v>375000</v>
      </c>
      <c r="J850" s="73" t="n">
        <f aca="false">MIN(I848*IF(J821=1,1+$O$14,1),$C848*(1+$O$14)*IF(J821&lt;=4,$O$13/4,Appels_base))</f>
        <v>375000</v>
      </c>
      <c r="K850" s="73" t="n">
        <f aca="false">MIN(J848*IF(K821=1,1+$O$14,1),$C848*(1+$O$14)*IF(K821&lt;=4,$O$13/4,Appels_base))</f>
        <v>375000</v>
      </c>
      <c r="L850" s="73" t="n">
        <f aca="false">MIN(K848*IF(L821=1,1+$O$14,1),$C848*(1+$O$14)*IF(L821&lt;=4,$O$13/4,Appels_base))</f>
        <v>375000</v>
      </c>
      <c r="M850" s="73" t="n">
        <f aca="false">MIN(L848*IF(M821=1,1+$O$14,1),$C848*(1+$O$14)*IF(M821&lt;=4,$O$13/4,Appels_base))</f>
        <v>375000</v>
      </c>
      <c r="N850" s="73" t="n">
        <f aca="false">MIN(M848*IF(N821=1,1+$O$14,1),$C848*(1+$O$14)*IF(N821&lt;=4,$O$13/4,Appels_base))</f>
        <v>375000</v>
      </c>
      <c r="O850" s="73" t="n">
        <f aca="false">MIN(N848*IF(O821=1,1+$O$14,1),$C848*(1+$O$14)*IF(O821&lt;=4,$O$13/4,Appels_base))</f>
        <v>375000</v>
      </c>
    </row>
    <row r="851" customFormat="false" ht="15" hidden="false" customHeight="false" outlineLevel="0" collapsed="false">
      <c r="B851" s="65" t="s">
        <v>1046</v>
      </c>
      <c r="C851" s="25"/>
      <c r="D851" s="73" t="n">
        <f aca="false">MIN(C849*IF(D821=1,1+MSIG_USD*$O$14,1),$C849*(1+MSIG_USD*$O$14)*IF(D821&lt;=4,$O$13/4,Appels_base))</f>
        <v>250000</v>
      </c>
      <c r="E851" s="73" t="n">
        <f aca="false">MIN(D849*IF(E821=1,1+MSIG_USD*$O$14,1),$C849*(1+MSIG_USD*$O$14)*IF(E821&lt;=4,$O$13/4,Appels_base))</f>
        <v>250000</v>
      </c>
      <c r="F851" s="73" t="n">
        <f aca="false">MIN(E849*IF(F821=1,1+MSIG_USD*$O$14,1),$C849*(1+MSIG_USD*$O$14)*IF(F821&lt;=4,$O$13/4,Appels_base))</f>
        <v>250000</v>
      </c>
      <c r="G851" s="73" t="n">
        <f aca="false">MIN(F849*IF(G821=1,1+MSIG_USD*$O$14,1),$C849*(1+MSIG_USD*$O$14)*IF(G821&lt;=4,$O$13/4,Appels_base))</f>
        <v>250000</v>
      </c>
      <c r="H851" s="73" t="n">
        <f aca="false">MIN(G849*IF(H821=1,1+MSIG_USD*$O$14,1),$C849*(1+MSIG_USD*$O$14)*IF(H821&lt;=4,$O$13/4,Appels_base))</f>
        <v>250000</v>
      </c>
      <c r="I851" s="73" t="n">
        <f aca="false">MIN(H849*IF(I821=1,1+MSIG_USD*$O$14,1),$C849*(1+MSIG_USD*$O$14)*IF(I821&lt;=4,$O$13/4,Appels_base))</f>
        <v>250000</v>
      </c>
      <c r="J851" s="73" t="n">
        <f aca="false">MIN(I849*IF(J821=1,1+MSIG_USD*$O$14,1),$C849*(1+MSIG_USD*$O$14)*IF(J821&lt;=4,$O$13/4,Appels_base))</f>
        <v>250000</v>
      </c>
      <c r="K851" s="73" t="n">
        <f aca="false">MIN(J849*IF(K821=1,1+MSIG_USD*$O$14,1),$C849*(1+MSIG_USD*$O$14)*IF(K821&lt;=4,$O$13/4,Appels_base))</f>
        <v>250000</v>
      </c>
      <c r="L851" s="73" t="n">
        <f aca="false">MIN(K849*IF(L821=1,1+MSIG_USD*$O$14,1),$C849*(1+MSIG_USD*$O$14)*IF(L821&lt;=4,$O$13/4,Appels_base))</f>
        <v>250000</v>
      </c>
      <c r="M851" s="73" t="n">
        <f aca="false">MIN(L849*IF(M821=1,1+MSIG_USD*$O$14,1),$C849*(1+MSIG_USD*$O$14)*IF(M821&lt;=4,$O$13/4,Appels_base))</f>
        <v>250000</v>
      </c>
      <c r="N851" s="73" t="n">
        <f aca="false">MIN(M849*IF(N821=1,1+MSIG_USD*$O$14,1),$C849*(1+MSIG_USD*$O$14)*IF(N821&lt;=4,$O$13/4,Appels_base))</f>
        <v>250000</v>
      </c>
      <c r="O851" s="73" t="n">
        <f aca="false">MIN(N849*IF(O821=1,1+MSIG_USD*$O$14,1),$C849*(1+MSIG_USD*$O$14)*IF(O821&lt;=4,$O$13/4,Appels_base))</f>
        <v>250000</v>
      </c>
    </row>
    <row r="852" customFormat="false" ht="15" hidden="false" customHeight="false" outlineLevel="0" collapsed="false">
      <c r="B852" s="65" t="s">
        <v>1047</v>
      </c>
      <c r="C852" s="25"/>
      <c r="D852" s="73" t="n">
        <f aca="false">C842*Capacite_evg*IF(D821&lt;=4,$O$17,$O$18)</f>
        <v>612500</v>
      </c>
      <c r="E852" s="73" t="n">
        <f aca="false">D842*Capacite_evg*IF(E821&lt;=4,$O$17,$O$18)</f>
        <v>594446.5625</v>
      </c>
      <c r="F852" s="73" t="n">
        <f aca="false">E842*Capacite_evg*IF(F821&lt;=4,$O$17,$O$18)</f>
        <v>576925.250070313</v>
      </c>
      <c r="G852" s="73" t="n">
        <f aca="false">F842*Capacite_evg*IF(G821&lt;=4,$O$17,$O$18)</f>
        <v>559920.37832449</v>
      </c>
      <c r="H852" s="73" t="n">
        <f aca="false">G842*Capacite_evg*IF(H821&lt;=4,$O$17,$O$18)</f>
        <v>543416.725173376</v>
      </c>
      <c r="I852" s="73" t="n">
        <f aca="false">H842*Capacite_evg*IF(I821&lt;=4,$O$17,$O$18)</f>
        <v>527399.517198891</v>
      </c>
      <c r="J852" s="73" t="n">
        <f aca="false">I842*Capacite_evg*IF(J821&lt;=4,$O$17,$O$18)</f>
        <v>511854.416429453</v>
      </c>
      <c r="K852" s="73" t="n">
        <f aca="false">J842*Capacite_evg*IF(K821&lt;=4,$O$17,$O$18)</f>
        <v>496767.507505195</v>
      </c>
      <c r="L852" s="73" t="n">
        <f aca="false">K842*Capacite_evg*IF(L821&lt;=4,$O$17,$O$18)</f>
        <v>482125.28522148</v>
      </c>
      <c r="M852" s="73" t="n">
        <f aca="false">L842*Capacite_evg*IF(M821&lt;=4,$O$17,$O$18)</f>
        <v>467914.642439576</v>
      </c>
      <c r="N852" s="73" t="n">
        <f aca="false">M842*Capacite_evg*IF(N821&lt;=4,$O$17,$O$18)</f>
        <v>454122.85835367</v>
      </c>
      <c r="O852" s="73" t="n">
        <f aca="false">N842*Capacite_evg*IF(O821&lt;=4,$O$17,$O$18)</f>
        <v>440737.587103696</v>
      </c>
    </row>
    <row r="853" customFormat="false" ht="15" hidden="false" customHeight="false" outlineLevel="0" collapsed="false">
      <c r="B853" s="65" t="s">
        <v>1048</v>
      </c>
      <c r="C853" s="25"/>
      <c r="D853" s="73" t="n">
        <f aca="false">C843*Capacite_evg*IF(D821&lt;=4,$O$17,$O$19)*(1-IF(D821&lt;=Deduc_trim,Deduc_ares,0))</f>
        <v>581875</v>
      </c>
      <c r="E853" s="73" t="n">
        <f aca="false">D843*Capacite_evg*IF(E821&lt;=4,$O$17,$O$19)*(1-IF(E821&lt;=Deduc_trim,Deduc_ares,0))</f>
        <v>557058.03125</v>
      </c>
      <c r="F853" s="73" t="n">
        <f aca="false">E843*Capacite_evg*IF(F821&lt;=4,$O$17,$O$19)*(1-IF(F821&lt;=Deduc_trim,Deduc_ares,0))</f>
        <v>533299.506217187</v>
      </c>
      <c r="G853" s="73" t="n">
        <f aca="false">F843*Capacite_evg*IF(G821&lt;=4,$O$17,$O$19)*(1-IF(G821&lt;=Deduc_trim,Deduc_ares,0))</f>
        <v>510554.282277024</v>
      </c>
      <c r="H853" s="73" t="n">
        <f aca="false">G843*Capacite_evg*IF(H821&lt;=4,$O$17,$O$19)*(1-IF(H821&lt;=Deduc_trim,Deduc_ares,0))</f>
        <v>514504.360145168</v>
      </c>
      <c r="I853" s="73" t="n">
        <f aca="false">H843*Capacite_evg*IF(I821&lt;=4,$O$17,$O$19)*(1-IF(I821&lt;=Deduc_trim,Deduc_ares,0))</f>
        <v>492560.749184976</v>
      </c>
      <c r="J853" s="73" t="n">
        <f aca="false">I843*Capacite_evg*IF(J821&lt;=4,$O$17,$O$19)*(1-IF(J821&lt;=Deduc_trim,Deduc_ares,0))</f>
        <v>471553.033232237</v>
      </c>
      <c r="K853" s="73" t="n">
        <f aca="false">J843*Capacite_evg*IF(K821&lt;=4,$O$17,$O$19)*(1-IF(K821&lt;=Deduc_trim,Deduc_ares,0))</f>
        <v>451441.296364882</v>
      </c>
      <c r="L853" s="73" t="n">
        <f aca="false">K843*Capacite_evg*IF(L821&lt;=4,$O$17,$O$19)*(1-IF(L821&lt;=Deduc_trim,Deduc_ares,0))</f>
        <v>432187.32507492</v>
      </c>
      <c r="M853" s="73" t="n">
        <f aca="false">L843*Capacite_evg*IF(M821&lt;=4,$O$17,$O$19)*(1-IF(M821&lt;=Deduc_trim,Deduc_ares,0))</f>
        <v>413754.535660474</v>
      </c>
      <c r="N853" s="73" t="n">
        <f aca="false">M843*Capacite_evg*IF(N821&lt;=4,$O$17,$O$19)*(1-IF(N821&lt;=Deduc_trim,Deduc_ares,0))</f>
        <v>396107.904714555</v>
      </c>
      <c r="O853" s="73" t="n">
        <f aca="false">N843*Capacite_evg*IF(O821&lt;=4,$O$17,$O$19)*(1-IF(O821&lt;=Deduc_trim,Deduc_ares,0))</f>
        <v>379213.902578479</v>
      </c>
    </row>
    <row r="854" customFormat="false" ht="15" hidden="false" customHeight="false" outlineLevel="0" collapsed="false">
      <c r="B854" s="65" t="s">
        <v>1049</v>
      </c>
      <c r="C854" s="25"/>
      <c r="D854" s="73" t="n">
        <f aca="false">C868</f>
        <v>7500000</v>
      </c>
      <c r="E854" s="73" t="n">
        <f aca="false">D868</f>
        <v>5739375</v>
      </c>
      <c r="F854" s="73" t="n">
        <f aca="false">E868</f>
        <v>6562891.4375</v>
      </c>
      <c r="G854" s="73" t="n">
        <f aca="false">F868</f>
        <v>4909430.45367109</v>
      </c>
      <c r="H854" s="73" t="n">
        <f aca="false">G868</f>
        <v>5659951.93568534</v>
      </c>
      <c r="I854" s="73" t="n">
        <f aca="false">H868</f>
        <v>4012380.04095581</v>
      </c>
      <c r="J854" s="73" t="n">
        <f aca="false">I868</f>
        <v>4721157.38504098</v>
      </c>
      <c r="K854" s="73" t="n">
        <f aca="false">J868</f>
        <v>3052969.10864954</v>
      </c>
      <c r="L854" s="73" t="n">
        <f aca="false">K868</f>
        <v>3699458.07298265</v>
      </c>
      <c r="M854" s="73" t="n">
        <f aca="false">L868</f>
        <v>4318465.23854271</v>
      </c>
      <c r="N854" s="73" t="n">
        <f aca="false">M868</f>
        <v>4911385.49862274</v>
      </c>
      <c r="O854" s="73" t="n">
        <f aca="false">N868</f>
        <v>5479562.85218514</v>
      </c>
    </row>
    <row r="855" customFormat="false" ht="15" hidden="false" customHeight="false" outlineLevel="0" collapsed="false">
      <c r="B855" s="65" t="s">
        <v>1050</v>
      </c>
      <c r="C855" s="25"/>
      <c r="D855" s="73" t="n">
        <f aca="false">D854*Taux_treso/4</f>
        <v>46875</v>
      </c>
      <c r="E855" s="73" t="n">
        <f aca="false">E854*Taux_treso/4</f>
        <v>35871.09375</v>
      </c>
      <c r="F855" s="73" t="n">
        <f aca="false">F854*Taux_treso/4</f>
        <v>41018.071484375</v>
      </c>
      <c r="G855" s="73" t="n">
        <f aca="false">G854*Taux_treso/4</f>
        <v>30683.9403354443</v>
      </c>
      <c r="H855" s="73" t="n">
        <f aca="false">H854*Taux_treso/4</f>
        <v>35374.6995980334</v>
      </c>
      <c r="I855" s="73" t="n">
        <f aca="false">I854*Taux_treso/4</f>
        <v>25077.3752559738</v>
      </c>
      <c r="J855" s="73" t="n">
        <f aca="false">J854*Taux_treso/4</f>
        <v>29507.2336565061</v>
      </c>
      <c r="K855" s="73" t="n">
        <f aca="false">K854*Taux_treso/4</f>
        <v>19081.0569290596</v>
      </c>
      <c r="L855" s="73" t="n">
        <f aca="false">L854*Taux_treso/4</f>
        <v>23121.6129561415</v>
      </c>
      <c r="M855" s="73" t="n">
        <f aca="false">M854*Taux_treso/4</f>
        <v>26990.407740892</v>
      </c>
      <c r="N855" s="73" t="n">
        <f aca="false">N854*Taux_treso/4</f>
        <v>30696.1593663921</v>
      </c>
      <c r="O855" s="73" t="n">
        <f aca="false">O854*Taux_treso/4</f>
        <v>34247.2678261571</v>
      </c>
    </row>
    <row r="856" customFormat="false" ht="15" hidden="false" customHeight="false" outlineLevel="0" collapsed="false">
      <c r="B856" s="65" t="s">
        <v>1051</v>
      </c>
      <c r="C856" s="25"/>
      <c r="D856" s="73" t="n">
        <f aca="false">SUM(D844:D847)</f>
        <v>498125</v>
      </c>
      <c r="E856" s="73" t="n">
        <f aca="false">SUM(E844:E847)</f>
        <v>501643.96875</v>
      </c>
      <c r="F856" s="73" t="n">
        <f aca="false">SUM(F844:F847)</f>
        <v>505569.532629688</v>
      </c>
      <c r="G856" s="73" t="n">
        <f aca="false">SUM(G844:G847)</f>
        <v>509888.751029738</v>
      </c>
      <c r="H856" s="73" t="n">
        <f aca="false">SUM(H844:H847)</f>
        <v>514589.239858558</v>
      </c>
      <c r="I856" s="73" t="n">
        <f aca="false">SUM(I844:I847)</f>
        <v>519659.148597052</v>
      </c>
      <c r="J856" s="73" t="n">
        <f aca="false">SUM(J844:J847)</f>
        <v>525087.138315382</v>
      </c>
      <c r="K856" s="73" t="n">
        <f aca="false">SUM(K844:K847)</f>
        <v>530862.360611252</v>
      </c>
      <c r="L856" s="73" t="n">
        <f aca="false">SUM(L844:L847)</f>
        <v>536974.437430912</v>
      </c>
      <c r="M856" s="73" t="n">
        <f aca="false">SUM(M844:M847)</f>
        <v>543413.441735769</v>
      </c>
      <c r="N856" s="73" t="n">
        <f aca="false">SUM(N844:N847)</f>
        <v>550169.878979005</v>
      </c>
      <c r="O856" s="73" t="n">
        <f aca="false">SUM(O844:O847)</f>
        <v>557234.669358171</v>
      </c>
    </row>
    <row r="857" customFormat="false" ht="15" hidden="false" customHeight="false" outlineLevel="0" collapsed="false">
      <c r="B857" s="65" t="s">
        <v>1052</v>
      </c>
      <c r="C857" s="25"/>
      <c r="D857" s="73" t="n">
        <f aca="false">IF(AND(Distrib_tension=1,OR(D829&gt;0.000001,C871&lt;Liq_min,C835=1)),0,MIN(Dist_porteurs/4*Part_d*D826,D856))</f>
        <v>125000</v>
      </c>
      <c r="E857" s="73" t="n">
        <f aca="false">IF(AND(Distrib_tension=1,OR(E829&gt;0.000001,D871&lt;Liq_min,D835=1)),0,MIN(Dist_porteurs/4*Part_d*E826,E856))</f>
        <v>0</v>
      </c>
      <c r="F857" s="73" t="n">
        <f aca="false">IF(AND(Distrib_tension=1,OR(F829&gt;0.000001,E871&lt;Liq_min,E835=1)),0,MIN(Dist_porteurs/4*Part_d*F826,F856))</f>
        <v>0</v>
      </c>
      <c r="G857" s="73" t="n">
        <f aca="false">IF(AND(Distrib_tension=1,OR(G829&gt;0.000001,F871&lt;Liq_min,F835=1)),0,MIN(Dist_porteurs/4*Part_d*G826,G856))</f>
        <v>0</v>
      </c>
      <c r="H857" s="73" t="n">
        <f aca="false">IF(AND(Distrib_tension=1,OR(H829&gt;0.000001,G871&lt;Liq_min,G835=1)),0,MIN(Dist_porteurs/4*Part_d*H826,H856))</f>
        <v>0</v>
      </c>
      <c r="I857" s="73" t="n">
        <f aca="false">IF(AND(Distrib_tension=1,OR(I829&gt;0.000001,H871&lt;Liq_min,H835=1)),0,MIN(Dist_porteurs/4*Part_d*I826,I856))</f>
        <v>0</v>
      </c>
      <c r="J857" s="73" t="n">
        <f aca="false">IF(AND(Distrib_tension=1,OR(J829&gt;0.000001,I871&lt;Liq_min,I835=1)),0,MIN(Dist_porteurs/4*Part_d*J826,J856))</f>
        <v>0</v>
      </c>
      <c r="K857" s="73" t="n">
        <f aca="false">IF(AND(Distrib_tension=1,OR(K829&gt;0.000001,J871&lt;Liq_min,J835=1)),0,MIN(Dist_porteurs/4*Part_d*K826,K856))</f>
        <v>0</v>
      </c>
      <c r="L857" s="73" t="n">
        <f aca="false">IF(AND(Distrib_tension=1,OR(L829&gt;0.000001,K871&lt;Liq_min,K835=1)),0,MIN(Dist_porteurs/4*Part_d*L826,L856))</f>
        <v>0</v>
      </c>
      <c r="M857" s="73" t="n">
        <f aca="false">IF(AND(Distrib_tension=1,OR(M829&gt;0.000001,L871&lt;Liq_min,L835=1)),0,MIN(Dist_porteurs/4*Part_d*M826,M856))</f>
        <v>0</v>
      </c>
      <c r="N857" s="73" t="n">
        <f aca="false">IF(AND(Distrib_tension=1,OR(N829&gt;0.000001,M871&lt;Liq_min,M835=1)),0,MIN(Dist_porteurs/4*Part_d*N826,N856))</f>
        <v>0</v>
      </c>
      <c r="O857" s="73" t="n">
        <f aca="false">IF(AND(Distrib_tension=1,OR(O829&gt;0.000001,N871&lt;Liq_min,N835=1)),0,MIN(Dist_porteurs/4*Part_d*O826,O856))</f>
        <v>0</v>
      </c>
    </row>
    <row r="858" customFormat="false" ht="15" hidden="false" customHeight="false" outlineLevel="0" collapsed="false">
      <c r="B858" s="65" t="s">
        <v>1053</v>
      </c>
      <c r="C858" s="25"/>
      <c r="D858" s="73" t="n">
        <f aca="false">D850+D851</f>
        <v>625000</v>
      </c>
      <c r="E858" s="73" t="n">
        <f aca="false">E850+E851</f>
        <v>625000</v>
      </c>
      <c r="F858" s="73" t="n">
        <f aca="false">F850+F851</f>
        <v>625000</v>
      </c>
      <c r="G858" s="73" t="n">
        <f aca="false">G850+G851</f>
        <v>625000</v>
      </c>
      <c r="H858" s="73" t="n">
        <f aca="false">H850+H851</f>
        <v>625000</v>
      </c>
      <c r="I858" s="73" t="n">
        <f aca="false">I850+I851</f>
        <v>625000</v>
      </c>
      <c r="J858" s="73" t="n">
        <f aca="false">J850+J851</f>
        <v>625000</v>
      </c>
      <c r="K858" s="73" t="n">
        <f aca="false">K850+K851</f>
        <v>625000</v>
      </c>
      <c r="L858" s="73" t="n">
        <f aca="false">L850+L851</f>
        <v>625000</v>
      </c>
      <c r="M858" s="73" t="n">
        <f aca="false">M850+M851</f>
        <v>625000</v>
      </c>
      <c r="N858" s="73" t="n">
        <f aca="false">N850+N851</f>
        <v>625000</v>
      </c>
      <c r="O858" s="73" t="n">
        <f aca="false">O850+O851</f>
        <v>625000</v>
      </c>
    </row>
    <row r="859" customFormat="false" ht="15" hidden="false" customHeight="false" outlineLevel="0" collapsed="false">
      <c r="B859" s="65" t="s">
        <v>1054</v>
      </c>
      <c r="C859" s="25"/>
      <c r="D859" s="73" t="n">
        <f aca="false">D826*Frais_an/4</f>
        <v>250000</v>
      </c>
      <c r="E859" s="73" t="n">
        <f aca="false">E826*Frais_an/4</f>
        <v>240503.21875</v>
      </c>
      <c r="F859" s="73" t="n">
        <f aca="false">F826*Frais_an/4</f>
        <v>244115.758566406</v>
      </c>
      <c r="G859" s="73" t="n">
        <f aca="false">G826*Frais_an/4</f>
        <v>235525.86995245</v>
      </c>
      <c r="H859" s="73" t="n">
        <f aca="false">H826*Frais_an/4</f>
        <v>239132.447227697</v>
      </c>
      <c r="I859" s="73" t="n">
        <f aca="false">I826*Frais_an/4</f>
        <v>230919.446151722</v>
      </c>
      <c r="J859" s="73" t="n">
        <f aca="false">J826*Frais_an/4</f>
        <v>234653.645275002</v>
      </c>
      <c r="K859" s="73" t="n">
        <f aca="false">K826*Frais_an/4</f>
        <v>226663.257077278</v>
      </c>
      <c r="L859" s="73" t="n">
        <f aca="false">L826*Frais_an/4</f>
        <v>230401.495123387</v>
      </c>
      <c r="M859" s="73" t="n">
        <f aca="false">M826*Frais_an/4</f>
        <v>234152.767496683</v>
      </c>
      <c r="N859" s="73" t="n">
        <f aca="false">N826*Frais_an/4</f>
        <v>237919.447851228</v>
      </c>
      <c r="O859" s="73" t="n">
        <f aca="false">O826*Frais_an/4</f>
        <v>241703.843492053</v>
      </c>
    </row>
    <row r="860" customFormat="false" ht="15" hidden="false" customHeight="false" outlineLevel="0" collapsed="false">
      <c r="B860" s="65" t="s">
        <v>1055</v>
      </c>
      <c r="C860" s="25"/>
      <c r="D860" s="73" t="n">
        <f aca="false">C869*Taux_emprunt/4</f>
        <v>0</v>
      </c>
      <c r="E860" s="73" t="n">
        <f aca="false">D869*Taux_emprunt/4</f>
        <v>0</v>
      </c>
      <c r="F860" s="73" t="n">
        <f aca="false">E869*Taux_emprunt/4</f>
        <v>0</v>
      </c>
      <c r="G860" s="73" t="n">
        <f aca="false">F869*Taux_emprunt/4</f>
        <v>0</v>
      </c>
      <c r="H860" s="73" t="n">
        <f aca="false">G869*Taux_emprunt/4</f>
        <v>0</v>
      </c>
      <c r="I860" s="73" t="n">
        <f aca="false">H869*Taux_emprunt/4</f>
        <v>0</v>
      </c>
      <c r="J860" s="73" t="n">
        <f aca="false">I869*Taux_emprunt/4</f>
        <v>0</v>
      </c>
      <c r="K860" s="73" t="n">
        <f aca="false">J869*Taux_emprunt/4</f>
        <v>0</v>
      </c>
      <c r="L860" s="73" t="n">
        <f aca="false">K869*Taux_emprunt/4</f>
        <v>0</v>
      </c>
      <c r="M860" s="73" t="n">
        <f aca="false">L869*Taux_emprunt/4</f>
        <v>0</v>
      </c>
      <c r="N860" s="73" t="n">
        <f aca="false">M869*Taux_emprunt/4</f>
        <v>0</v>
      </c>
      <c r="O860" s="73" t="n">
        <f aca="false">N869*Taux_emprunt/4</f>
        <v>0</v>
      </c>
    </row>
    <row r="861" customFormat="false" ht="15" hidden="false" customHeight="false" outlineLevel="0" collapsed="false">
      <c r="B861" s="65" t="s">
        <v>1056</v>
      </c>
      <c r="C861" s="25"/>
      <c r="D861" s="73" t="n">
        <f aca="false">D854+D855+D856-D857+D827-D858-D859-D860</f>
        <v>7045000</v>
      </c>
      <c r="E861" s="73" t="n">
        <f aca="false">E854+E855+E856-E857+E827-E858-E859-E860</f>
        <v>5411386.84375</v>
      </c>
      <c r="F861" s="73" t="n">
        <f aca="false">F854+F855+F856-F857+F827-F858-F859-F860</f>
        <v>6240363.28304766</v>
      </c>
      <c r="G861" s="73" t="n">
        <f aca="false">G854+G855+G856-G857+G827-G858-G859-G860</f>
        <v>4589477.27508382</v>
      </c>
      <c r="H861" s="73" t="n">
        <f aca="false">H854+H855+H856-H857+H827-H858-H859-H860</f>
        <v>5345783.42791423</v>
      </c>
      <c r="I861" s="73" t="n">
        <f aca="false">I854+I855+I856-I857+I827-I858-I859-I860</f>
        <v>3701197.11865711</v>
      </c>
      <c r="J861" s="73" t="n">
        <f aca="false">J854+J855+J856-J857+J827-J858-J859-J860</f>
        <v>4416098.11173787</v>
      </c>
      <c r="K861" s="73" t="n">
        <f aca="false">K854+K855+K856-K857+K827-K858-K859-K860</f>
        <v>2751249.26911257</v>
      </c>
      <c r="L861" s="73" t="n">
        <f aca="false">L854+L855+L856-L857+L827-L858-L859-L860</f>
        <v>3404152.62824631</v>
      </c>
      <c r="M861" s="73" t="n">
        <f aca="false">M854+M855+M856-M857+M827-M858-M859-M860</f>
        <v>4029716.32052269</v>
      </c>
      <c r="N861" s="73" t="n">
        <f aca="false">N854+N855+N856-N857+N827-N858-N859-N860</f>
        <v>4629332.08911691</v>
      </c>
      <c r="O861" s="73" t="n">
        <f aca="false">O854+O855+O856-O857+O827-O858-O859-O860</f>
        <v>5204340.94587741</v>
      </c>
    </row>
    <row r="862" customFormat="false" ht="15" hidden="false" customHeight="false" outlineLevel="0" collapsed="false">
      <c r="B862" s="65" t="s">
        <v>1057</v>
      </c>
      <c r="C862" s="25"/>
      <c r="D862" s="73" t="n">
        <f aca="false">MIN(D852+D853,MAX(0,Liq_cible*D826-(D861-D836)))</f>
        <v>1194375</v>
      </c>
      <c r="E862" s="73" t="n">
        <f aca="false">MIN(E852+E853,MAX(0,Liq_cible*E826-(E861-E836)))</f>
        <v>1151504.59375</v>
      </c>
      <c r="F862" s="73" t="n">
        <f aca="false">MIN(F852+F853,MAX(0,Liq_cible*F826-(F861-F836)))</f>
        <v>1110224.7562875</v>
      </c>
      <c r="G862" s="73" t="n">
        <f aca="false">MIN(G852+G853,MAX(0,Liq_cible*G826-(G861-G836)))</f>
        <v>1070474.66060151</v>
      </c>
      <c r="H862" s="73" t="n">
        <f aca="false">MIN(H852+H853,MAX(0,Liq_cible*H826-(H861-H836)))</f>
        <v>1057921.08531854</v>
      </c>
      <c r="I862" s="73" t="n">
        <f aca="false">MIN(I852+I853,MAX(0,Liq_cible*I826-(I861-I836)))</f>
        <v>1019960.26638387</v>
      </c>
      <c r="J862" s="73" t="n">
        <f aca="false">MIN(J852+J853,MAX(0,Liq_cible*J826-(J861-J836)))</f>
        <v>983407.44966169</v>
      </c>
      <c r="K862" s="73" t="n">
        <f aca="false">MIN(K852+K853,MAX(0,Liq_cible*K826-(K861-K836)))</f>
        <v>948208.803870077</v>
      </c>
      <c r="L862" s="73" t="n">
        <f aca="false">MIN(L852+L853,MAX(0,Liq_cible*L826-(L861-L836)))</f>
        <v>914312.610296399</v>
      </c>
      <c r="M862" s="73" t="n">
        <f aca="false">MIN(M852+M853,MAX(0,Liq_cible*M826-(M861-M836)))</f>
        <v>881669.178100051</v>
      </c>
      <c r="N862" s="73" t="n">
        <f aca="false">MIN(N852+N853,MAX(0,Liq_cible*N826-(N861-N836)))</f>
        <v>850230.763068225</v>
      </c>
      <c r="O862" s="73" t="n">
        <f aca="false">MIN(O852+O853,MAX(0,Liq_cible*O826-(O861-O836)))</f>
        <v>819951.489682175</v>
      </c>
    </row>
    <row r="863" customFormat="false" ht="15" hidden="false" customHeight="false" outlineLevel="0" collapsed="false">
      <c r="B863" s="65" t="s">
        <v>1058</v>
      </c>
      <c r="C863" s="25"/>
      <c r="D863" s="73" t="n">
        <f aca="false">D861-D836+D862</f>
        <v>5739375</v>
      </c>
      <c r="E863" s="73" t="n">
        <f aca="false">E861-E836+E862</f>
        <v>6562891.4375</v>
      </c>
      <c r="F863" s="73" t="n">
        <f aca="false">F861-F836+F862</f>
        <v>4909430.45367109</v>
      </c>
      <c r="G863" s="73" t="n">
        <f aca="false">G861-G836+G862</f>
        <v>5659951.93568534</v>
      </c>
      <c r="H863" s="73" t="n">
        <f aca="false">H861-H836+H862</f>
        <v>4012380.04095581</v>
      </c>
      <c r="I863" s="73" t="n">
        <f aca="false">I861-I836+I862</f>
        <v>4721157.38504098</v>
      </c>
      <c r="J863" s="73" t="n">
        <f aca="false">J861-J836+J862</f>
        <v>3052969.10864954</v>
      </c>
      <c r="K863" s="73" t="n">
        <f aca="false">K861-K836+K862</f>
        <v>3699458.07298265</v>
      </c>
      <c r="L863" s="73" t="n">
        <f aca="false">L861-L836+L862</f>
        <v>4318465.23854271</v>
      </c>
      <c r="M863" s="73" t="n">
        <f aca="false">M861-M836+M862</f>
        <v>4911385.49862274</v>
      </c>
      <c r="N863" s="73" t="n">
        <f aca="false">N861-N836+N862</f>
        <v>5479562.85218514</v>
      </c>
      <c r="O863" s="73" t="n">
        <f aca="false">O861-O836+O862</f>
        <v>6024292.43555959</v>
      </c>
    </row>
    <row r="864" customFormat="false" ht="15" hidden="false" customHeight="false" outlineLevel="0" collapsed="false">
      <c r="B864" s="65" t="s">
        <v>1059</v>
      </c>
      <c r="C864" s="25"/>
      <c r="D864" s="73" t="n">
        <f aca="false">MIN(MAX(0,MIN($O$20*AN_cible,Emprunt_max*D826)-C869),MAX(0,IF($O$20&gt;0,Poche_min_exec*D826,0)-D863))-IF(D863&gt;Liq_cible*D826,MIN(C869,D863-Liq_cible*D826),0)</f>
        <v>0</v>
      </c>
      <c r="E864" s="73" t="n">
        <f aca="false">MIN(MAX(0,MIN($O$20*AN_cible,Emprunt_max*E826)-D869),MAX(0,IF($O$20&gt;0,Poche_min_exec*E826,0)-E863))-IF(E863&gt;Liq_cible*E826,MIN(D869,E863-Liq_cible*E826),0)</f>
        <v>0</v>
      </c>
      <c r="F864" s="73" t="n">
        <f aca="false">MIN(MAX(0,MIN($O$20*AN_cible,Emprunt_max*F826)-E869),MAX(0,IF($O$20&gt;0,Poche_min_exec*F826,0)-F863))-IF(F863&gt;Liq_cible*F826,MIN(E869,F863-Liq_cible*F826),0)</f>
        <v>0</v>
      </c>
      <c r="G864" s="73" t="n">
        <f aca="false">MIN(MAX(0,MIN($O$20*AN_cible,Emprunt_max*G826)-F869),MAX(0,IF($O$20&gt;0,Poche_min_exec*G826,0)-G863))-IF(G863&gt;Liq_cible*G826,MIN(F869,G863-Liq_cible*G826),0)</f>
        <v>0</v>
      </c>
      <c r="H864" s="73" t="n">
        <f aca="false">MIN(MAX(0,MIN($O$20*AN_cible,Emprunt_max*H826)-G869),MAX(0,IF($O$20&gt;0,Poche_min_exec*H826,0)-H863))-IF(H863&gt;Liq_cible*H826,MIN(G869,H863-Liq_cible*H826),0)</f>
        <v>0</v>
      </c>
      <c r="I864" s="73" t="n">
        <f aca="false">MIN(MAX(0,MIN($O$20*AN_cible,Emprunt_max*I826)-H869),MAX(0,IF($O$20&gt;0,Poche_min_exec*I826,0)-I863))-IF(I863&gt;Liq_cible*I826,MIN(H869,I863-Liq_cible*I826),0)</f>
        <v>0</v>
      </c>
      <c r="J864" s="73" t="n">
        <f aca="false">MIN(MAX(0,MIN($O$20*AN_cible,Emprunt_max*J826)-I869),MAX(0,IF($O$20&gt;0,Poche_min_exec*J826,0)-J863))-IF(J863&gt;Liq_cible*J826,MIN(I869,J863-Liq_cible*J826),0)</f>
        <v>0</v>
      </c>
      <c r="K864" s="73" t="n">
        <f aca="false">MIN(MAX(0,MIN($O$20*AN_cible,Emprunt_max*K826)-J869),MAX(0,IF($O$20&gt;0,Poche_min_exec*K826,0)-K863))-IF(K863&gt;Liq_cible*K826,MIN(J869,K863-Liq_cible*K826),0)</f>
        <v>0</v>
      </c>
      <c r="L864" s="73" t="n">
        <f aca="false">MIN(MAX(0,MIN($O$20*AN_cible,Emprunt_max*L826)-K869),MAX(0,IF($O$20&gt;0,Poche_min_exec*L826,0)-L863))-IF(L863&gt;Liq_cible*L826,MIN(K869,L863-Liq_cible*L826),0)</f>
        <v>0</v>
      </c>
      <c r="M864" s="73" t="n">
        <f aca="false">MIN(MAX(0,MIN($O$20*AN_cible,Emprunt_max*M826)-L869),MAX(0,IF($O$20&gt;0,Poche_min_exec*M826,0)-M863))-IF(M863&gt;Liq_cible*M826,MIN(L869,M863-Liq_cible*M826),0)</f>
        <v>0</v>
      </c>
      <c r="N864" s="73" t="n">
        <f aca="false">MIN(MAX(0,MIN($O$20*AN_cible,Emprunt_max*N826)-M869),MAX(0,IF($O$20&gt;0,Poche_min_exec*N826,0)-N863))-IF(N863&gt;Liq_cible*N826,MIN(M869,N863-Liq_cible*N826),0)</f>
        <v>0</v>
      </c>
      <c r="O864" s="73" t="n">
        <f aca="false">MIN(MAX(0,MIN($O$20*AN_cible,Emprunt_max*O826)-N869),MAX(0,IF($O$20&gt;0,Poche_min_exec*O826,0)-O863))-IF(O863&gt;Liq_cible*O826,MIN(N869,O863-Liq_cible*O826),0)</f>
        <v>0</v>
      </c>
    </row>
    <row r="865" customFormat="false" ht="15" hidden="false" customHeight="false" outlineLevel="0" collapsed="false">
      <c r="B865" s="65" t="s">
        <v>1060</v>
      </c>
      <c r="C865" s="25"/>
      <c r="D865" s="73" t="n">
        <f aca="false">MIN((C840+C841+C842+C843),MAX(0,-(D863+D864))/(1-Decote))</f>
        <v>0</v>
      </c>
      <c r="E865" s="73" t="n">
        <f aca="false">MIN((D840+D841+D842+D843),MAX(0,-(E863+E864))/(1-Decote))</f>
        <v>0</v>
      </c>
      <c r="F865" s="73" t="n">
        <f aca="false">MIN((E840+E841+E842+E843),MAX(0,-(F863+F864))/(1-Decote))</f>
        <v>0</v>
      </c>
      <c r="G865" s="73" t="n">
        <f aca="false">MIN((F840+F841+F842+F843),MAX(0,-(G863+G864))/(1-Decote))</f>
        <v>0</v>
      </c>
      <c r="H865" s="73" t="n">
        <f aca="false">MIN((G840+G841+G842+G843),MAX(0,-(H863+H864))/(1-Decote))</f>
        <v>0</v>
      </c>
      <c r="I865" s="73" t="n">
        <f aca="false">MIN((H840+H841+H842+H843),MAX(0,-(I863+I864))/(1-Decote))</f>
        <v>0</v>
      </c>
      <c r="J865" s="73" t="n">
        <f aca="false">MIN((I840+I841+I842+I843),MAX(0,-(J863+J864))/(1-Decote))</f>
        <v>0</v>
      </c>
      <c r="K865" s="73" t="n">
        <f aca="false">MIN((J840+J841+J842+J843),MAX(0,-(K863+K864))/(1-Decote))</f>
        <v>0</v>
      </c>
      <c r="L865" s="73" t="n">
        <f aca="false">MIN((K840+K841+K842+K843),MAX(0,-(L863+L864))/(1-Decote))</f>
        <v>0</v>
      </c>
      <c r="M865" s="73" t="n">
        <f aca="false">MIN((L840+L841+L842+L843),MAX(0,-(M863+M864))/(1-Decote))</f>
        <v>0</v>
      </c>
      <c r="N865" s="73" t="n">
        <f aca="false">MIN((M840+M841+M842+M843),MAX(0,-(N863+N864))/(1-Decote))</f>
        <v>0</v>
      </c>
      <c r="O865" s="73" t="n">
        <f aca="false">MIN((N840+N841+N842+N843),MAX(0,-(O863+O864))/(1-Decote))</f>
        <v>0</v>
      </c>
    </row>
    <row r="866" customFormat="false" ht="15" hidden="false" customHeight="false" outlineLevel="0" collapsed="false">
      <c r="B866" s="65" t="s">
        <v>1061</v>
      </c>
      <c r="C866" s="25"/>
      <c r="D866" s="73" t="n">
        <f aca="false">D865*Decote</f>
        <v>0</v>
      </c>
      <c r="E866" s="73" t="n">
        <f aca="false">E865*Decote</f>
        <v>0</v>
      </c>
      <c r="F866" s="73" t="n">
        <f aca="false">F865*Decote</f>
        <v>0</v>
      </c>
      <c r="G866" s="73" t="n">
        <f aca="false">G865*Decote</f>
        <v>0</v>
      </c>
      <c r="H866" s="73" t="n">
        <f aca="false">H865*Decote</f>
        <v>0</v>
      </c>
      <c r="I866" s="73" t="n">
        <f aca="false">I865*Decote</f>
        <v>0</v>
      </c>
      <c r="J866" s="73" t="n">
        <f aca="false">J865*Decote</f>
        <v>0</v>
      </c>
      <c r="K866" s="73" t="n">
        <f aca="false">K865*Decote</f>
        <v>0</v>
      </c>
      <c r="L866" s="73" t="n">
        <f aca="false">L865*Decote</f>
        <v>0</v>
      </c>
      <c r="M866" s="73" t="n">
        <f aca="false">M865*Decote</f>
        <v>0</v>
      </c>
      <c r="N866" s="73" t="n">
        <f aca="false">N865*Decote</f>
        <v>0</v>
      </c>
      <c r="O866" s="73" t="n">
        <f aca="false">O865*Decote</f>
        <v>0</v>
      </c>
    </row>
    <row r="867" customFormat="false" ht="15" hidden="false" customHeight="false" outlineLevel="0" collapsed="false">
      <c r="B867" s="65" t="s">
        <v>1062</v>
      </c>
      <c r="C867" s="25"/>
      <c r="D867" s="73" t="n">
        <f aca="false">IF(AND(D837&lt;0.000001,C869+D864&lt;0.000001),MAX(0,D863+D864-Seuil_reinv*D826),0)</f>
        <v>0</v>
      </c>
      <c r="E867" s="73" t="n">
        <f aca="false">IF(AND(E837&lt;0.000001,D869+E864&lt;0.000001),MAX(0,E863+E864-Seuil_reinv*E826),0)</f>
        <v>0</v>
      </c>
      <c r="F867" s="73" t="n">
        <f aca="false">IF(AND(F837&lt;0.000001,E869+F864&lt;0.000001),MAX(0,F863+F864-Seuil_reinv*F826),0)</f>
        <v>0</v>
      </c>
      <c r="G867" s="73" t="n">
        <f aca="false">IF(AND(G837&lt;0.000001,F869+G864&lt;0.000001),MAX(0,G863+G864-Seuil_reinv*G826),0)</f>
        <v>0</v>
      </c>
      <c r="H867" s="73" t="n">
        <f aca="false">IF(AND(H837&lt;0.000001,G869+H864&lt;0.000001),MAX(0,H863+H864-Seuil_reinv*H826),0)</f>
        <v>0</v>
      </c>
      <c r="I867" s="73" t="n">
        <f aca="false">IF(AND(I837&lt;0.000001,H869+I864&lt;0.000001),MAX(0,I863+I864-Seuil_reinv*I826),0)</f>
        <v>0</v>
      </c>
      <c r="J867" s="73" t="n">
        <f aca="false">IF(AND(J837&lt;0.000001,I869+J864&lt;0.000001),MAX(0,J863+J864-Seuil_reinv*J826),0)</f>
        <v>0</v>
      </c>
      <c r="K867" s="73" t="n">
        <f aca="false">IF(AND(K837&lt;0.000001,J869+K864&lt;0.000001),MAX(0,K863+K864-Seuil_reinv*K826),0)</f>
        <v>0</v>
      </c>
      <c r="L867" s="73" t="n">
        <f aca="false">IF(AND(L837&lt;0.000001,K869+L864&lt;0.000001),MAX(0,L863+L864-Seuil_reinv*L826),0)</f>
        <v>0</v>
      </c>
      <c r="M867" s="73" t="n">
        <f aca="false">IF(AND(M837&lt;0.000001,L869+M864&lt;0.000001),MAX(0,M863+M864-Seuil_reinv*M826),0)</f>
        <v>0</v>
      </c>
      <c r="N867" s="73" t="n">
        <f aca="false">IF(AND(N837&lt;0.000001,M869+N864&lt;0.000001),MAX(0,N863+N864-Seuil_reinv*N826),0)</f>
        <v>0</v>
      </c>
      <c r="O867" s="73" t="n">
        <f aca="false">IF(AND(O837&lt;0.000001,N869+O864&lt;0.000001),MAX(0,O863+O864-Seuil_reinv*O826),0)</f>
        <v>0</v>
      </c>
    </row>
    <row r="868" customFormat="false" ht="15" hidden="false" customHeight="false" outlineLevel="0" collapsed="false">
      <c r="B868" s="65" t="s">
        <v>1063</v>
      </c>
      <c r="C868" s="73" t="n">
        <f aca="false">AN_cible*Ws_LIQ</f>
        <v>7500000</v>
      </c>
      <c r="D868" s="73" t="n">
        <f aca="false">D863+D864+D865-D866-D867</f>
        <v>5739375</v>
      </c>
      <c r="E868" s="73" t="n">
        <f aca="false">E863+E864+E865-E866-E867</f>
        <v>6562891.4375</v>
      </c>
      <c r="F868" s="73" t="n">
        <f aca="false">F863+F864+F865-F866-F867</f>
        <v>4909430.45367109</v>
      </c>
      <c r="G868" s="73" t="n">
        <f aca="false">G863+G864+G865-G866-G867</f>
        <v>5659951.93568534</v>
      </c>
      <c r="H868" s="73" t="n">
        <f aca="false">H863+H864+H865-H866-H867</f>
        <v>4012380.04095581</v>
      </c>
      <c r="I868" s="73" t="n">
        <f aca="false">I863+I864+I865-I866-I867</f>
        <v>4721157.38504098</v>
      </c>
      <c r="J868" s="73" t="n">
        <f aca="false">J863+J864+J865-J866-J867</f>
        <v>3052969.10864954</v>
      </c>
      <c r="K868" s="73" t="n">
        <f aca="false">K863+K864+K865-K866-K867</f>
        <v>3699458.07298265</v>
      </c>
      <c r="L868" s="73" t="n">
        <f aca="false">L863+L864+L865-L866-L867</f>
        <v>4318465.23854271</v>
      </c>
      <c r="M868" s="73" t="n">
        <f aca="false">M863+M864+M865-M866-M867</f>
        <v>4911385.49862274</v>
      </c>
      <c r="N868" s="73" t="n">
        <f aca="false">N863+N864+N865-N866-N867</f>
        <v>5479562.85218514</v>
      </c>
      <c r="O868" s="73" t="n">
        <f aca="false">O863+O864+O865-O866-O867</f>
        <v>6024292.43555959</v>
      </c>
    </row>
    <row r="869" customFormat="false" ht="15" hidden="false" customHeight="false" outlineLevel="0" collapsed="false">
      <c r="B869" s="65" t="s">
        <v>1064</v>
      </c>
      <c r="C869" s="73" t="n">
        <v>0</v>
      </c>
      <c r="D869" s="73" t="n">
        <f aca="false">C869+D864</f>
        <v>0</v>
      </c>
      <c r="E869" s="73" t="n">
        <f aca="false">D869+E864</f>
        <v>0</v>
      </c>
      <c r="F869" s="73" t="n">
        <f aca="false">E869+F864</f>
        <v>0</v>
      </c>
      <c r="G869" s="73" t="n">
        <f aca="false">F869+G864</f>
        <v>0</v>
      </c>
      <c r="H869" s="73" t="n">
        <f aca="false">G869+H864</f>
        <v>0</v>
      </c>
      <c r="I869" s="73" t="n">
        <f aca="false">H869+I864</f>
        <v>0</v>
      </c>
      <c r="J869" s="73" t="n">
        <f aca="false">I869+J864</f>
        <v>0</v>
      </c>
      <c r="K869" s="73" t="n">
        <f aca="false">J869+K864</f>
        <v>0</v>
      </c>
      <c r="L869" s="73" t="n">
        <f aca="false">K869+L864</f>
        <v>0</v>
      </c>
      <c r="M869" s="73" t="n">
        <f aca="false">L869+M864</f>
        <v>0</v>
      </c>
      <c r="N869" s="73" t="n">
        <f aca="false">M869+N864</f>
        <v>0</v>
      </c>
      <c r="O869" s="73" t="n">
        <f aca="false">N869+O864</f>
        <v>0</v>
      </c>
    </row>
    <row r="870" customFormat="false" ht="15" hidden="false" customHeight="false" outlineLevel="0" collapsed="false">
      <c r="B870" s="74" t="s">
        <v>1065</v>
      </c>
      <c r="C870" s="73" t="n">
        <f aca="false">C840+C841+C842+C843+C868-C869</f>
        <v>50000000</v>
      </c>
      <c r="D870" s="73" t="n">
        <f aca="false">D840+D841+D842+D843+D868-D869</f>
        <v>48100643.75</v>
      </c>
      <c r="E870" s="73" t="n">
        <f aca="false">E840+E841+E842+E843+E868-E869</f>
        <v>48823151.7132813</v>
      </c>
      <c r="F870" s="73" t="n">
        <f aca="false">F840+F841+F842+F843+F868-F869</f>
        <v>47105173.9904901</v>
      </c>
      <c r="G870" s="73" t="n">
        <f aca="false">G840+G841+G842+G843+G868-G869</f>
        <v>47826489.4455393</v>
      </c>
      <c r="H870" s="73" t="n">
        <f aca="false">H840+H841+H842+H843+H868-H869</f>
        <v>46183889.2303444</v>
      </c>
      <c r="I870" s="73" t="n">
        <f aca="false">I840+I841+I842+I843+I868-I869</f>
        <v>46930729.0550004</v>
      </c>
      <c r="J870" s="73" t="n">
        <f aca="false">J840+J841+J842+J843+J868-J869</f>
        <v>45332651.4154555</v>
      </c>
      <c r="K870" s="73" t="n">
        <f aca="false">K840+K841+K842+K843+K868-K869</f>
        <v>46080299.0246774</v>
      </c>
      <c r="L870" s="73" t="n">
        <f aca="false">L840+L841+L842+L843+L868-L869</f>
        <v>46830553.4993366</v>
      </c>
      <c r="M870" s="73" t="n">
        <f aca="false">M840+M841+M842+M843+M868-M869</f>
        <v>47583889.5702456</v>
      </c>
      <c r="N870" s="73" t="n">
        <f aca="false">N840+N841+N842+N843+N868-N869</f>
        <v>48340768.6984106</v>
      </c>
      <c r="O870" s="73" t="n">
        <f aca="false">O840+O841+O842+O843+O868-O869</f>
        <v>49101639.613394</v>
      </c>
    </row>
    <row r="871" customFormat="false" ht="15" hidden="false" customHeight="false" outlineLevel="0" collapsed="false">
      <c r="B871" s="65" t="s">
        <v>1066</v>
      </c>
      <c r="C871" s="72" t="n">
        <f aca="false">IF((C870+C869)&gt;0,C868/(C870+C869),0)</f>
        <v>0.15</v>
      </c>
      <c r="D871" s="72" t="n">
        <f aca="false">IF((D870+D869)&gt;0,D868/(D870+D869),0)</f>
        <v>0.119320128641729</v>
      </c>
      <c r="E871" s="72" t="n">
        <f aca="false">IF((E870+E869)&gt;0,E868/(E870+E869),0)</f>
        <v>0.134421707882384</v>
      </c>
      <c r="F871" s="72" t="n">
        <f aca="false">IF((F870+F869)&gt;0,F868/(F870+F869),0)</f>
        <v>0.104222743231184</v>
      </c>
      <c r="G871" s="72" t="n">
        <f aca="false">IF((G870+G869)&gt;0,G868/(G870+G869),0)</f>
        <v>0.118343453623758</v>
      </c>
      <c r="H871" s="72" t="n">
        <f aca="false">IF((H870+H869)&gt;0,H868/(H870+H869),0)</f>
        <v>0.0868783488749479</v>
      </c>
      <c r="I871" s="72" t="n">
        <f aca="false">IF((I870+I869)&gt;0,I868/(I870+I869),0)</f>
        <v>0.100598424105196</v>
      </c>
      <c r="J871" s="72" t="n">
        <f aca="false">IF((J870+J869)&gt;0,J868/(J870+J869),0)</f>
        <v>0.0673459198463885</v>
      </c>
      <c r="K871" s="72" t="n">
        <f aca="false">IF((K870+K869)&gt;0,K868/(K870+K869),0)</f>
        <v>0.0802828573443387</v>
      </c>
      <c r="L871" s="72" t="n">
        <f aca="false">IF((L870+L869)&gt;0,L868/(L870+L869),0)</f>
        <v>0.0922146956602571</v>
      </c>
      <c r="M871" s="72" t="n">
        <f aca="false">IF((M870+M869)&gt;0,M868/(M870+M869),0)</f>
        <v>0.103215301291676</v>
      </c>
      <c r="N871" s="72" t="n">
        <f aca="false">IF((N870+N869)&gt;0,N868/(N870+N869),0)</f>
        <v>0.113352828259127</v>
      </c>
      <c r="O871" s="72" t="n">
        <f aca="false">IF((O870+O869)&gt;0,O868/(O870+O869),0)</f>
        <v>0.122690249918177</v>
      </c>
    </row>
    <row r="872" customFormat="false" ht="15" hidden="false" customHeight="false" outlineLevel="0" collapsed="false">
      <c r="B872" s="65" t="s">
        <v>1067</v>
      </c>
      <c r="C872" s="72" t="n">
        <f aca="false">0</f>
        <v>0</v>
      </c>
      <c r="D872" s="72" t="n">
        <f aca="false">IF(D870&gt;0,D837/D870,0)</f>
        <v>0.0779615345584642</v>
      </c>
      <c r="E872" s="72" t="n">
        <f aca="false">IF(E870&gt;0,E837/E870,0)</f>
        <v>0.0768078231004472</v>
      </c>
      <c r="F872" s="72" t="n">
        <f aca="false">IF(F870&gt;0,F837/F870,0)</f>
        <v>0.157344422079673</v>
      </c>
      <c r="G872" s="72" t="n">
        <f aca="false">IF(G870&gt;0,G837/G870,0)</f>
        <v>0.154971365542853</v>
      </c>
      <c r="H872" s="72" t="n">
        <f aca="false">IF(H870&gt;0,H837/H870,0)</f>
        <v>0.238150646690989</v>
      </c>
      <c r="I872" s="72" t="n">
        <f aca="false">IF(I870&gt;0,I837/I870,0)</f>
        <v>0.234360797464314</v>
      </c>
      <c r="J872" s="72" t="n">
        <f aca="false">IF(J870&gt;0,J837/J870,0)</f>
        <v>0.320266459443991</v>
      </c>
      <c r="K872" s="72" t="n">
        <f aca="false">IF(K870&gt;0,K837/K870,0)</f>
        <v>0.315070172575518</v>
      </c>
      <c r="L872" s="72" t="n">
        <f aca="false">IF(L870&gt;0,L837/L870,0)</f>
        <v>0.433019975824298</v>
      </c>
      <c r="M872" s="72" t="n">
        <f aca="false">IF(M870&gt;0,M837/M870,0)</f>
        <v>0.426164513394498</v>
      </c>
      <c r="N872" s="72" t="n">
        <f aca="false">IF(N870&gt;0,N837/N870,0)</f>
        <v>0.419491987614752</v>
      </c>
      <c r="O872" s="72" t="n">
        <f aca="false">IF(O870&gt;0,O837/O870,0)</f>
        <v>0.412991608911358</v>
      </c>
    </row>
    <row r="873" customFormat="false" ht="15" hidden="false" customHeight="false" outlineLevel="0" collapsed="false">
      <c r="B873" s="65" t="s">
        <v>1068</v>
      </c>
      <c r="C873" s="75" t="n">
        <f aca="false">IF((C837+SUM(D828:G828)+SUM(D858:G858)+SUM(D859:G859)+SUM(D857:G857))&lt;=0,9.99,MIN(9.99,(C868+SUM(D856:G856)+SUM(D852:G853)+MAX(0,MIN($O$20*AN_cible,Emprunt_max*C870)-C869))/(C837+SUM(D828:G828)+SUM(D858:G858)+SUM(D859:G859)+SUM(D857:G857))))</f>
        <v>0.880472290610775</v>
      </c>
      <c r="D873" s="73" t="n">
        <f aca="false">IF((D837+SUM(E828:H828)+SUM(E858:H858)+SUM(E859:H859)+SUM(E857:H857))&lt;=0,9.99,MIN(9.99,(D868+SUM(E856:H856)+SUM(E852:H853)+MAX(0,MIN($O$20*AN_cible,Emprunt_max*D870)-D869))/(D837+SUM(E828:H828)+SUM(E858:H858)+SUM(E859:H859)+SUM(E857:H857))))</f>
        <v>0.63042443995174</v>
      </c>
      <c r="E873" s="73" t="n">
        <f aca="false">IF((E837+SUM(F828:I828)+SUM(F858:I858)+SUM(F859:I859)+SUM(F857:I857))&lt;=0,9.99,MIN(9.99,(E868+SUM(F856:I856)+SUM(F852:I853)+MAX(0,MIN($O$20*AN_cible,Emprunt_max*E870)-E869))/(E837+SUM(F828:I828)+SUM(F858:I858)+SUM(F859:I859)+SUM(F857:I857))))</f>
        <v>0.667561149543424</v>
      </c>
      <c r="F873" s="73" t="n">
        <f aca="false">IF((F837+SUM(G828:J828)+SUM(G858:J858)+SUM(G859:J859)+SUM(G857:J857))&lt;=0,9.99,MIN(9.99,(F868+SUM(G856:J856)+SUM(G852:J853)+MAX(0,MIN($O$20*AN_cible,Emprunt_max*F870)-F869))/(F837+SUM(G828:J828)+SUM(G858:J858)+SUM(G859:J859)+SUM(G857:J857))))</f>
        <v>0.48951862192022</v>
      </c>
      <c r="G873" s="73" t="n">
        <f aca="false">IF((G837+SUM(H828:K828)+SUM(H858:K858)+SUM(H859:K859)+SUM(H857:K857))&lt;=0,9.99,MIN(9.99,(G868+SUM(H856:K856)+SUM(H852:K853)+MAX(0,MIN($O$20*AN_cible,Emprunt_max*G870)-G869))/(G837+SUM(H828:K828)+SUM(H858:K858)+SUM(H859:K859)+SUM(H857:K857))))</f>
        <v>0.518325684464237</v>
      </c>
      <c r="H873" s="73" t="n">
        <f aca="false">IF((H837+SUM(I828:L828)+SUM(I858:L858)+SUM(I859:L859)+SUM(I857:L857))&lt;=0,9.99,MIN(9.99,(H868+SUM(I856:L856)+SUM(I852:L853)+MAX(0,MIN($O$20*AN_cible,Emprunt_max*H870)-H869))/(H837+SUM(I828:L828)+SUM(I858:L858)+SUM(I859:L859)+SUM(I857:L857))))</f>
        <v>0.383559282714139</v>
      </c>
      <c r="I873" s="73" t="n">
        <f aca="false">IF((I837+SUM(J828:M828)+SUM(J858:M858)+SUM(J859:M859)+SUM(J857:M857))&lt;=0,9.99,MIN(9.99,(I868+SUM(J856:M856)+SUM(J852:M853)+MAX(0,MIN($O$20*AN_cible,Emprunt_max*I870)-I869))/(I837+SUM(J828:M828)+SUM(J858:M858)+SUM(J859:M859)+SUM(J857:M857))))</f>
        <v>0.406322362770511</v>
      </c>
      <c r="J873" s="73" t="n">
        <f aca="false">IF((J837+SUM(K828:N828)+SUM(K858:N858)+SUM(K859:N859)+SUM(K857:N857))&lt;=0,9.99,MIN(9.99,(J868+SUM(K856:N856)+SUM(K852:N853)+MAX(0,MIN($O$20*AN_cible,Emprunt_max*J870)-J869))/(J837+SUM(K828:N828)+SUM(K858:N858)+SUM(K859:N859)+SUM(K857:N857))))</f>
        <v>0.371559020829994</v>
      </c>
      <c r="K873" s="73" t="n">
        <f aca="false">IF((K837+SUM(L828:O828)+SUM(L858:O858)+SUM(L859:O859)+SUM(L857:O857))&lt;=0,9.99,MIN(9.99,(K868+SUM(L856:O856)+SUM(L852:O853)+MAX(0,MIN($O$20*AN_cible,Emprunt_max*K870)-K869))/(K837+SUM(L828:O828)+SUM(L858:O858)+SUM(L859:O859)+SUM(L857:O857))))</f>
        <v>0.394280486901228</v>
      </c>
      <c r="L873" s="73" t="n">
        <f aca="false">IF((L837+SUM(M828:O828)+SUM(M858:O858)+SUM(M859:O859)+SUM(M857:O857))&lt;=0,9.99,MIN(9.99,(L868+SUM(M856:O856)+SUM(M852:O853)+MAX(0,MIN($O$20*AN_cible,Emprunt_max*L870)-L869))/(L837+SUM(M828:O828)+SUM(M858:O858)+SUM(M859:O859)+SUM(M857:O857))))</f>
        <v>0.372633380673161</v>
      </c>
      <c r="M873" s="73" t="n">
        <f aca="false">IF((M837+SUM(N828:O828)+SUM(N858:O858)+SUM(N859:O859)+SUM(N857:O857))&lt;=0,9.99,MIN(9.99,(M868+SUM(N856:O856)+SUM(N852:O853)+MAX(0,MIN($O$20*AN_cible,Emprunt_max*M870)-M869))/(M837+SUM(N828:O828)+SUM(N858:O858)+SUM(N859:O859)+SUM(N857:O857))))</f>
        <v>0.34936870530062</v>
      </c>
      <c r="N873" s="73" t="n">
        <f aca="false">IF((N837+SUM(O828:O828)+SUM(O858:O858)+SUM(O859:O859)+SUM(O857:O857))&lt;=0,9.99,MIN(9.99,(N868+SUM(O856:O856)+SUM(O852:O853)+MAX(0,MIN($O$20*AN_cible,Emprunt_max*N870)-N869))/(N837+SUM(O828:O828)+SUM(O858:O858)+SUM(O859:O859)+SUM(O857:O857))))</f>
        <v>0.324268705933327</v>
      </c>
      <c r="O873" s="73" t="n">
        <f aca="false">9.99</f>
        <v>9.99</v>
      </c>
    </row>
    <row r="874" customFormat="false" ht="15" hidden="false" customHeight="false" outlineLevel="0" collapsed="false">
      <c r="B874" s="65" t="s">
        <v>1069</v>
      </c>
      <c r="C874" s="72" t="n">
        <f aca="false">(C840+C841+C842+C843+C848+C849)/C870</f>
        <v>1</v>
      </c>
      <c r="D874" s="72" t="n">
        <f aca="false">(D840+D841+D842+D843+D848+D849)/D870</f>
        <v>1.02360935138212</v>
      </c>
      <c r="E874" s="72" t="n">
        <f aca="false">(E840+E841+E842+E843+E848+E849)/E870</f>
        <v>0.993591330618362</v>
      </c>
      <c r="F874" s="72" t="n">
        <f aca="false">(F840+F841+F842+F843+F848+F849)/F870</f>
        <v>1.01519089063281</v>
      </c>
      <c r="G874" s="72" t="n">
        <f aca="false">(G840+G841+G842+G843+G848+G849)/G870</f>
        <v>0.986201121108067</v>
      </c>
      <c r="H874" s="72" t="n">
        <f aca="false">(H840+H841+H842+H843+H848+H849)/H870</f>
        <v>1.00785165487548</v>
      </c>
      <c r="I874" s="72" t="n">
        <f aca="false">(I840+I841+I842+I843+I848+I849)/I870</f>
        <v>0.979306577916085</v>
      </c>
      <c r="J874" s="72" t="n">
        <f aca="false">(J840+J841+J842+J843+J848+J849)/J870</f>
        <v>1.0015889406223</v>
      </c>
      <c r="K874" s="72" t="n">
        <f aca="false">(K840+K841+K842+K843+K848+K849)/K870</f>
        <v>0.97397026281578</v>
      </c>
      <c r="L874" s="72" t="n">
        <f aca="false">(L840+L841+L842+L843+L848+L849)/L870</f>
        <v>0.947823268017165</v>
      </c>
      <c r="M874" s="72" t="n">
        <f aca="false">(M840+M841+M842+M843+M848+M849)/M870</f>
        <v>0.923054093902567</v>
      </c>
      <c r="N874" s="72" t="n">
        <f aca="false">(N840+N841+N842+N843+N848+N849)/N870</f>
        <v>0.899576217282107</v>
      </c>
      <c r="O874" s="72" t="n">
        <f aca="false">(O840+O841+O842+O843+O848+O849)/O870</f>
        <v>0.877309750081823</v>
      </c>
    </row>
    <row r="875" customFormat="false" ht="15" hidden="false" customHeight="false" outlineLevel="0" collapsed="false">
      <c r="B875" s="65" t="s">
        <v>849</v>
      </c>
      <c r="C875" s="72" t="n">
        <f aca="false">(C870+C869)/C870</f>
        <v>1</v>
      </c>
      <c r="D875" s="72" t="n">
        <f aca="false">(D870+D869)/D870</f>
        <v>1</v>
      </c>
      <c r="E875" s="72" t="n">
        <f aca="false">(E870+E869)/E870</f>
        <v>1</v>
      </c>
      <c r="F875" s="72" t="n">
        <f aca="false">(F870+F869)/F870</f>
        <v>1</v>
      </c>
      <c r="G875" s="72" t="n">
        <f aca="false">(G870+G869)/G870</f>
        <v>1</v>
      </c>
      <c r="H875" s="72" t="n">
        <f aca="false">(H870+H869)/H870</f>
        <v>1</v>
      </c>
      <c r="I875" s="72" t="n">
        <f aca="false">(I870+I869)/I870</f>
        <v>1</v>
      </c>
      <c r="J875" s="72" t="n">
        <f aca="false">(J870+J869)/J870</f>
        <v>1</v>
      </c>
      <c r="K875" s="72" t="n">
        <f aca="false">(K870+K869)/K870</f>
        <v>1</v>
      </c>
      <c r="L875" s="72" t="n">
        <f aca="false">(L870+L869)/L870</f>
        <v>1</v>
      </c>
      <c r="M875" s="72" t="n">
        <f aca="false">(M870+M869)/M870</f>
        <v>1</v>
      </c>
      <c r="N875" s="72" t="n">
        <f aca="false">(N870+N869)/N870</f>
        <v>1</v>
      </c>
      <c r="O875" s="72" t="n">
        <f aca="false">(O870+O869)/O870</f>
        <v>1</v>
      </c>
    </row>
    <row r="876" customFormat="false" ht="15" hidden="false" customHeight="false" outlineLevel="0" collapsed="false">
      <c r="B876" s="65" t="s">
        <v>1070</v>
      </c>
      <c r="C876" s="72" t="n">
        <f aca="false">(C840+C841*MSIG_USD)/C870</f>
        <v>0.25</v>
      </c>
      <c r="D876" s="72" t="n">
        <f aca="false">(D840+D841*MSIG_USD)/D870</f>
        <v>0.269675444832274</v>
      </c>
      <c r="E876" s="72" t="n">
        <f aca="false">(E840+E841*MSIG_USD)/E870</f>
        <v>0.27541785707076</v>
      </c>
      <c r="F876" s="72" t="n">
        <f aca="false">(F840+F841*MSIG_USD)/F870</f>
        <v>0.295628758414858</v>
      </c>
      <c r="G876" s="72" t="n">
        <f aca="false">(G840+G841*MSIG_USD)/G870</f>
        <v>0.301260240286235</v>
      </c>
      <c r="H876" s="72" t="n">
        <f aca="false">(H840+H841*MSIG_USD)/H870</f>
        <v>0.3225047402423</v>
      </c>
      <c r="I876" s="72" t="n">
        <f aca="false">(I840+I841*MSIG_USD)/I870</f>
        <v>0.327814711194842</v>
      </c>
      <c r="J876" s="72" t="n">
        <f aca="false">(J840+J841*MSIG_USD)/J870</f>
        <v>0.350264738598829</v>
      </c>
      <c r="K876" s="72" t="n">
        <f aca="false">(K840+K841*MSIG_USD)/K870</f>
        <v>0.355381594975843</v>
      </c>
      <c r="L876" s="72" t="n">
        <f aca="false">(L840+L841*MSIG_USD)/L870</f>
        <v>0.360397095479821</v>
      </c>
      <c r="M876" s="72" t="n">
        <f aca="false">(M840+M841*MSIG_USD)/M870</f>
        <v>0.365312189541524</v>
      </c>
      <c r="N876" s="72" t="n">
        <f aca="false">(N840+N841*MSIG_USD)/N870</f>
        <v>0.370127717215834</v>
      </c>
      <c r="O876" s="72" t="n">
        <f aca="false">(O840+O841*MSIG_USD)/O870</f>
        <v>0.374844428976344</v>
      </c>
    </row>
    <row r="877" customFormat="false" ht="15" hidden="false" customHeight="false" outlineLevel="0" collapsed="false">
      <c r="B877" s="65" t="s">
        <v>1071</v>
      </c>
      <c r="C877" s="25"/>
      <c r="D877" s="65" t="n">
        <f aca="false">IF(AND($O$9&lt;0.5*Collecte_norm,IF(D821&lt;=$O$11,0,$O$10)&lt;0.5,IF(D821&lt;=4,$O$17,($O$18+$O$19)/2)&lt;0.7),1,0)</f>
        <v>0</v>
      </c>
      <c r="E877" s="65" t="n">
        <f aca="false">IF(AND($O$9&lt;0.5*Collecte_norm,IF(E821&lt;=$O$11,0,$O$10)&lt;0.5,IF(E821&lt;=4,$O$17,($O$18+$O$19)/2)&lt;0.7),1,0)</f>
        <v>0</v>
      </c>
      <c r="F877" s="65" t="n">
        <f aca="false">IF(AND($O$9&lt;0.5*Collecte_norm,IF(F821&lt;=$O$11,0,$O$10)&lt;0.5,IF(F821&lt;=4,$O$17,($O$18+$O$19)/2)&lt;0.7),1,0)</f>
        <v>0</v>
      </c>
      <c r="G877" s="65" t="n">
        <f aca="false">IF(AND($O$9&lt;0.5*Collecte_norm,IF(G821&lt;=$O$11,0,$O$10)&lt;0.5,IF(G821&lt;=4,$O$17,($O$18+$O$19)/2)&lt;0.7),1,0)</f>
        <v>0</v>
      </c>
      <c r="H877" s="65" t="n">
        <f aca="false">IF(AND($O$9&lt;0.5*Collecte_norm,IF(H821&lt;=$O$11,0,$O$10)&lt;0.5,IF(H821&lt;=4,$O$17,($O$18+$O$19)/2)&lt;0.7),1,0)</f>
        <v>0</v>
      </c>
      <c r="I877" s="65" t="n">
        <f aca="false">IF(AND($O$9&lt;0.5*Collecte_norm,IF(I821&lt;=$O$11,0,$O$10)&lt;0.5,IF(I821&lt;=4,$O$17,($O$18+$O$19)/2)&lt;0.7),1,0)</f>
        <v>0</v>
      </c>
      <c r="J877" s="65" t="n">
        <f aca="false">IF(AND($O$9&lt;0.5*Collecte_norm,IF(J821&lt;=$O$11,0,$O$10)&lt;0.5,IF(J821&lt;=4,$O$17,($O$18+$O$19)/2)&lt;0.7),1,0)</f>
        <v>0</v>
      </c>
      <c r="K877" s="65" t="n">
        <f aca="false">IF(AND($O$9&lt;0.5*Collecte_norm,IF(K821&lt;=$O$11,0,$O$10)&lt;0.5,IF(K821&lt;=4,$O$17,($O$18+$O$19)/2)&lt;0.7),1,0)</f>
        <v>0</v>
      </c>
      <c r="L877" s="65" t="n">
        <f aca="false">IF(AND($O$9&lt;0.5*Collecte_norm,IF(L821&lt;=$O$11,0,$O$10)&lt;0.5,IF(L821&lt;=4,$O$17,($O$18+$O$19)/2)&lt;0.7),1,0)</f>
        <v>0</v>
      </c>
      <c r="M877" s="65" t="n">
        <f aca="false">IF(AND($O$9&lt;0.5*Collecte_norm,IF(M821&lt;=$O$11,0,$O$10)&lt;0.5,IF(M821&lt;=4,$O$17,($O$18+$O$19)/2)&lt;0.7),1,0)</f>
        <v>0</v>
      </c>
      <c r="N877" s="65" t="n">
        <f aca="false">IF(AND($O$9&lt;0.5*Collecte_norm,IF(N821&lt;=$O$11,0,$O$10)&lt;0.5,IF(N821&lt;=4,$O$17,($O$18+$O$19)/2)&lt;0.7),1,0)</f>
        <v>0</v>
      </c>
      <c r="O877" s="65" t="n">
        <f aca="false">IF(AND($O$9&lt;0.5*Collecte_norm,IF(O821&lt;=$O$11,0,$O$10)&lt;0.5,IF(O821&lt;=4,$O$17,($O$18+$O$19)/2)&lt;0.7),1,0)</f>
        <v>0</v>
      </c>
    </row>
    <row r="878" customFormat="false" ht="15" hidden="false" customHeight="false" outlineLevel="0" collapsed="false">
      <c r="B878" s="76" t="s">
        <v>1072</v>
      </c>
      <c r="C878" s="76" t="n">
        <v>99</v>
      </c>
      <c r="D878" s="76" t="n">
        <f aca="false">IF(D838=1,D824,99)</f>
        <v>1</v>
      </c>
      <c r="E878" s="76" t="n">
        <f aca="false">IF(E838=1,E824,99)</f>
        <v>99</v>
      </c>
      <c r="F878" s="76" t="n">
        <f aca="false">IF(F838=1,F824,99)</f>
        <v>2</v>
      </c>
      <c r="G878" s="76" t="n">
        <f aca="false">IF(G838=1,G824,99)</f>
        <v>99</v>
      </c>
      <c r="H878" s="76" t="n">
        <f aca="false">IF(H838=1,H824,99)</f>
        <v>3</v>
      </c>
      <c r="I878" s="76" t="n">
        <f aca="false">IF(I838=1,I824,99)</f>
        <v>99</v>
      </c>
      <c r="J878" s="76" t="n">
        <f aca="false">IF(J838=1,J824,99)</f>
        <v>4</v>
      </c>
      <c r="K878" s="76" t="n">
        <f aca="false">IF(K838=1,K824,99)</f>
        <v>99</v>
      </c>
      <c r="L878" s="76" t="n">
        <f aca="false">IF(L838=1,L824,99)</f>
        <v>99</v>
      </c>
      <c r="M878" s="76" t="n">
        <f aca="false">IF(M838=1,M824,99)</f>
        <v>99</v>
      </c>
      <c r="N878" s="76" t="n">
        <f aca="false">IF(N838=1,N824,99)</f>
        <v>99</v>
      </c>
      <c r="O878" s="76" t="n">
        <f aca="false">IF(O838=1,O824,99)</f>
        <v>99</v>
      </c>
    </row>
    <row r="879" customFormat="false" ht="15" hidden="false" customHeight="false" outlineLevel="0" collapsed="false">
      <c r="B879" s="76" t="s">
        <v>1073</v>
      </c>
      <c r="C879" s="76" t="n">
        <v>99</v>
      </c>
      <c r="D879" s="76" t="n">
        <f aca="false">IF(AND(D823=1,D824&gt;MIN($D878:$O878),D837&lt;=0.000001),D824,99)</f>
        <v>99</v>
      </c>
      <c r="E879" s="76" t="n">
        <f aca="false">IF(AND(E823=1,E824&gt;MIN($D878:$O878),E837&lt;=0.000001),E824,99)</f>
        <v>99</v>
      </c>
      <c r="F879" s="76" t="n">
        <f aca="false">IF(AND(F823=1,F824&gt;MIN($D878:$O878),F837&lt;=0.000001),F824,99)</f>
        <v>99</v>
      </c>
      <c r="G879" s="76" t="n">
        <f aca="false">IF(AND(G823=1,G824&gt;MIN($D878:$O878),G837&lt;=0.000001),G824,99)</f>
        <v>99</v>
      </c>
      <c r="H879" s="76" t="n">
        <f aca="false">IF(AND(H823=1,H824&gt;MIN($D878:$O878),H837&lt;=0.000001),H824,99)</f>
        <v>99</v>
      </c>
      <c r="I879" s="76" t="n">
        <f aca="false">IF(AND(I823=1,I824&gt;MIN($D878:$O878),I837&lt;=0.000001),I824,99)</f>
        <v>99</v>
      </c>
      <c r="J879" s="76" t="n">
        <f aca="false">IF(AND(J823=1,J824&gt;MIN($D878:$O878),J837&lt;=0.000001),J824,99)</f>
        <v>99</v>
      </c>
      <c r="K879" s="76" t="n">
        <f aca="false">IF(AND(K823=1,K824&gt;MIN($D878:$O878),K837&lt;=0.000001),K824,99)</f>
        <v>99</v>
      </c>
      <c r="L879" s="76" t="n">
        <f aca="false">IF(AND(L823=1,L824&gt;MIN($D878:$O878),L837&lt;=0.000001),L824,99)</f>
        <v>99</v>
      </c>
      <c r="M879" s="76" t="n">
        <f aca="false">IF(AND(M823=1,M824&gt;MIN($D878:$O878),M837&lt;=0.000001),M824,99)</f>
        <v>99</v>
      </c>
      <c r="N879" s="76" t="n">
        <f aca="false">IF(AND(N823=1,N824&gt;MIN($D878:$O878),N837&lt;=0.000001),N824,99)</f>
        <v>99</v>
      </c>
      <c r="O879" s="76" t="n">
        <f aca="false">IF(AND(O823=1,O824&gt;MIN($D878:$O878),O837&lt;=0.000001),O824,99)</f>
        <v>99</v>
      </c>
    </row>
    <row r="880" customFormat="false" ht="15" hidden="false" customHeight="false" outlineLevel="0" collapsed="false">
      <c r="B880" s="76" t="s">
        <v>1074</v>
      </c>
      <c r="C880" s="76" t="n">
        <v>9999999</v>
      </c>
      <c r="D880" s="76" t="n">
        <f aca="false">IF(D835=1,D822,9999999)</f>
        <v>9999999</v>
      </c>
      <c r="E880" s="76" t="n">
        <f aca="false">IF(E835=1,E822,9999999)</f>
        <v>9999999</v>
      </c>
      <c r="F880" s="76" t="n">
        <f aca="false">IF(F835=1,F822,9999999)</f>
        <v>9999999</v>
      </c>
      <c r="G880" s="76" t="n">
        <f aca="false">IF(G835=1,G822,9999999)</f>
        <v>9999999</v>
      </c>
      <c r="H880" s="76" t="n">
        <f aca="false">IF(H835=1,H822,9999999)</f>
        <v>9999999</v>
      </c>
      <c r="I880" s="76" t="n">
        <f aca="false">IF(I835=1,I822,9999999)</f>
        <v>9999999</v>
      </c>
      <c r="J880" s="76" t="n">
        <f aca="false">IF(J835=1,J822,9999999)</f>
        <v>9999999</v>
      </c>
      <c r="K880" s="76" t="n">
        <f aca="false">IF(K835=1,K822,9999999)</f>
        <v>9999999</v>
      </c>
      <c r="L880" s="77" t="n">
        <f aca="false">IF(L835=1,L822,9999999)</f>
        <v>47848</v>
      </c>
      <c r="M880" s="77" t="n">
        <f aca="false">IF(M835=1,M822,9999999)</f>
        <v>47938</v>
      </c>
      <c r="N880" s="77" t="n">
        <f aca="false">IF(N835=1,N822,9999999)</f>
        <v>48029</v>
      </c>
      <c r="O880" s="77" t="n">
        <f aca="false">IF(O835=1,O822,9999999)</f>
        <v>48121</v>
      </c>
    </row>
    <row r="881" customFormat="false" ht="15" hidden="false" customHeight="false" outlineLevel="0" collapsed="false">
      <c r="B881" s="76" t="s">
        <v>1075</v>
      </c>
      <c r="C881" s="76" t="n">
        <v>9999999</v>
      </c>
      <c r="D881" s="76" t="n">
        <f aca="false">IF(D877=1,D822,9999999)</f>
        <v>9999999</v>
      </c>
      <c r="E881" s="76" t="n">
        <f aca="false">IF(E877=1,E822,9999999)</f>
        <v>9999999</v>
      </c>
      <c r="F881" s="76" t="n">
        <f aca="false">IF(F877=1,F822,9999999)</f>
        <v>9999999</v>
      </c>
      <c r="G881" s="76" t="n">
        <f aca="false">IF(G877=1,G822,9999999)</f>
        <v>9999999</v>
      </c>
      <c r="H881" s="76" t="n">
        <f aca="false">IF(H877=1,H822,9999999)</f>
        <v>9999999</v>
      </c>
      <c r="I881" s="76" t="n">
        <f aca="false">IF(I877=1,I822,9999999)</f>
        <v>9999999</v>
      </c>
      <c r="J881" s="76" t="n">
        <f aca="false">IF(J877=1,J822,9999999)</f>
        <v>9999999</v>
      </c>
      <c r="K881" s="76" t="n">
        <f aca="false">IF(K877=1,K822,9999999)</f>
        <v>9999999</v>
      </c>
      <c r="L881" s="76" t="n">
        <f aca="false">IF(L877=1,L822,9999999)</f>
        <v>9999999</v>
      </c>
      <c r="M881" s="76" t="n">
        <f aca="false">IF(M877=1,M822,9999999)</f>
        <v>9999999</v>
      </c>
      <c r="N881" s="76" t="n">
        <f aca="false">IF(N877=1,N822,9999999)</f>
        <v>9999999</v>
      </c>
      <c r="O881" s="76" t="n">
        <f aca="false">IF(O877=1,O822,9999999)</f>
        <v>9999999</v>
      </c>
    </row>
    <row r="886" customFormat="false" ht="15" hidden="false" customHeight="false" outlineLevel="0" collapsed="false">
      <c r="B886" s="45" t="str">
        <f aca="false">P$5</f>
        <v>Rachats persistants 15 % par date</v>
      </c>
      <c r="C886" s="45" t="s">
        <v>55</v>
      </c>
      <c r="D886" s="45" t="n">
        <v>14</v>
      </c>
      <c r="E886" s="2"/>
      <c r="F886" s="2"/>
      <c r="G886" s="2"/>
      <c r="H886" s="2"/>
      <c r="I886" s="2"/>
      <c r="J886" s="2"/>
      <c r="K886" s="2"/>
      <c r="L886" s="2"/>
      <c r="M886" s="2"/>
      <c r="N886" s="2"/>
      <c r="O886" s="2"/>
    </row>
    <row r="887" customFormat="false" ht="15" hidden="false" customHeight="false" outlineLevel="0" collapsed="false">
      <c r="B887" s="65" t="s">
        <v>1019</v>
      </c>
      <c r="C887" s="65" t="n">
        <v>0</v>
      </c>
      <c r="D887" s="65" t="n">
        <v>1</v>
      </c>
      <c r="E887" s="65" t="n">
        <v>2</v>
      </c>
      <c r="F887" s="65" t="n">
        <v>3</v>
      </c>
      <c r="G887" s="65" t="n">
        <v>4</v>
      </c>
      <c r="H887" s="65" t="n">
        <v>5</v>
      </c>
      <c r="I887" s="65" t="n">
        <v>6</v>
      </c>
      <c r="J887" s="65" t="n">
        <v>7</v>
      </c>
      <c r="K887" s="65" t="n">
        <v>8</v>
      </c>
      <c r="L887" s="65" t="n">
        <v>9</v>
      </c>
      <c r="M887" s="65" t="n">
        <v>10</v>
      </c>
      <c r="N887" s="65" t="n">
        <v>11</v>
      </c>
      <c r="O887" s="65" t="n">
        <v>12</v>
      </c>
    </row>
    <row r="888" customFormat="false" ht="15" hidden="false" customHeight="false" outlineLevel="0" collapsed="false">
      <c r="B888" s="65" t="s">
        <v>209</v>
      </c>
      <c r="C888" s="71" t="n">
        <f aca="false">Date_depart</f>
        <v>47026</v>
      </c>
      <c r="D888" s="71" t="n">
        <f aca="false">EOMONTH(Date_depart,3*D887)</f>
        <v>47118</v>
      </c>
      <c r="E888" s="71" t="n">
        <f aca="false">EOMONTH(Date_depart,3*E887)</f>
        <v>47208</v>
      </c>
      <c r="F888" s="71" t="n">
        <f aca="false">EOMONTH(Date_depart,3*F887)</f>
        <v>47299</v>
      </c>
      <c r="G888" s="71" t="n">
        <f aca="false">EOMONTH(Date_depart,3*G887)</f>
        <v>47391</v>
      </c>
      <c r="H888" s="71" t="n">
        <f aca="false">EOMONTH(Date_depart,3*H887)</f>
        <v>47483</v>
      </c>
      <c r="I888" s="71" t="n">
        <f aca="false">EOMONTH(Date_depart,3*I887)</f>
        <v>47573</v>
      </c>
      <c r="J888" s="71" t="n">
        <f aca="false">EOMONTH(Date_depart,3*J887)</f>
        <v>47664</v>
      </c>
      <c r="K888" s="71" t="n">
        <f aca="false">EOMONTH(Date_depart,3*K887)</f>
        <v>47756</v>
      </c>
      <c r="L888" s="71" t="n">
        <f aca="false">EOMONTH(Date_depart,3*L887)</f>
        <v>47848</v>
      </c>
      <c r="M888" s="71" t="n">
        <f aca="false">EOMONTH(Date_depart,3*M887)</f>
        <v>47938</v>
      </c>
      <c r="N888" s="71" t="n">
        <f aca="false">EOMONTH(Date_depart,3*N887)</f>
        <v>48029</v>
      </c>
      <c r="O888" s="71" t="n">
        <f aca="false">EOMONTH(Date_depart,3*O887)</f>
        <v>48121</v>
      </c>
    </row>
    <row r="889" customFormat="false" ht="15" hidden="false" customHeight="false" outlineLevel="0" collapsed="false">
      <c r="B889" s="65" t="s">
        <v>1020</v>
      </c>
      <c r="C889" s="65" t="n">
        <v>0</v>
      </c>
      <c r="D889" s="65" t="n">
        <f aca="false">IF(OR(MONTH(D888)=6,MONTH(D888)=12),1,0)</f>
        <v>1</v>
      </c>
      <c r="E889" s="65" t="n">
        <f aca="false">IF(OR(MONTH(E888)=6,MONTH(E888)=12),1,0)</f>
        <v>0</v>
      </c>
      <c r="F889" s="65" t="n">
        <f aca="false">IF(OR(MONTH(F888)=6,MONTH(F888)=12),1,0)</f>
        <v>1</v>
      </c>
      <c r="G889" s="65" t="n">
        <f aca="false">IF(OR(MONTH(G888)=6,MONTH(G888)=12),1,0)</f>
        <v>0</v>
      </c>
      <c r="H889" s="65" t="n">
        <f aca="false">IF(OR(MONTH(H888)=6,MONTH(H888)=12),1,0)</f>
        <v>1</v>
      </c>
      <c r="I889" s="65" t="n">
        <f aca="false">IF(OR(MONTH(I888)=6,MONTH(I888)=12),1,0)</f>
        <v>0</v>
      </c>
      <c r="J889" s="65" t="n">
        <f aca="false">IF(OR(MONTH(J888)=6,MONTH(J888)=12),1,0)</f>
        <v>1</v>
      </c>
      <c r="K889" s="65" t="n">
        <f aca="false">IF(OR(MONTH(K888)=6,MONTH(K888)=12),1,0)</f>
        <v>0</v>
      </c>
      <c r="L889" s="65" t="n">
        <f aca="false">IF(OR(MONTH(L888)=6,MONTH(L888)=12),1,0)</f>
        <v>1</v>
      </c>
      <c r="M889" s="65" t="n">
        <f aca="false">IF(OR(MONTH(M888)=6,MONTH(M888)=12),1,0)</f>
        <v>0</v>
      </c>
      <c r="N889" s="65" t="n">
        <f aca="false">IF(OR(MONTH(N888)=6,MONTH(N888)=12),1,0)</f>
        <v>1</v>
      </c>
      <c r="O889" s="65" t="n">
        <f aca="false">IF(OR(MONTH(O888)=6,MONTH(O888)=12),1,0)</f>
        <v>0</v>
      </c>
    </row>
    <row r="890" customFormat="false" ht="15" hidden="false" customHeight="false" outlineLevel="0" collapsed="false">
      <c r="B890" s="65" t="s">
        <v>1021</v>
      </c>
      <c r="C890" s="65" t="n">
        <v>0</v>
      </c>
      <c r="D890" s="65" t="n">
        <f aca="false">C890+D889</f>
        <v>1</v>
      </c>
      <c r="E890" s="65" t="n">
        <f aca="false">D890+E889</f>
        <v>1</v>
      </c>
      <c r="F890" s="65" t="n">
        <f aca="false">E890+F889</f>
        <v>2</v>
      </c>
      <c r="G890" s="65" t="n">
        <f aca="false">F890+G889</f>
        <v>2</v>
      </c>
      <c r="H890" s="65" t="n">
        <f aca="false">G890+H889</f>
        <v>3</v>
      </c>
      <c r="I890" s="65" t="n">
        <f aca="false">H890+I889</f>
        <v>3</v>
      </c>
      <c r="J890" s="65" t="n">
        <f aca="false">I890+J889</f>
        <v>4</v>
      </c>
      <c r="K890" s="65" t="n">
        <f aca="false">J890+K889</f>
        <v>4</v>
      </c>
      <c r="L890" s="65" t="n">
        <f aca="false">K890+L889</f>
        <v>5</v>
      </c>
      <c r="M890" s="65" t="n">
        <f aca="false">L890+M889</f>
        <v>5</v>
      </c>
      <c r="N890" s="65" t="n">
        <f aca="false">M890+N889</f>
        <v>6</v>
      </c>
      <c r="O890" s="65" t="n">
        <f aca="false">N890+O889</f>
        <v>6</v>
      </c>
    </row>
    <row r="891" customFormat="false" ht="15" hidden="false" customHeight="false" outlineLevel="0" collapsed="false">
      <c r="B891" s="65" t="s">
        <v>1022</v>
      </c>
      <c r="C891" s="25"/>
      <c r="D891" s="72" t="n">
        <f aca="false">IF(D889=1,IF(C901=1,0,IF(D890=1,$P$6,IF(D890=2,$P$7,$P$8))),0)</f>
        <v>0.15</v>
      </c>
      <c r="E891" s="72" t="n">
        <f aca="false">IF(E889=1,IF(D901=1,0,IF(E890=1,$P$6,IF(E890=2,$P$7,$P$8))),0)</f>
        <v>0</v>
      </c>
      <c r="F891" s="72" t="n">
        <f aca="false">IF(F889=1,IF(E901=1,0,IF(F890=1,$P$6,IF(F890=2,$P$7,$P$8))),0)</f>
        <v>0.15</v>
      </c>
      <c r="G891" s="72" t="n">
        <f aca="false">IF(G889=1,IF(F901=1,0,IF(G890=1,$P$6,IF(G890=2,$P$7,$P$8))),0)</f>
        <v>0</v>
      </c>
      <c r="H891" s="72" t="n">
        <f aca="false">IF(H889=1,IF(G901=1,0,IF(H890=1,$P$6,IF(H890=2,$P$7,$P$8))),0)</f>
        <v>0.15</v>
      </c>
      <c r="I891" s="72" t="n">
        <f aca="false">IF(I889=1,IF(H901=1,0,IF(I890=1,$P$6,IF(I890=2,$P$7,$P$8))),0)</f>
        <v>0</v>
      </c>
      <c r="J891" s="72" t="n">
        <f aca="false">IF(J889=1,IF(I901=1,0,IF(J890=1,$P$6,IF(J890=2,$P$7,$P$8))),0)</f>
        <v>0.15</v>
      </c>
      <c r="K891" s="72" t="n">
        <f aca="false">IF(K889=1,IF(J901=1,0,IF(K890=1,$P$6,IF(K890=2,$P$7,$P$8))),0)</f>
        <v>0</v>
      </c>
      <c r="L891" s="72" t="n">
        <f aca="false">IF(L889=1,IF(K901=1,0,IF(L890=1,$P$6,IF(L890=2,$P$7,$P$8))),0)</f>
        <v>0.15</v>
      </c>
      <c r="M891" s="72" t="n">
        <f aca="false">IF(M889=1,IF(L901=1,0,IF(M890=1,$P$6,IF(M890=2,$P$7,$P$8))),0)</f>
        <v>0</v>
      </c>
      <c r="N891" s="72" t="n">
        <f aca="false">IF(N889=1,IF(M901=1,0,IF(N890=1,$P$6,IF(N890=2,$P$7,$P$8))),0)</f>
        <v>0</v>
      </c>
      <c r="O891" s="72" t="n">
        <f aca="false">IF(O889=1,IF(N901=1,0,IF(O890=1,$P$6,IF(O890=2,$P$7,$P$8))),0)</f>
        <v>0</v>
      </c>
    </row>
    <row r="892" customFormat="false" ht="15" hidden="false" customHeight="false" outlineLevel="0" collapsed="false">
      <c r="B892" s="65" t="s">
        <v>1023</v>
      </c>
      <c r="C892" s="25"/>
      <c r="D892" s="73" t="n">
        <f aca="false">C936</f>
        <v>50000000</v>
      </c>
      <c r="E892" s="73" t="n">
        <f aca="false">D936</f>
        <v>48100643.75</v>
      </c>
      <c r="F892" s="73" t="n">
        <f aca="false">E936</f>
        <v>48823151.7132813</v>
      </c>
      <c r="G892" s="73" t="n">
        <f aca="false">F936</f>
        <v>47105173.9904901</v>
      </c>
      <c r="H892" s="73" t="n">
        <f aca="false">G936</f>
        <v>47826489.4455393</v>
      </c>
      <c r="I892" s="73" t="n">
        <f aca="false">H936</f>
        <v>46183889.2303444</v>
      </c>
      <c r="J892" s="73" t="n">
        <f aca="false">I936</f>
        <v>46930729.0550004</v>
      </c>
      <c r="K892" s="73" t="n">
        <f aca="false">J936</f>
        <v>45332651.4154555</v>
      </c>
      <c r="L892" s="73" t="n">
        <f aca="false">K936</f>
        <v>46080299.0246774</v>
      </c>
      <c r="M892" s="73" t="n">
        <f aca="false">L936</f>
        <v>46830553.4993366</v>
      </c>
      <c r="N892" s="73" t="n">
        <f aca="false">M936</f>
        <v>47583889.5702456</v>
      </c>
      <c r="O892" s="73" t="n">
        <f aca="false">N936</f>
        <v>48340768.6984106</v>
      </c>
    </row>
    <row r="893" customFormat="false" ht="15" hidden="false" customHeight="false" outlineLevel="0" collapsed="false">
      <c r="B893" s="65" t="s">
        <v>177</v>
      </c>
      <c r="C893" s="25"/>
      <c r="D893" s="73" t="n">
        <f aca="false">IF(C901=1,0,$P$9*D892)</f>
        <v>0</v>
      </c>
      <c r="E893" s="73" t="n">
        <f aca="false">IF(D901=1,0,$P$9*E892)</f>
        <v>0</v>
      </c>
      <c r="F893" s="73" t="n">
        <f aca="false">IF(E901=1,0,$P$9*F892)</f>
        <v>0</v>
      </c>
      <c r="G893" s="73" t="n">
        <f aca="false">IF(F901=1,0,$P$9*G892)</f>
        <v>0</v>
      </c>
      <c r="H893" s="73" t="n">
        <f aca="false">IF(G901=1,0,$P$9*H892)</f>
        <v>0</v>
      </c>
      <c r="I893" s="73" t="n">
        <f aca="false">IF(H901=1,0,$P$9*I892)</f>
        <v>0</v>
      </c>
      <c r="J893" s="73" t="n">
        <f aca="false">IF(I901=1,0,$P$9*J892)</f>
        <v>0</v>
      </c>
      <c r="K893" s="73" t="n">
        <f aca="false">IF(J901=1,0,$P$9*K892)</f>
        <v>0</v>
      </c>
      <c r="L893" s="73" t="n">
        <f aca="false">IF(K901=1,0,$P$9*L892)</f>
        <v>0</v>
      </c>
      <c r="M893" s="73" t="n">
        <f aca="false">IF(L901=1,0,$P$9*M892)</f>
        <v>0</v>
      </c>
      <c r="N893" s="73" t="n">
        <f aca="false">IF(M901=1,0,$P$9*N892)</f>
        <v>0</v>
      </c>
      <c r="O893" s="73" t="n">
        <f aca="false">IF(N901=1,0,$P$9*O892)</f>
        <v>0</v>
      </c>
    </row>
    <row r="894" customFormat="false" ht="15" hidden="false" customHeight="false" outlineLevel="0" collapsed="false">
      <c r="B894" s="65" t="s">
        <v>1024</v>
      </c>
      <c r="C894" s="25"/>
      <c r="D894" s="73" t="n">
        <f aca="false">D891*D892</f>
        <v>7500000</v>
      </c>
      <c r="E894" s="73" t="n">
        <f aca="false">E891*E892</f>
        <v>0</v>
      </c>
      <c r="F894" s="73" t="n">
        <f aca="false">F891*F892</f>
        <v>7323472.75699219</v>
      </c>
      <c r="G894" s="73" t="n">
        <f aca="false">G891*G892</f>
        <v>0</v>
      </c>
      <c r="H894" s="73" t="n">
        <f aca="false">H891*H892</f>
        <v>7173973.4168309</v>
      </c>
      <c r="I894" s="73" t="n">
        <f aca="false">I891*I892</f>
        <v>0</v>
      </c>
      <c r="J894" s="73" t="n">
        <f aca="false">J891*J892</f>
        <v>7039609.35825006</v>
      </c>
      <c r="K894" s="73" t="n">
        <f aca="false">K891*K892</f>
        <v>0</v>
      </c>
      <c r="L894" s="73" t="n">
        <f aca="false">L891*L892</f>
        <v>6912044.85370161</v>
      </c>
      <c r="M894" s="73" t="n">
        <f aca="false">M891*M892</f>
        <v>0</v>
      </c>
      <c r="N894" s="73" t="n">
        <f aca="false">N891*N892</f>
        <v>0</v>
      </c>
      <c r="O894" s="73" t="n">
        <f aca="false">O891*O892</f>
        <v>0</v>
      </c>
    </row>
    <row r="895" customFormat="false" ht="15" hidden="false" customHeight="false" outlineLevel="0" collapsed="false">
      <c r="B895" s="65" t="s">
        <v>1025</v>
      </c>
      <c r="C895" s="25"/>
      <c r="D895" s="73" t="n">
        <f aca="false">C903</f>
        <v>0</v>
      </c>
      <c r="E895" s="73" t="n">
        <f aca="false">D903</f>
        <v>5000000</v>
      </c>
      <c r="F895" s="73" t="n">
        <f aca="false">E903</f>
        <v>5000000</v>
      </c>
      <c r="G895" s="73" t="n">
        <f aca="false">F903</f>
        <v>9882315.17132812</v>
      </c>
      <c r="H895" s="73" t="n">
        <f aca="false">G903</f>
        <v>9882315.17132812</v>
      </c>
      <c r="I895" s="73" t="n">
        <f aca="false">H903</f>
        <v>14664964.1158821</v>
      </c>
      <c r="J895" s="73" t="n">
        <f aca="false">I903</f>
        <v>14664964.1158821</v>
      </c>
      <c r="K895" s="73" t="n">
        <f aca="false">J903</f>
        <v>19358037.0213821</v>
      </c>
      <c r="L895" s="73" t="n">
        <f aca="false">K903</f>
        <v>19358037.0213821</v>
      </c>
      <c r="M895" s="73" t="n">
        <f aca="false">L903</f>
        <v>26270081.8750837</v>
      </c>
      <c r="N895" s="73" t="n">
        <f aca="false">M903</f>
        <v>26270081.8750837</v>
      </c>
      <c r="O895" s="73" t="n">
        <f aca="false">N903</f>
        <v>26270081.8750837</v>
      </c>
    </row>
    <row r="896" customFormat="false" ht="15" hidden="false" customHeight="false" outlineLevel="0" collapsed="false">
      <c r="B896" s="65" t="s">
        <v>1026</v>
      </c>
      <c r="C896" s="25"/>
      <c r="D896" s="73" t="n">
        <f aca="false">D894+D895</f>
        <v>7500000</v>
      </c>
      <c r="E896" s="73" t="n">
        <f aca="false">E894+E895</f>
        <v>5000000</v>
      </c>
      <c r="F896" s="73" t="n">
        <f aca="false">F894+F895</f>
        <v>12323472.7569922</v>
      </c>
      <c r="G896" s="73" t="n">
        <f aca="false">G894+G895</f>
        <v>9882315.17132812</v>
      </c>
      <c r="H896" s="73" t="n">
        <f aca="false">H894+H895</f>
        <v>17056288.588159</v>
      </c>
      <c r="I896" s="73" t="n">
        <f aca="false">I894+I895</f>
        <v>14664964.1158821</v>
      </c>
      <c r="J896" s="73" t="n">
        <f aca="false">J894+J895</f>
        <v>21704573.4741321</v>
      </c>
      <c r="K896" s="73" t="n">
        <f aca="false">K894+K895</f>
        <v>19358037.0213821</v>
      </c>
      <c r="L896" s="73" t="n">
        <f aca="false">L894+L895</f>
        <v>26270081.8750837</v>
      </c>
      <c r="M896" s="73" t="n">
        <f aca="false">M894+M895</f>
        <v>26270081.8750837</v>
      </c>
      <c r="N896" s="73" t="n">
        <f aca="false">N894+N895</f>
        <v>26270081.8750837</v>
      </c>
      <c r="O896" s="73" t="n">
        <f aca="false">O894+O895</f>
        <v>26270081.8750837</v>
      </c>
    </row>
    <row r="897" customFormat="false" ht="15" hidden="false" customHeight="false" outlineLevel="0" collapsed="false">
      <c r="B897" s="65" t="s">
        <v>1027</v>
      </c>
      <c r="C897" s="25"/>
      <c r="D897" s="73" t="n">
        <f aca="false">IF($P$21=1,Gate*D892+D893,D896)</f>
        <v>2500000</v>
      </c>
      <c r="E897" s="73" t="n">
        <f aca="false">IF($P$21=1,Gate*E892+E893,E896)</f>
        <v>2405032.1875</v>
      </c>
      <c r="F897" s="73" t="n">
        <f aca="false">IF($P$21=1,Gate*F892+F893,F896)</f>
        <v>2441157.58566406</v>
      </c>
      <c r="G897" s="73" t="n">
        <f aca="false">IF($P$21=1,Gate*G892+G893,G896)</f>
        <v>2355258.6995245</v>
      </c>
      <c r="H897" s="73" t="n">
        <f aca="false">IF($P$21=1,Gate*H892+H893,H896)</f>
        <v>2391324.47227697</v>
      </c>
      <c r="I897" s="73" t="n">
        <f aca="false">IF($P$21=1,Gate*I892+I893,I896)</f>
        <v>2309194.46151722</v>
      </c>
      <c r="J897" s="73" t="n">
        <f aca="false">IF($P$21=1,Gate*J892+J893,J896)</f>
        <v>2346536.45275002</v>
      </c>
      <c r="K897" s="73" t="n">
        <f aca="false">IF($P$21=1,Gate*K892+K893,K896)</f>
        <v>2266632.57077278</v>
      </c>
      <c r="L897" s="73" t="n">
        <f aca="false">IF($P$21=1,Gate*L892+L893,L896)</f>
        <v>2304014.95123387</v>
      </c>
      <c r="M897" s="73" t="n">
        <f aca="false">IF($P$21=1,Gate*M892+M893,M896)</f>
        <v>2341527.67496683</v>
      </c>
      <c r="N897" s="73" t="n">
        <f aca="false">IF($P$21=1,Gate*N892+N893,N896)</f>
        <v>2379194.47851228</v>
      </c>
      <c r="O897" s="73" t="n">
        <f aca="false">IF($P$21=1,Gate*O892+O893,O896)</f>
        <v>2417038.43492053</v>
      </c>
    </row>
    <row r="898" customFormat="false" ht="15" hidden="false" customHeight="false" outlineLevel="0" collapsed="false">
      <c r="B898" s="65" t="s">
        <v>1028</v>
      </c>
      <c r="C898" s="25"/>
      <c r="D898" s="73" t="n">
        <f aca="false">IF(D889=1,MIN(D896,D897),0)</f>
        <v>2500000</v>
      </c>
      <c r="E898" s="73" t="n">
        <f aca="false">IF(E889=1,MIN(E896,E897),0)</f>
        <v>0</v>
      </c>
      <c r="F898" s="73" t="n">
        <f aca="false">IF(F889=1,MIN(F896,F897),0)</f>
        <v>2441157.58566406</v>
      </c>
      <c r="G898" s="73" t="n">
        <f aca="false">IF(G889=1,MIN(G896,G897),0)</f>
        <v>0</v>
      </c>
      <c r="H898" s="73" t="n">
        <f aca="false">IF(H889=1,MIN(H896,H897),0)</f>
        <v>2391324.47227697</v>
      </c>
      <c r="I898" s="73" t="n">
        <f aca="false">IF(I889=1,MIN(I896,I897),0)</f>
        <v>0</v>
      </c>
      <c r="J898" s="73" t="n">
        <f aca="false">IF(J889=1,MIN(J896,J897),0)</f>
        <v>2346536.45275002</v>
      </c>
      <c r="K898" s="73" t="n">
        <f aca="false">IF(K889=1,MIN(K896,K897),0)</f>
        <v>0</v>
      </c>
      <c r="L898" s="73" t="n">
        <f aca="false">IF(L889=1,MIN(L896,L897),0)</f>
        <v>2304014.95123387</v>
      </c>
      <c r="M898" s="73" t="n">
        <f aca="false">IF(M889=1,MIN(M896,M897),0)</f>
        <v>0</v>
      </c>
      <c r="N898" s="73" t="n">
        <f aca="false">IF(N889=1,MIN(N896,N897),0)</f>
        <v>2379194.47851228</v>
      </c>
      <c r="O898" s="73" t="n">
        <f aca="false">IF(O889=1,MIN(O896,O897),0)</f>
        <v>0</v>
      </c>
    </row>
    <row r="899" customFormat="false" ht="15" hidden="false" customHeight="false" outlineLevel="0" collapsed="false">
      <c r="B899" s="65" t="s">
        <v>1029</v>
      </c>
      <c r="C899" s="25"/>
      <c r="D899" s="73" t="n">
        <f aca="false">MAX(0,D927+D918+D919-Poche_min_exec*D892-D898-SUM(E924:F924)+MAX(0,MIN($P$20*AN_cible,Emprunt_max*D892)-C935))</f>
        <v>0</v>
      </c>
      <c r="E899" s="73" t="n">
        <f aca="false">MAX(0,E927+E918+E919-Poche_min_exec*E892-E898-SUM(F924:G924)+MAX(0,MIN($P$20*AN_cible,Emprunt_max*E892)-D935))</f>
        <v>502827.0625</v>
      </c>
      <c r="F899" s="73" t="n">
        <f aca="false">MAX(0,F927+F918+F919-Poche_min_exec*F892-F898-SUM(G924:H924)+MAX(0,MIN($P$20*AN_cible,Emprunt_max*F892)-E935))</f>
        <v>0</v>
      </c>
      <c r="G899" s="73" t="n">
        <f aca="false">MAX(0,G927+G918+G919-Poche_min_exec*G892-G898-SUM(H924:I924)+MAX(0,MIN($P$20*AN_cible,Emprunt_max*G892)-F935))</f>
        <v>0</v>
      </c>
      <c r="H899" s="73" t="n">
        <f aca="false">MAX(0,H927+H918+H919-Poche_min_exec*H892-H898-SUM(I924:J924)+MAX(0,MIN($P$20*AN_cible,Emprunt_max*H892)-G935))</f>
        <v>0</v>
      </c>
      <c r="I899" s="73" t="n">
        <f aca="false">MAX(0,I927+I918+I919-Poche_min_exec*I892-I898-SUM(J924:K924)+MAX(0,MIN($P$20*AN_cible,Emprunt_max*I892)-H935))</f>
        <v>0</v>
      </c>
      <c r="J899" s="73" t="n">
        <f aca="false">MAX(0,J927+J918+J919-Poche_min_exec*J892-J898-SUM(K924:L924)+MAX(0,MIN($P$20*AN_cible,Emprunt_max*J892)-I935))</f>
        <v>0</v>
      </c>
      <c r="K899" s="73" t="n">
        <f aca="false">MAX(0,K927+K918+K919-Poche_min_exec*K892-K898-SUM(L924:M924)+MAX(0,MIN($P$20*AN_cible,Emprunt_max*K892)-J935))</f>
        <v>0</v>
      </c>
      <c r="L899" s="73" t="n">
        <f aca="false">MAX(0,L927+L918+L919-Poche_min_exec*L892-L898-SUM(M924:N924)+MAX(0,MIN($P$20*AN_cible,Emprunt_max*L892)-K935))</f>
        <v>0</v>
      </c>
      <c r="M899" s="73" t="n">
        <f aca="false">MAX(0,M927+M918+M919-Poche_min_exec*M892-M898-SUM(N924:O924)+MAX(0,MIN($P$20*AN_cible,Emprunt_max*M892)-L935))</f>
        <v>0</v>
      </c>
      <c r="N899" s="73" t="n">
        <f aca="false">MAX(0,N927+N918+N919-Poche_min_exec*N892-N898-SUM(O924:O924)+MAX(0,MIN($P$20*AN_cible,Emprunt_max*N892)-M935))</f>
        <v>0</v>
      </c>
      <c r="O899" s="73" t="n">
        <f aca="false">MAX(0,O927+O918+O919-Poche_min_exec*O892-O898-0+MAX(0,MIN($P$20*AN_cible,Emprunt_max*O892)-N935))</f>
        <v>1190215.56571852</v>
      </c>
    </row>
    <row r="900" customFormat="false" ht="15" hidden="false" customHeight="false" outlineLevel="0" collapsed="false">
      <c r="B900" s="65" t="s">
        <v>1030</v>
      </c>
      <c r="C900" s="25"/>
      <c r="D900" s="73" t="n">
        <f aca="false">IF(AND(D889=1,$P$21=1,$P$22=1),MIN(D896-D898,D899),0)</f>
        <v>0</v>
      </c>
      <c r="E900" s="73" t="n">
        <f aca="false">IF(AND(E889=1,$P$21=1,$P$22=1),MIN(E896-E898,E899),0)</f>
        <v>0</v>
      </c>
      <c r="F900" s="73" t="n">
        <f aca="false">IF(AND(F889=1,$P$21=1,$P$22=1),MIN(F896-F898,F899),0)</f>
        <v>0</v>
      </c>
      <c r="G900" s="73" t="n">
        <f aca="false">IF(AND(G889=1,$P$21=1,$P$22=1),MIN(G896-G898,G899),0)</f>
        <v>0</v>
      </c>
      <c r="H900" s="73" t="n">
        <f aca="false">IF(AND(H889=1,$P$21=1,$P$22=1),MIN(H896-H898,H899),0)</f>
        <v>0</v>
      </c>
      <c r="I900" s="73" t="n">
        <f aca="false">IF(AND(I889=1,$P$21=1,$P$22=1),MIN(I896-I898,I899),0)</f>
        <v>0</v>
      </c>
      <c r="J900" s="73" t="n">
        <f aca="false">IF(AND(J889=1,$P$21=1,$P$22=1),MIN(J896-J898,J899),0)</f>
        <v>0</v>
      </c>
      <c r="K900" s="73" t="n">
        <f aca="false">IF(AND(K889=1,$P$21=1,$P$22=1),MIN(K896-K898,K899),0)</f>
        <v>0</v>
      </c>
      <c r="L900" s="73" t="n">
        <f aca="false">IF(AND(L889=1,$P$21=1,$P$22=1),MIN(L896-L898,L899),0)</f>
        <v>0</v>
      </c>
      <c r="M900" s="73" t="n">
        <f aca="false">IF(AND(M889=1,$P$21=1,$P$22=1),MIN(M896-M898,M899),0)</f>
        <v>0</v>
      </c>
      <c r="N900" s="73" t="n">
        <f aca="false">IF(AND(N889=1,$P$21=1,$P$22=1),MIN(N896-N898,N899),0)</f>
        <v>0</v>
      </c>
      <c r="O900" s="73" t="n">
        <f aca="false">IF(AND(O889=1,$P$21=1,$P$22=1),MIN(O896-O898,O899),0)</f>
        <v>0</v>
      </c>
    </row>
    <row r="901" customFormat="false" ht="15" hidden="false" customHeight="false" outlineLevel="0" collapsed="false">
      <c r="B901" s="65" t="s">
        <v>1031</v>
      </c>
      <c r="C901" s="65" t="n">
        <v>0</v>
      </c>
      <c r="D901" s="65" t="n">
        <f aca="false">IF(C901=1,1,IF(AND(D889=1,$P$21=1,C905&gt;=Gate_dates,D896-D898-D900&gt;0.000001),1,0))</f>
        <v>0</v>
      </c>
      <c r="E901" s="65" t="n">
        <f aca="false">IF(D901=1,1,IF(AND(E889=1,$P$21=1,D905&gt;=Gate_dates,E896-E898-E900&gt;0.000001),1,0))</f>
        <v>0</v>
      </c>
      <c r="F901" s="65" t="n">
        <f aca="false">IF(E901=1,1,IF(AND(F889=1,$P$21=1,E905&gt;=Gate_dates,F896-F898-F900&gt;0.000001),1,0))</f>
        <v>0</v>
      </c>
      <c r="G901" s="65" t="n">
        <f aca="false">IF(F901=1,1,IF(AND(G889=1,$P$21=1,F905&gt;=Gate_dates,G896-G898-G900&gt;0.000001),1,0))</f>
        <v>0</v>
      </c>
      <c r="H901" s="65" t="n">
        <f aca="false">IF(G901=1,1,IF(AND(H889=1,$P$21=1,G905&gt;=Gate_dates,H896-H898-H900&gt;0.000001),1,0))</f>
        <v>0</v>
      </c>
      <c r="I901" s="65" t="n">
        <f aca="false">IF(H901=1,1,IF(AND(I889=1,$P$21=1,H905&gt;=Gate_dates,I896-I898-I900&gt;0.000001),1,0))</f>
        <v>0</v>
      </c>
      <c r="J901" s="65" t="n">
        <f aca="false">IF(I901=1,1,IF(AND(J889=1,$P$21=1,I905&gt;=Gate_dates,J896-J898-J900&gt;0.000001),1,0))</f>
        <v>0</v>
      </c>
      <c r="K901" s="65" t="n">
        <f aca="false">IF(J901=1,1,IF(AND(K889=1,$P$21=1,J905&gt;=Gate_dates,K896-K898-K900&gt;0.000001),1,0))</f>
        <v>0</v>
      </c>
      <c r="L901" s="65" t="n">
        <f aca="false">IF(K901=1,1,IF(AND(L889=1,$P$21=1,K905&gt;=Gate_dates,L896-L898-L900&gt;0.000001),1,0))</f>
        <v>1</v>
      </c>
      <c r="M901" s="65" t="n">
        <f aca="false">IF(L901=1,1,IF(AND(M889=1,$P$21=1,L905&gt;=Gate_dates,M896-M898-M900&gt;0.000001),1,0))</f>
        <v>1</v>
      </c>
      <c r="N901" s="65" t="n">
        <f aca="false">IF(M901=1,1,IF(AND(N889=1,$P$21=1,M905&gt;=Gate_dates,N896-N898-N900&gt;0.000001),1,0))</f>
        <v>1</v>
      </c>
      <c r="O901" s="65" t="n">
        <f aca="false">IF(N901=1,1,IF(AND(O889=1,$P$21=1,N905&gt;=Gate_dates,O896-O898-O900&gt;0.000001),1,0))</f>
        <v>1</v>
      </c>
    </row>
    <row r="902" customFormat="false" ht="15" hidden="false" customHeight="false" outlineLevel="0" collapsed="false">
      <c r="B902" s="65" t="s">
        <v>1032</v>
      </c>
      <c r="C902" s="25"/>
      <c r="D902" s="73" t="n">
        <f aca="false">IF(D901=1,0,D898+D900)</f>
        <v>2500000</v>
      </c>
      <c r="E902" s="73" t="n">
        <f aca="false">IF(E901=1,0,E898+E900)</f>
        <v>0</v>
      </c>
      <c r="F902" s="73" t="n">
        <f aca="false">IF(F901=1,0,F898+F900)</f>
        <v>2441157.58566406</v>
      </c>
      <c r="G902" s="73" t="n">
        <f aca="false">IF(G901=1,0,G898+G900)</f>
        <v>0</v>
      </c>
      <c r="H902" s="73" t="n">
        <f aca="false">IF(H901=1,0,H898+H900)</f>
        <v>2391324.47227697</v>
      </c>
      <c r="I902" s="73" t="n">
        <f aca="false">IF(I901=1,0,I898+I900)</f>
        <v>0</v>
      </c>
      <c r="J902" s="73" t="n">
        <f aca="false">IF(J901=1,0,J898+J900)</f>
        <v>2346536.45275002</v>
      </c>
      <c r="K902" s="73" t="n">
        <f aca="false">IF(K901=1,0,K898+K900)</f>
        <v>0</v>
      </c>
      <c r="L902" s="73" t="n">
        <f aca="false">IF(L901=1,0,L898+L900)</f>
        <v>0</v>
      </c>
      <c r="M902" s="73" t="n">
        <f aca="false">IF(M901=1,0,M898+M900)</f>
        <v>0</v>
      </c>
      <c r="N902" s="73" t="n">
        <f aca="false">IF(N901=1,0,N898+N900)</f>
        <v>0</v>
      </c>
      <c r="O902" s="73" t="n">
        <f aca="false">IF(O901=1,0,O898+O900)</f>
        <v>0</v>
      </c>
    </row>
    <row r="903" customFormat="false" ht="15" hidden="false" customHeight="false" outlineLevel="0" collapsed="false">
      <c r="B903" s="65" t="s">
        <v>1033</v>
      </c>
      <c r="C903" s="73" t="n">
        <v>0</v>
      </c>
      <c r="D903" s="73" t="n">
        <f aca="false">D896-D902</f>
        <v>5000000</v>
      </c>
      <c r="E903" s="73" t="n">
        <f aca="false">E896-E902</f>
        <v>5000000</v>
      </c>
      <c r="F903" s="73" t="n">
        <f aca="false">F896-F902</f>
        <v>9882315.17132812</v>
      </c>
      <c r="G903" s="73" t="n">
        <f aca="false">G896-G902</f>
        <v>9882315.17132812</v>
      </c>
      <c r="H903" s="73" t="n">
        <f aca="false">H896-H902</f>
        <v>14664964.1158821</v>
      </c>
      <c r="I903" s="73" t="n">
        <f aca="false">I896-I902</f>
        <v>14664964.1158821</v>
      </c>
      <c r="J903" s="73" t="n">
        <f aca="false">J896-J902</f>
        <v>19358037.0213821</v>
      </c>
      <c r="K903" s="73" t="n">
        <f aca="false">K896-K902</f>
        <v>19358037.0213821</v>
      </c>
      <c r="L903" s="73" t="n">
        <f aca="false">L896-L902</f>
        <v>26270081.8750837</v>
      </c>
      <c r="M903" s="73" t="n">
        <f aca="false">M896-M902</f>
        <v>26270081.8750837</v>
      </c>
      <c r="N903" s="73" t="n">
        <f aca="false">N896-N902</f>
        <v>26270081.8750837</v>
      </c>
      <c r="O903" s="73" t="n">
        <f aca="false">O896-O902</f>
        <v>26270081.8750837</v>
      </c>
    </row>
    <row r="904" customFormat="false" ht="15" hidden="false" customHeight="false" outlineLevel="0" collapsed="false">
      <c r="B904" s="65" t="s">
        <v>1034</v>
      </c>
      <c r="C904" s="25"/>
      <c r="D904" s="65" t="n">
        <f aca="false">IF(AND(D889=1,D901=0,D903&gt;0.000001),1,0)</f>
        <v>1</v>
      </c>
      <c r="E904" s="65" t="n">
        <f aca="false">IF(AND(E889=1,E901=0,E903&gt;0.000001),1,0)</f>
        <v>0</v>
      </c>
      <c r="F904" s="65" t="n">
        <f aca="false">IF(AND(F889=1,F901=0,F903&gt;0.000001),1,0)</f>
        <v>1</v>
      </c>
      <c r="G904" s="65" t="n">
        <f aca="false">IF(AND(G889=1,G901=0,G903&gt;0.000001),1,0)</f>
        <v>0</v>
      </c>
      <c r="H904" s="65" t="n">
        <f aca="false">IF(AND(H889=1,H901=0,H903&gt;0.000001),1,0)</f>
        <v>1</v>
      </c>
      <c r="I904" s="65" t="n">
        <f aca="false">IF(AND(I889=1,I901=0,I903&gt;0.000001),1,0)</f>
        <v>0</v>
      </c>
      <c r="J904" s="65" t="n">
        <f aca="false">IF(AND(J889=1,J901=0,J903&gt;0.000001),1,0)</f>
        <v>1</v>
      </c>
      <c r="K904" s="65" t="n">
        <f aca="false">IF(AND(K889=1,K901=0,K903&gt;0.000001),1,0)</f>
        <v>0</v>
      </c>
      <c r="L904" s="65" t="n">
        <f aca="false">IF(AND(L889=1,L901=0,L903&gt;0.000001),1,0)</f>
        <v>0</v>
      </c>
      <c r="M904" s="65" t="n">
        <f aca="false">IF(AND(M889=1,M901=0,M903&gt;0.000001),1,0)</f>
        <v>0</v>
      </c>
      <c r="N904" s="65" t="n">
        <f aca="false">IF(AND(N889=1,N901=0,N903&gt;0.000001),1,0)</f>
        <v>0</v>
      </c>
      <c r="O904" s="65" t="n">
        <f aca="false">IF(AND(O889=1,O901=0,O903&gt;0.000001),1,0)</f>
        <v>0</v>
      </c>
    </row>
    <row r="905" customFormat="false" ht="15" hidden="false" customHeight="false" outlineLevel="0" collapsed="false">
      <c r="B905" s="65" t="s">
        <v>843</v>
      </c>
      <c r="C905" s="65" t="n">
        <v>0</v>
      </c>
      <c r="D905" s="65" t="n">
        <f aca="false">IF(D889=1,IF(D904=1,C905+1,0),C905)</f>
        <v>1</v>
      </c>
      <c r="E905" s="65" t="n">
        <f aca="false">IF(E889=1,IF(E904=1,D905+1,0),D905)</f>
        <v>1</v>
      </c>
      <c r="F905" s="65" t="n">
        <f aca="false">IF(F889=1,IF(F904=1,E905+1,0),E905)</f>
        <v>2</v>
      </c>
      <c r="G905" s="65" t="n">
        <f aca="false">IF(G889=1,IF(G904=1,F905+1,0),F905)</f>
        <v>2</v>
      </c>
      <c r="H905" s="65" t="n">
        <f aca="false">IF(H889=1,IF(H904=1,G905+1,0),G905)</f>
        <v>3</v>
      </c>
      <c r="I905" s="65" t="n">
        <f aca="false">IF(I889=1,IF(I904=1,H905+1,0),H905)</f>
        <v>3</v>
      </c>
      <c r="J905" s="65" t="n">
        <f aca="false">IF(J889=1,IF(J904=1,I905+1,0),I905)</f>
        <v>4</v>
      </c>
      <c r="K905" s="65" t="n">
        <f aca="false">IF(K889=1,IF(K904=1,J905+1,0),J905)</f>
        <v>4</v>
      </c>
      <c r="L905" s="65" t="n">
        <f aca="false">IF(L889=1,IF(L904=1,K905+1,0),K905)</f>
        <v>0</v>
      </c>
      <c r="M905" s="65" t="n">
        <f aca="false">IF(M889=1,IF(M904=1,L905+1,0),L905)</f>
        <v>0</v>
      </c>
      <c r="N905" s="65" t="n">
        <f aca="false">IF(N889=1,IF(N904=1,M905+1,0),M905)</f>
        <v>0</v>
      </c>
      <c r="O905" s="65" t="n">
        <f aca="false">IF(O889=1,IF(O904=1,N905+1,0),N905)</f>
        <v>0</v>
      </c>
    </row>
    <row r="906" customFormat="false" ht="15" hidden="false" customHeight="false" outlineLevel="0" collapsed="false">
      <c r="B906" s="65" t="s">
        <v>1035</v>
      </c>
      <c r="C906" s="73" t="n">
        <f aca="false">AN_cible*Ws_MAPIF</f>
        <v>12500000</v>
      </c>
      <c r="D906" s="73" t="n">
        <f aca="false">C906*(1+Rend_MAPIF/4)*IF(D887=1,(1-(Cap_MAPIF*$P$15+(1-Cap_MAPIF)*$P$16))*(1+1*$P$14),1)+D916-D910-D931*IF((C906+C907+C908+C909)&gt;0,C906/(C906+C907+C908+C909),0)</f>
        <v>12971562.5</v>
      </c>
      <c r="E906" s="73" t="n">
        <f aca="false">D906*(1+Rend_MAPIF/4)*IF(E887=1,(1-(Cap_MAPIF*$P$15+(1-Cap_MAPIF)*$P$16))*(1+1*$P$14),1)+E916-E910-E931*IF((D906+D907+D908+D909)&gt;0,D906/(D906+D907+D908+D909),0)</f>
        <v>13446767.8203125</v>
      </c>
      <c r="F906" s="73" t="n">
        <f aca="false">E906*(1+Rend_MAPIF/4)*IF(F887=1,(1-(Cap_MAPIF*$P$15+(1-Cap_MAPIF)*$P$16))*(1+1*$P$14),1)+F916-F910-F931*IF((E906+E907+E908+E909)&gt;0,E906/(E906+E907+E908+E909),0)</f>
        <v>13925644.1017244</v>
      </c>
      <c r="G906" s="73" t="n">
        <f aca="false">F906*(1+Rend_MAPIF/4)*IF(G887=1,(1-(Cap_MAPIF*$P$15+(1-Cap_MAPIF)*$P$16))*(1+1*$P$14),1)+G916-G910-G931*IF((F906+F907+F908+F909)&gt;0,F906/(F906+F907+F908+F909),0)</f>
        <v>14408219.7024102</v>
      </c>
      <c r="H906" s="73" t="n">
        <f aca="false">G906*(1+Rend_MAPIF/4)*IF(H887=1,(1-(Cap_MAPIF*$P$15+(1-Cap_MAPIF)*$P$16))*(1+1*$P$14),1)+H916-H910-H931*IF((G906+G907+G908+G909)&gt;0,G906/(G906+G907+G908+G909),0)</f>
        <v>14894523.1996114</v>
      </c>
      <c r="I906" s="73" t="n">
        <f aca="false">H906*(1+Rend_MAPIF/4)*IF(I887=1,(1-(Cap_MAPIF*$P$15+(1-Cap_MAPIF)*$P$16))*(1+1*$P$14),1)+I916-I910-I931*IF((H906+H907+H908+H909)&gt;0,H906/(H906+H907+H908+H909),0)</f>
        <v>15384583.3913284</v>
      </c>
      <c r="J906" s="73" t="n">
        <f aca="false">I906*(1+Rend_MAPIF/4)*IF(J887=1,(1-(Cap_MAPIF*$P$15+(1-Cap_MAPIF)*$P$16))*(1+1*$P$14),1)+J916-J910-J931*IF((I906+I907+I908+I909)&gt;0,I906/(I906+I907+I908+I909),0)</f>
        <v>15878429.2980264</v>
      </c>
      <c r="K906" s="73" t="n">
        <f aca="false">J906*(1+Rend_MAPIF/4)*IF(K887=1,(1-(Cap_MAPIF*$P$15+(1-Cap_MAPIF)*$P$16))*(1+1*$P$14),1)+K916-K910-K931*IF((J906+J907+J908+J909)&gt;0,J906/(J906+J907+J908+J909),0)</f>
        <v>16376090.1643536</v>
      </c>
      <c r="L906" s="73" t="n">
        <f aca="false">K906*(1+Rend_MAPIF/4)*IF(L887=1,(1-(Cap_MAPIF*$P$15+(1-Cap_MAPIF)*$P$16))*(1+1*$P$14),1)+L916-L910-L931*IF((K906+K907+K908+K909)&gt;0,K906/(K906+K907+K908+K909),0)</f>
        <v>16877595.4608733</v>
      </c>
      <c r="M906" s="73" t="n">
        <f aca="false">L906*(1+Rend_MAPIF/4)*IF(M887=1,(1-(Cap_MAPIF*$P$15+(1-Cap_MAPIF)*$P$16))*(1+1*$P$14),1)+M916-M910-M931*IF((L906+L907+L908+L909)&gt;0,L906/(L906+L907+L908+L909),0)</f>
        <v>17382974.8858085</v>
      </c>
      <c r="N906" s="73" t="n">
        <f aca="false">M906*(1+Rend_MAPIF/4)*IF(N887=1,(1-(Cap_MAPIF*$P$15+(1-Cap_MAPIF)*$P$16))*(1+1*$P$14),1)+N916-N910-N931*IF((M906+M907+M908+M909)&gt;0,M906/(M906+M907+M908+M909),0)</f>
        <v>17892258.3668014</v>
      </c>
      <c r="O906" s="73" t="n">
        <f aca="false">N906*(1+Rend_MAPIF/4)*IF(O887=1,(1-(Cap_MAPIF*$P$15+(1-Cap_MAPIF)*$P$16))*(1+1*$P$14),1)+O916-O910-O931*IF((N906+N907+N908+N909)&gt;0,N906/(N906+N907+N908+N909),0)</f>
        <v>18405476.0626849</v>
      </c>
    </row>
    <row r="907" customFormat="false" ht="15" hidden="false" customHeight="false" outlineLevel="0" collapsed="false">
      <c r="B907" s="65" t="s">
        <v>1036</v>
      </c>
      <c r="C907" s="73" t="n">
        <f aca="false">AN_cible*Ws_MSIG</f>
        <v>5500000</v>
      </c>
      <c r="D907" s="73" t="n">
        <f aca="false">C907*(1+Rend_MSIG/4)*IF(D887=1,(1-(Cap_MSIG*$P$15+(1-Cap_MSIG)*$P$16))*(1+MSIG_USD*$P$14),1)+D917-D911-D931*IF((C906+C907+C908+C909)&gt;0,C907/(C906+C907+C908+C909),0)</f>
        <v>5773237.5</v>
      </c>
      <c r="E907" s="73" t="n">
        <f aca="false">D907*(1+Rend_MSIG/4)*IF(E887=1,(1-(Cap_MSIG*$P$15+(1-Cap_MSIG)*$P$16))*(1+MSIG_USD*$P$14),1)+E917-E911-E931*IF((D906+D907+D908+D909)&gt;0,D907/(D906+D907+D908+D909),0)</f>
        <v>6047629.4284375</v>
      </c>
      <c r="F907" s="73" t="n">
        <f aca="false">E907*(1+Rend_MSIG/4)*IF(F887=1,(1-(Cap_MSIG*$P$15+(1-Cap_MSIG)*$P$16))*(1+MSIG_USD*$P$14),1)+F917-F911-F931*IF((E906+E907+E908+E909)&gt;0,E907/(E906+E907+E908+E909),0)</f>
        <v>6323180.66277265</v>
      </c>
      <c r="G907" s="73" t="n">
        <f aca="false">F907*(1+Rend_MSIG/4)*IF(G887=1,(1-(Cap_MSIG*$P$15+(1-Cap_MSIG)*$P$16))*(1+MSIG_USD*$P$14),1)+G917-G911-G931*IF((F906+F907+F908+F909)&gt;0,F907/(F906+F907+F908+F909),0)</f>
        <v>6599896.10107286</v>
      </c>
      <c r="H907" s="73" t="n">
        <f aca="false">G907*(1+Rend_MSIG/4)*IF(H887=1,(1-(Cap_MSIG*$P$15+(1-Cap_MSIG)*$P$16))*(1+MSIG_USD*$P$14),1)+H917-H911-H931*IF((G906+G907+G908+G909)&gt;0,G907/(G906+G907+G908+G909),0)</f>
        <v>6877780.6620999</v>
      </c>
      <c r="I907" s="73" t="n">
        <f aca="false">H907*(1+Rend_MSIG/4)*IF(I887=1,(1-(Cap_MSIG*$P$15+(1-Cap_MSIG)*$P$16))*(1+MSIG_USD*$P$14),1)+I917-I911-I931*IF((H906+H907+H908+H909)&gt;0,H907/(H906+H907+H908+H909),0)</f>
        <v>7156839.28539727</v>
      </c>
      <c r="J907" s="73" t="n">
        <f aca="false">I907*(1+Rend_MSIG/4)*IF(J887=1,(1-(Cap_MSIG*$P$15+(1-Cap_MSIG)*$P$16))*(1+MSIG_USD*$P$14),1)+J917-J911-J931*IF((I906+I907+I908+I909)&gt;0,I907/(I906+I907+I908+I909),0)</f>
        <v>7437076.93137807</v>
      </c>
      <c r="K907" s="73" t="n">
        <f aca="false">J907*(1+Rend_MSIG/4)*IF(K887=1,(1-(Cap_MSIG*$P$15+(1-Cap_MSIG)*$P$16))*(1+MSIG_USD*$P$14),1)+K917-K911-K931*IF((J906+J907+J908+J909)&gt;0,J907/(J906+J907+J908+J909),0)</f>
        <v>7718498.58141314</v>
      </c>
      <c r="L907" s="73" t="n">
        <f aca="false">K907*(1+Rend_MSIG/4)*IF(L887=1,(1-(Cap_MSIG*$P$15+(1-Cap_MSIG)*$P$16))*(1+MSIG_USD*$P$14),1)+L917-L911-L931*IF((K906+K907+K908+K909)&gt;0,K907/(K906+K907+K908+K909),0)</f>
        <v>8001109.23791962</v>
      </c>
      <c r="M907" s="73" t="n">
        <f aca="false">L907*(1+Rend_MSIG/4)*IF(M887=1,(1-(Cap_MSIG*$P$15+(1-Cap_MSIG)*$P$16))*(1+MSIG_USD*$P$14),1)+M917-M911-M931*IF((L906+L907+L908+L909)&gt;0,L907/(L906+L907+L908+L909),0)</f>
        <v>8284913.92444983</v>
      </c>
      <c r="N907" s="73" t="n">
        <f aca="false">M907*(1+Rend_MSIG/4)*IF(N887=1,(1-(Cap_MSIG*$P$15+(1-Cap_MSIG)*$P$16))*(1+MSIG_USD*$P$14),1)+N917-N911-N931*IF((M906+M907+M908+M909)&gt;0,M907/(M906+M907+M908+M909),0)</f>
        <v>8569917.68578063</v>
      </c>
      <c r="O907" s="73" t="n">
        <f aca="false">N907*(1+Rend_MSIG/4)*IF(O887=1,(1-(Cap_MSIG*$P$15+(1-Cap_MSIG)*$P$16))*(1+MSIG_USD*$P$14),1)+O917-O911-O931*IF((N906+N907+N908+N909)&gt;0,N907/(N906+N907+N908+N909),0)</f>
        <v>8856125.58800305</v>
      </c>
    </row>
    <row r="908" customFormat="false" ht="15" hidden="false" customHeight="false" outlineLevel="0" collapsed="false">
      <c r="B908" s="65" t="s">
        <v>1037</v>
      </c>
      <c r="C908" s="73" t="n">
        <f aca="false">AN_cible*Ws_PG</f>
        <v>12250000</v>
      </c>
      <c r="D908" s="73" t="n">
        <f aca="false">C908*(1+Rend_PG/4)*IF(D887=1,(1-(Cap_PG*$P$15+(1-Cap_PG)*$P$16))*(1+0*$P$14),1)-D912-D928*IF((D918+D919)&gt;0,D918/(D918+D919),0)+D933/2-D931*IF((C906+C907+C908+C909)&gt;0,C908/(C906+C907+C908+C909),0)</f>
        <v>11888931.25</v>
      </c>
      <c r="E908" s="73" t="n">
        <f aca="false">D908*(1+Rend_PG/4)*IF(E887=1,(1-(Cap_PG*$P$15+(1-Cap_PG)*$P$16))*(1+0*$P$14),1)-E912-E928*IF((E918+E919)&gt;0,E918/(E918+E919),0)+E933/2-E931*IF((D906+D907+D908+D909)&gt;0,D908/(D906+D907+D908+D909),0)</f>
        <v>11538505.0014063</v>
      </c>
      <c r="F908" s="73" t="n">
        <f aca="false">E908*(1+Rend_PG/4)*IF(F887=1,(1-(Cap_PG*$P$15+(1-Cap_PG)*$P$16))*(1+0*$P$14),1)-F912-F928*IF((F918+F919)&gt;0,F918/(F918+F919),0)+F933/2-F931*IF((E906+E907+E908+E909)&gt;0,E908/(E906+E907+E908+E909),0)</f>
        <v>11198407.5664898</v>
      </c>
      <c r="G908" s="73" t="n">
        <f aca="false">F908*(1+Rend_PG/4)*IF(G887=1,(1-(Cap_PG*$P$15+(1-Cap_PG)*$P$16))*(1+0*$P$14),1)-G912-G928*IF((G918+G919)&gt;0,G918/(G918+G919),0)+G933/2-G931*IF((F906+F907+F908+F909)&gt;0,F908/(F906+F907+F908+F909),0)</f>
        <v>10868334.5034675</v>
      </c>
      <c r="H908" s="73" t="n">
        <f aca="false">G908*(1+Rend_PG/4)*IF(H887=1,(1-(Cap_PG*$P$15+(1-Cap_PG)*$P$16))*(1+0*$P$14),1)-H912-H928*IF((H918+H919)&gt;0,H918/(H918+H919),0)+H933/2-H931*IF((G906+G907+G908+G909)&gt;0,G908/(G906+G907+G908+G909),0)</f>
        <v>10547990.3439778</v>
      </c>
      <c r="I908" s="73" t="n">
        <f aca="false">H908*(1+Rend_PG/4)*IF(I887=1,(1-(Cap_PG*$P$15+(1-Cap_PG)*$P$16))*(1+0*$P$14),1)-I912-I928*IF((I918+I919)&gt;0,I918/(I918+I919),0)+I933/2-I931*IF((H906+H907+H908+H909)&gt;0,H908/(H906+H907+H908+H909),0)</f>
        <v>10237088.3285891</v>
      </c>
      <c r="J908" s="73" t="n">
        <f aca="false">I908*(1+Rend_PG/4)*IF(J887=1,(1-(Cap_PG*$P$15+(1-Cap_PG)*$P$16))*(1+0*$P$14),1)-J912-J928*IF((J918+J919)&gt;0,J918/(J918+J919),0)+J933/2-J931*IF((I906+I907+I908+I909)&gt;0,I908/(I906+I907+I908+I909),0)</f>
        <v>9935350.1501039</v>
      </c>
      <c r="K908" s="73" t="n">
        <f aca="false">J908*(1+Rend_PG/4)*IF(K887=1,(1-(Cap_PG*$P$15+(1-Cap_PG)*$P$16))*(1+0*$P$14),1)-K912-K928*IF((K918+K919)&gt;0,K918/(K918+K919),0)+K933/2-K931*IF((J906+J907+J908+J909)&gt;0,J908/(J906+J907+J908+J909),0)</f>
        <v>9642505.70442959</v>
      </c>
      <c r="L908" s="73" t="n">
        <f aca="false">K908*(1+Rend_PG/4)*IF(L887=1,(1-(Cap_PG*$P$15+(1-Cap_PG)*$P$16))*(1+0*$P$14),1)-L912-L928*IF((L918+L919)&gt;0,L918/(L918+L919),0)+L933/2-L931*IF((K906+K907+K908+K909)&gt;0,K908/(K906+K907+K908+K909),0)</f>
        <v>9358292.84879153</v>
      </c>
      <c r="M908" s="73" t="n">
        <f aca="false">L908*(1+Rend_PG/4)*IF(M887=1,(1-(Cap_PG*$P$15+(1-Cap_PG)*$P$16))*(1+0*$P$14),1)-M912-M928*IF((M918+M919)&gt;0,M918/(M918+M919),0)+M933/2-M931*IF((L906+L907+L908+L909)&gt;0,L908/(L906+L907+L908+L909),0)</f>
        <v>9082457.1670734</v>
      </c>
      <c r="N908" s="73" t="n">
        <f aca="false">M908*(1+Rend_PG/4)*IF(N887=1,(1-(Cap_PG*$P$15+(1-Cap_PG)*$P$16))*(1+0*$P$14),1)-N912-N928*IF((N918+N919)&gt;0,N918/(N918+N919),0)+N933/2-N931*IF((M906+M907+M908+M909)&gt;0,M908/(M906+M907+M908+M909),0)</f>
        <v>8814751.74207391</v>
      </c>
      <c r="O908" s="73" t="n">
        <f aca="false">N908*(1+Rend_PG/4)*IF(O887=1,(1-(Cap_PG*$P$15+(1-Cap_PG)*$P$16))*(1+0*$P$14),1)-O912-O928*IF((O918+O919)&gt;0,O918/(O918+O919),0)+O933/2-O931*IF((N906+N907+N908+N909)&gt;0,N908/(N906+N907+N908+N909),0)</f>
        <v>8554936.93447628</v>
      </c>
    </row>
    <row r="909" customFormat="false" ht="15" hidden="false" customHeight="false" outlineLevel="0" collapsed="false">
      <c r="B909" s="65" t="s">
        <v>1038</v>
      </c>
      <c r="C909" s="73" t="n">
        <f aca="false">AN_cible*Ws_ARES</f>
        <v>12250000</v>
      </c>
      <c r="D909" s="73" t="n">
        <f aca="false">C909*(1+Rend_ARES/4)*IF(D887=1,(1-(Cap_ARES*$P$15+(1-Cap_ARES)*$P$16))*(1+0*$P$14),1)-D913-D928*IF((D918+D919)&gt;0,D919/(D918+D919),0)/(1-IF(D887&lt;=Deduc_trim,Deduc_ares,0))+D933/2-D931*IF((C906+C907+C908+C909)&gt;0,C909/(C906+C907+C908+C909),0)</f>
        <v>11727537.5</v>
      </c>
      <c r="E909" s="73" t="n">
        <f aca="false">D909*(1+Rend_ARES/4)*IF(E887=1,(1-(Cap_ARES*$P$15+(1-Cap_ARES)*$P$16))*(1+0*$P$14),1)-E913-E928*IF((E918+E919)&gt;0,E919/(E918+E919),0)/(1-IF(E887&lt;=Deduc_trim,Deduc_ares,0))+E933/2-E931*IF((D906+D907+D908+D909)&gt;0,D909/(D906+D907+D908+D909),0)</f>
        <v>11227358.025625</v>
      </c>
      <c r="F909" s="73" t="n">
        <f aca="false">E909*(1+Rend_ARES/4)*IF(F887=1,(1-(Cap_ARES*$P$15+(1-Cap_ARES)*$P$16))*(1+0*$P$14),1)-F913-F928*IF((F918+F919)&gt;0,F919/(F918+F919),0)/(1-IF(F887&lt;=Deduc_trim,Deduc_ares,0))+F933/2-F931*IF((E906+E907+E908+E909)&gt;0,E909/(E906+E907+E908+E909),0)</f>
        <v>10748511.2058321</v>
      </c>
      <c r="G909" s="73" t="n">
        <f aca="false">F909*(1+Rend_ARES/4)*IF(G887=1,(1-(Cap_ARES*$P$15+(1-Cap_ARES)*$P$16))*(1+0*$P$14),1)-G913-G928*IF((G918+G919)&gt;0,G919/(G918+G919),0)/(1-IF(G887&lt;=Deduc_trim,Deduc_ares,0))+G933/2-G931*IF((F906+F907+F908+F909)&gt;0,F909/(F906+F907+F908+F909),0)</f>
        <v>10290087.2029034</v>
      </c>
      <c r="H909" s="73" t="n">
        <f aca="false">G909*(1+Rend_ARES/4)*IF(H887=1,(1-(Cap_ARES*$P$15+(1-Cap_ARES)*$P$16))*(1+0*$P$14),1)-H913-H928*IF((H918+H919)&gt;0,H919/(H918+H919),0)/(1-IF(H887&lt;=Deduc_trim,Deduc_ares,0))+H933/2-H931*IF((G906+G907+G908+G909)&gt;0,G909/(G906+G907+G908+G909),0)</f>
        <v>9851214.98369952</v>
      </c>
      <c r="I909" s="73" t="n">
        <f aca="false">H909*(1+Rend_ARES/4)*IF(I887=1,(1-(Cap_ARES*$P$15+(1-Cap_ARES)*$P$16))*(1+0*$P$14),1)-I913-I928*IF((I918+I919)&gt;0,I919/(I918+I919),0)/(1-IF(I887&lt;=Deduc_trim,Deduc_ares,0))+I933/2-I931*IF((H906+H907+H908+H909)&gt;0,H909/(H906+H907+H908+H909),0)</f>
        <v>9431060.66464474</v>
      </c>
      <c r="J909" s="73" t="n">
        <f aca="false">I909*(1+Rend_ARES/4)*IF(J887=1,(1-(Cap_ARES*$P$15+(1-Cap_ARES)*$P$16))*(1+0*$P$14),1)-J913-J928*IF((J918+J919)&gt;0,J919/(J918+J919),0)/(1-IF(J887&lt;=Deduc_trim,Deduc_ares,0))+J933/2-J931*IF((I906+I907+I908+I909)&gt;0,I909/(I906+I907+I908+I909),0)</f>
        <v>9028825.92729764</v>
      </c>
      <c r="K909" s="73" t="n">
        <f aca="false">J909*(1+Rend_ARES/4)*IF(K887=1,(1-(Cap_ARES*$P$15+(1-Cap_ARES)*$P$16))*(1+0*$P$14),1)-K913-K928*IF((K918+K919)&gt;0,K919/(K918+K919),0)/(1-IF(K887&lt;=Deduc_trim,Deduc_ares,0))+K933/2-K931*IF((J906+J907+J908+J909)&gt;0,J909/(J906+J907+J908+J909),0)</f>
        <v>8643746.5014984</v>
      </c>
      <c r="L909" s="73" t="n">
        <f aca="false">K909*(1+Rend_ARES/4)*IF(L887=1,(1-(Cap_ARES*$P$15+(1-Cap_ARES)*$P$16))*(1+0*$P$14),1)-L913-L928*IF((L918+L919)&gt;0,L919/(L918+L919),0)/(1-IF(L887&lt;=Deduc_trim,Deduc_ares,0))+L933/2-L931*IF((K906+K907+K908+K909)&gt;0,K909/(K906+K907+K908+K909),0)</f>
        <v>8275090.71320949</v>
      </c>
      <c r="M909" s="73" t="n">
        <f aca="false">L909*(1+Rend_ARES/4)*IF(M887=1,(1-(Cap_ARES*$P$15+(1-Cap_ARES)*$P$16))*(1+0*$P$14),1)-M913-M928*IF((M918+M919)&gt;0,M919/(M918+M919),0)/(1-IF(M887&lt;=Deduc_trim,Deduc_ares,0))+M933/2-M931*IF((L906+L907+L908+L909)&gt;0,L909/(L906+L907+L908+L909),0)</f>
        <v>7922158.0942911</v>
      </c>
      <c r="N909" s="73" t="n">
        <f aca="false">M909*(1+Rend_ARES/4)*IF(N887=1,(1-(Cap_ARES*$P$15+(1-Cap_ARES)*$P$16))*(1+0*$P$14),1)-N913-N928*IF((N918+N919)&gt;0,N919/(N918+N919),0)/(1-IF(N887&lt;=Deduc_trim,Deduc_ares,0))+N933/2-N931*IF((M906+M907+M908+M909)&gt;0,M909/(M906+M907+M908+M909),0)</f>
        <v>7584278.05156959</v>
      </c>
      <c r="O909" s="73" t="n">
        <f aca="false">N909*(1+Rend_ARES/4)*IF(O887=1,(1-(Cap_ARES*$P$15+(1-Cap_ARES)*$P$16))*(1+0*$P$14),1)-O913-O928*IF((O918+O919)&gt;0,O919/(O918+O919),0)/(1-IF(O887&lt;=Deduc_trim,Deduc_ares,0))+O933/2-O931*IF((N906+N907+N908+N909)&gt;0,N909/(N906+N907+N908+N909),0)</f>
        <v>7260808.59267014</v>
      </c>
    </row>
    <row r="910" customFormat="false" ht="15" hidden="false" customHeight="false" outlineLevel="0" collapsed="false">
      <c r="B910" s="65" t="s">
        <v>1039</v>
      </c>
      <c r="C910" s="25"/>
      <c r="D910" s="73" t="n">
        <f aca="false">C906*Dist_MAPIF/4*IF(D887&lt;=$P$11,0,$P$10)</f>
        <v>187500</v>
      </c>
      <c r="E910" s="73" t="n">
        <f aca="false">D906*Dist_MAPIF/4*IF(E887&lt;=$P$11,0,$P$10)</f>
        <v>194573.4375</v>
      </c>
      <c r="F910" s="73" t="n">
        <f aca="false">E906*Dist_MAPIF/4*IF(F887&lt;=$P$11,0,$P$10)</f>
        <v>201701.517304688</v>
      </c>
      <c r="G910" s="73" t="n">
        <f aca="false">F906*Dist_MAPIF/4*IF(G887&lt;=$P$11,0,$P$10)</f>
        <v>208884.661525866</v>
      </c>
      <c r="H910" s="73" t="n">
        <f aca="false">G906*Dist_MAPIF/4*IF(H887&lt;=$P$11,0,$P$10)</f>
        <v>216123.295536154</v>
      </c>
      <c r="I910" s="73" t="n">
        <f aca="false">H906*Dist_MAPIF/4*IF(I887&lt;=$P$11,0,$P$10)</f>
        <v>223417.84799417</v>
      </c>
      <c r="J910" s="73" t="n">
        <f aca="false">I906*Dist_MAPIF/4*IF(J887&lt;=$P$11,0,$P$10)</f>
        <v>230768.750869925</v>
      </c>
      <c r="K910" s="73" t="n">
        <f aca="false">J906*Dist_MAPIF/4*IF(K887&lt;=$P$11,0,$P$10)</f>
        <v>238176.439470396</v>
      </c>
      <c r="L910" s="73" t="n">
        <f aca="false">K906*Dist_MAPIF/4*IF(L887&lt;=$P$11,0,$P$10)</f>
        <v>245641.352465304</v>
      </c>
      <c r="M910" s="73" t="n">
        <f aca="false">L906*Dist_MAPIF/4*IF(M887&lt;=$P$11,0,$P$10)</f>
        <v>253163.931913099</v>
      </c>
      <c r="N910" s="73" t="n">
        <f aca="false">M906*Dist_MAPIF/4*IF(N887&lt;=$P$11,0,$P$10)</f>
        <v>260744.623287128</v>
      </c>
      <c r="O910" s="73" t="n">
        <f aca="false">N906*Dist_MAPIF/4*IF(O887&lt;=$P$11,0,$P$10)</f>
        <v>268383.875502021</v>
      </c>
    </row>
    <row r="911" customFormat="false" ht="15" hidden="false" customHeight="false" outlineLevel="0" collapsed="false">
      <c r="B911" s="65" t="s">
        <v>1040</v>
      </c>
      <c r="C911" s="25"/>
      <c r="D911" s="73" t="n">
        <f aca="false">C907*Dist_MSIG/4*IF(D887&lt;=$P$11,0,$P$10)</f>
        <v>96250</v>
      </c>
      <c r="E911" s="73" t="n">
        <f aca="false">D907*Dist_MSIG/4*IF(E887&lt;=$P$11,0,$P$10)</f>
        <v>101031.65625</v>
      </c>
      <c r="F911" s="73" t="n">
        <f aca="false">E907*Dist_MSIG/4*IF(F887&lt;=$P$11,0,$P$10)</f>
        <v>105833.514997656</v>
      </c>
      <c r="G911" s="73" t="n">
        <f aca="false">F907*Dist_MSIG/4*IF(G887&lt;=$P$11,0,$P$10)</f>
        <v>110655.661598521</v>
      </c>
      <c r="H911" s="73" t="n">
        <f aca="false">G907*Dist_MSIG/4*IF(H887&lt;=$P$11,0,$P$10)</f>
        <v>115498.181768775</v>
      </c>
      <c r="I911" s="73" t="n">
        <f aca="false">H907*Dist_MSIG/4*IF(I887&lt;=$P$11,0,$P$10)</f>
        <v>120361.161586748</v>
      </c>
      <c r="J911" s="73" t="n">
        <f aca="false">I907*Dist_MSIG/4*IF(J887&lt;=$P$11,0,$P$10)</f>
        <v>125244.687494452</v>
      </c>
      <c r="K911" s="73" t="n">
        <f aca="false">J907*Dist_MSIG/4*IF(K887&lt;=$P$11,0,$P$10)</f>
        <v>130148.846299116</v>
      </c>
      <c r="L911" s="73" t="n">
        <f aca="false">K907*Dist_MSIG/4*IF(L887&lt;=$P$11,0,$P$10)</f>
        <v>135073.72517473</v>
      </c>
      <c r="M911" s="73" t="n">
        <f aca="false">L907*Dist_MSIG/4*IF(M887&lt;=$P$11,0,$P$10)</f>
        <v>140019.411663593</v>
      </c>
      <c r="N911" s="73" t="n">
        <f aca="false">M907*Dist_MSIG/4*IF(N887&lt;=$P$11,0,$P$10)</f>
        <v>144985.993677872</v>
      </c>
      <c r="O911" s="73" t="n">
        <f aca="false">N907*Dist_MSIG/4*IF(O887&lt;=$P$11,0,$P$10)</f>
        <v>149973.559501161</v>
      </c>
    </row>
    <row r="912" customFormat="false" ht="15" hidden="false" customHeight="false" outlineLevel="0" collapsed="false">
      <c r="B912" s="65" t="s">
        <v>1041</v>
      </c>
      <c r="C912" s="25"/>
      <c r="D912" s="73" t="n">
        <f aca="false">C908*Dist_PG/4*IF(D887&lt;=$P$11,0,$P$10)</f>
        <v>61250</v>
      </c>
      <c r="E912" s="73" t="n">
        <f aca="false">D908*Dist_PG/4*IF(E887&lt;=$P$11,0,$P$10)</f>
        <v>59444.65625</v>
      </c>
      <c r="F912" s="73" t="n">
        <f aca="false">E908*Dist_PG/4*IF(F887&lt;=$P$11,0,$P$10)</f>
        <v>57692.5250070313</v>
      </c>
      <c r="G912" s="73" t="n">
        <f aca="false">F908*Dist_PG/4*IF(G887&lt;=$P$11,0,$P$10)</f>
        <v>55992.037832449</v>
      </c>
      <c r="H912" s="73" t="n">
        <f aca="false">G908*Dist_PG/4*IF(H887&lt;=$P$11,0,$P$10)</f>
        <v>54341.6725173376</v>
      </c>
      <c r="I912" s="73" t="n">
        <f aca="false">H908*Dist_PG/4*IF(I887&lt;=$P$11,0,$P$10)</f>
        <v>52739.9517198891</v>
      </c>
      <c r="J912" s="73" t="n">
        <f aca="false">I908*Dist_PG/4*IF(J887&lt;=$P$11,0,$P$10)</f>
        <v>51185.4416429453</v>
      </c>
      <c r="K912" s="73" t="n">
        <f aca="false">J908*Dist_PG/4*IF(K887&lt;=$P$11,0,$P$10)</f>
        <v>49676.7507505195</v>
      </c>
      <c r="L912" s="73" t="n">
        <f aca="false">K908*Dist_PG/4*IF(L887&lt;=$P$11,0,$P$10)</f>
        <v>48212.528522148</v>
      </c>
      <c r="M912" s="73" t="n">
        <f aca="false">L908*Dist_PG/4*IF(M887&lt;=$P$11,0,$P$10)</f>
        <v>46791.4642439576</v>
      </c>
      <c r="N912" s="73" t="n">
        <f aca="false">M908*Dist_PG/4*IF(N887&lt;=$P$11,0,$P$10)</f>
        <v>45412.285835367</v>
      </c>
      <c r="O912" s="73" t="n">
        <f aca="false">N908*Dist_PG/4*IF(O887&lt;=$P$11,0,$P$10)</f>
        <v>44073.7587103696</v>
      </c>
    </row>
    <row r="913" customFormat="false" ht="15" hidden="false" customHeight="false" outlineLevel="0" collapsed="false">
      <c r="B913" s="65" t="s">
        <v>1042</v>
      </c>
      <c r="C913" s="25"/>
      <c r="D913" s="73" t="n">
        <f aca="false">C909*Dist_ARES/4*IF(D887&lt;=$P$11,0,$P$10)</f>
        <v>153125</v>
      </c>
      <c r="E913" s="73" t="n">
        <f aca="false">D909*Dist_ARES/4*IF(E887&lt;=$P$11,0,$P$10)</f>
        <v>146594.21875</v>
      </c>
      <c r="F913" s="73" t="n">
        <f aca="false">E909*Dist_ARES/4*IF(F887&lt;=$P$11,0,$P$10)</f>
        <v>140341.975320313</v>
      </c>
      <c r="G913" s="73" t="n">
        <f aca="false">F909*Dist_ARES/4*IF(G887&lt;=$P$11,0,$P$10)</f>
        <v>134356.390072901</v>
      </c>
      <c r="H913" s="73" t="n">
        <f aca="false">G909*Dist_ARES/4*IF(H887&lt;=$P$11,0,$P$10)</f>
        <v>128626.090036292</v>
      </c>
      <c r="I913" s="73" t="n">
        <f aca="false">H909*Dist_ARES/4*IF(I887&lt;=$P$11,0,$P$10)</f>
        <v>123140.187296244</v>
      </c>
      <c r="J913" s="73" t="n">
        <f aca="false">I909*Dist_ARES/4*IF(J887&lt;=$P$11,0,$P$10)</f>
        <v>117888.258308059</v>
      </c>
      <c r="K913" s="73" t="n">
        <f aca="false">J909*Dist_ARES/4*IF(K887&lt;=$P$11,0,$P$10)</f>
        <v>112860.324091221</v>
      </c>
      <c r="L913" s="73" t="n">
        <f aca="false">K909*Dist_ARES/4*IF(L887&lt;=$P$11,0,$P$10)</f>
        <v>108046.83126873</v>
      </c>
      <c r="M913" s="73" t="n">
        <f aca="false">L909*Dist_ARES/4*IF(M887&lt;=$P$11,0,$P$10)</f>
        <v>103438.633915119</v>
      </c>
      <c r="N913" s="73" t="n">
        <f aca="false">M909*Dist_ARES/4*IF(N887&lt;=$P$11,0,$P$10)</f>
        <v>99026.9761786388</v>
      </c>
      <c r="O913" s="73" t="n">
        <f aca="false">N909*Dist_ARES/4*IF(O887&lt;=$P$11,0,$P$10)</f>
        <v>94803.4756446198</v>
      </c>
    </row>
    <row r="914" customFormat="false" ht="15" hidden="false" customHeight="false" outlineLevel="0" collapsed="false">
      <c r="B914" s="65" t="s">
        <v>1043</v>
      </c>
      <c r="C914" s="73" t="n">
        <f aca="false">AN_cible*$P$12*Part_MAPIF_NA</f>
        <v>4500000</v>
      </c>
      <c r="D914" s="73" t="n">
        <f aca="false">C914*IF(D887=1,1+$P$14,1)-D916</f>
        <v>4125000</v>
      </c>
      <c r="E914" s="73" t="n">
        <f aca="false">D914*IF(E887=1,1+$P$14,1)-E916</f>
        <v>3750000</v>
      </c>
      <c r="F914" s="73" t="n">
        <f aca="false">E914*IF(F887=1,1+$P$14,1)-F916</f>
        <v>3375000</v>
      </c>
      <c r="G914" s="73" t="n">
        <f aca="false">F914*IF(G887=1,1+$P$14,1)-G916</f>
        <v>3000000</v>
      </c>
      <c r="H914" s="73" t="n">
        <f aca="false">G914*IF(H887=1,1+$P$14,1)-H916</f>
        <v>2625000</v>
      </c>
      <c r="I914" s="73" t="n">
        <f aca="false">H914*IF(I887=1,1+$P$14,1)-I916</f>
        <v>2250000</v>
      </c>
      <c r="J914" s="73" t="n">
        <f aca="false">I914*IF(J887=1,1+$P$14,1)-J916</f>
        <v>1875000</v>
      </c>
      <c r="K914" s="73" t="n">
        <f aca="false">J914*IF(K887=1,1+$P$14,1)-K916</f>
        <v>1500000</v>
      </c>
      <c r="L914" s="73" t="n">
        <f aca="false">K914*IF(L887=1,1+$P$14,1)-L916</f>
        <v>1125000</v>
      </c>
      <c r="M914" s="73" t="n">
        <f aca="false">L914*IF(M887=1,1+$P$14,1)-M916</f>
        <v>750000</v>
      </c>
      <c r="N914" s="73" t="n">
        <f aca="false">M914*IF(N887=1,1+$P$14,1)-N916</f>
        <v>375000</v>
      </c>
      <c r="O914" s="73" t="n">
        <f aca="false">N914*IF(O887=1,1+$P$14,1)-O916</f>
        <v>0</v>
      </c>
    </row>
    <row r="915" customFormat="false" ht="15" hidden="false" customHeight="false" outlineLevel="0" collapsed="false">
      <c r="B915" s="65" t="s">
        <v>1044</v>
      </c>
      <c r="C915" s="73" t="n">
        <f aca="false">AN_cible*$P$12*(1-Part_MAPIF_NA)</f>
        <v>3000000</v>
      </c>
      <c r="D915" s="73" t="n">
        <f aca="false">C915*IF(D887=1,1+MSIG_USD*$P$14,1)-D917</f>
        <v>2750000</v>
      </c>
      <c r="E915" s="73" t="n">
        <f aca="false">D915*IF(E887=1,1+MSIG_USD*$P$14,1)-E917</f>
        <v>2500000</v>
      </c>
      <c r="F915" s="73" t="n">
        <f aca="false">E915*IF(F887=1,1+MSIG_USD*$P$14,1)-F917</f>
        <v>2250000</v>
      </c>
      <c r="G915" s="73" t="n">
        <f aca="false">F915*IF(G887=1,1+MSIG_USD*$P$14,1)-G917</f>
        <v>2000000</v>
      </c>
      <c r="H915" s="73" t="n">
        <f aca="false">G915*IF(H887=1,1+MSIG_USD*$P$14,1)-H917</f>
        <v>1750000</v>
      </c>
      <c r="I915" s="73" t="n">
        <f aca="false">H915*IF(I887=1,1+MSIG_USD*$P$14,1)-I917</f>
        <v>1500000</v>
      </c>
      <c r="J915" s="73" t="n">
        <f aca="false">I915*IF(J887=1,1+MSIG_USD*$P$14,1)-J917</f>
        <v>1250000</v>
      </c>
      <c r="K915" s="73" t="n">
        <f aca="false">J915*IF(K887=1,1+MSIG_USD*$P$14,1)-K917</f>
        <v>1000000</v>
      </c>
      <c r="L915" s="73" t="n">
        <f aca="false">K915*IF(L887=1,1+MSIG_USD*$P$14,1)-L917</f>
        <v>750000</v>
      </c>
      <c r="M915" s="73" t="n">
        <f aca="false">L915*IF(M887=1,1+MSIG_USD*$P$14,1)-M917</f>
        <v>500000</v>
      </c>
      <c r="N915" s="73" t="n">
        <f aca="false">M915*IF(N887=1,1+MSIG_USD*$P$14,1)-N917</f>
        <v>250000</v>
      </c>
      <c r="O915" s="73" t="n">
        <f aca="false">N915*IF(O887=1,1+MSIG_USD*$P$14,1)-O917</f>
        <v>0</v>
      </c>
    </row>
    <row r="916" customFormat="false" ht="15" hidden="false" customHeight="false" outlineLevel="0" collapsed="false">
      <c r="B916" s="65" t="s">
        <v>1045</v>
      </c>
      <c r="C916" s="25"/>
      <c r="D916" s="73" t="n">
        <f aca="false">MIN(C914*IF(D887=1,1+$P$14,1),$C914*(1+$P$14)*IF(D887&lt;=4,$P$13/4,Appels_base))</f>
        <v>375000</v>
      </c>
      <c r="E916" s="73" t="n">
        <f aca="false">MIN(D914*IF(E887=1,1+$P$14,1),$C914*(1+$P$14)*IF(E887&lt;=4,$P$13/4,Appels_base))</f>
        <v>375000</v>
      </c>
      <c r="F916" s="73" t="n">
        <f aca="false">MIN(E914*IF(F887=1,1+$P$14,1),$C914*(1+$P$14)*IF(F887&lt;=4,$P$13/4,Appels_base))</f>
        <v>375000</v>
      </c>
      <c r="G916" s="73" t="n">
        <f aca="false">MIN(F914*IF(G887=1,1+$P$14,1),$C914*(1+$P$14)*IF(G887&lt;=4,$P$13/4,Appels_base))</f>
        <v>375000</v>
      </c>
      <c r="H916" s="73" t="n">
        <f aca="false">MIN(G914*IF(H887=1,1+$P$14,1),$C914*(1+$P$14)*IF(H887&lt;=4,$P$13/4,Appels_base))</f>
        <v>375000</v>
      </c>
      <c r="I916" s="73" t="n">
        <f aca="false">MIN(H914*IF(I887=1,1+$P$14,1),$C914*(1+$P$14)*IF(I887&lt;=4,$P$13/4,Appels_base))</f>
        <v>375000</v>
      </c>
      <c r="J916" s="73" t="n">
        <f aca="false">MIN(I914*IF(J887=1,1+$P$14,1),$C914*(1+$P$14)*IF(J887&lt;=4,$P$13/4,Appels_base))</f>
        <v>375000</v>
      </c>
      <c r="K916" s="73" t="n">
        <f aca="false">MIN(J914*IF(K887=1,1+$P$14,1),$C914*(1+$P$14)*IF(K887&lt;=4,$P$13/4,Appels_base))</f>
        <v>375000</v>
      </c>
      <c r="L916" s="73" t="n">
        <f aca="false">MIN(K914*IF(L887=1,1+$P$14,1),$C914*(1+$P$14)*IF(L887&lt;=4,$P$13/4,Appels_base))</f>
        <v>375000</v>
      </c>
      <c r="M916" s="73" t="n">
        <f aca="false">MIN(L914*IF(M887=1,1+$P$14,1),$C914*(1+$P$14)*IF(M887&lt;=4,$P$13/4,Appels_base))</f>
        <v>375000</v>
      </c>
      <c r="N916" s="73" t="n">
        <f aca="false">MIN(M914*IF(N887=1,1+$P$14,1),$C914*(1+$P$14)*IF(N887&lt;=4,$P$13/4,Appels_base))</f>
        <v>375000</v>
      </c>
      <c r="O916" s="73" t="n">
        <f aca="false">MIN(N914*IF(O887=1,1+$P$14,1),$C914*(1+$P$14)*IF(O887&lt;=4,$P$13/4,Appels_base))</f>
        <v>375000</v>
      </c>
    </row>
    <row r="917" customFormat="false" ht="15" hidden="false" customHeight="false" outlineLevel="0" collapsed="false">
      <c r="B917" s="65" t="s">
        <v>1046</v>
      </c>
      <c r="C917" s="25"/>
      <c r="D917" s="73" t="n">
        <f aca="false">MIN(C915*IF(D887=1,1+MSIG_USD*$P$14,1),$C915*(1+MSIG_USD*$P$14)*IF(D887&lt;=4,$P$13/4,Appels_base))</f>
        <v>250000</v>
      </c>
      <c r="E917" s="73" t="n">
        <f aca="false">MIN(D915*IF(E887=1,1+MSIG_USD*$P$14,1),$C915*(1+MSIG_USD*$P$14)*IF(E887&lt;=4,$P$13/4,Appels_base))</f>
        <v>250000</v>
      </c>
      <c r="F917" s="73" t="n">
        <f aca="false">MIN(E915*IF(F887=1,1+MSIG_USD*$P$14,1),$C915*(1+MSIG_USD*$P$14)*IF(F887&lt;=4,$P$13/4,Appels_base))</f>
        <v>250000</v>
      </c>
      <c r="G917" s="73" t="n">
        <f aca="false">MIN(F915*IF(G887=1,1+MSIG_USD*$P$14,1),$C915*(1+MSIG_USD*$P$14)*IF(G887&lt;=4,$P$13/4,Appels_base))</f>
        <v>250000</v>
      </c>
      <c r="H917" s="73" t="n">
        <f aca="false">MIN(G915*IF(H887=1,1+MSIG_USD*$P$14,1),$C915*(1+MSIG_USD*$P$14)*IF(H887&lt;=4,$P$13/4,Appels_base))</f>
        <v>250000</v>
      </c>
      <c r="I917" s="73" t="n">
        <f aca="false">MIN(H915*IF(I887=1,1+MSIG_USD*$P$14,1),$C915*(1+MSIG_USD*$P$14)*IF(I887&lt;=4,$P$13/4,Appels_base))</f>
        <v>250000</v>
      </c>
      <c r="J917" s="73" t="n">
        <f aca="false">MIN(I915*IF(J887=1,1+MSIG_USD*$P$14,1),$C915*(1+MSIG_USD*$P$14)*IF(J887&lt;=4,$P$13/4,Appels_base))</f>
        <v>250000</v>
      </c>
      <c r="K917" s="73" t="n">
        <f aca="false">MIN(J915*IF(K887=1,1+MSIG_USD*$P$14,1),$C915*(1+MSIG_USD*$P$14)*IF(K887&lt;=4,$P$13/4,Appels_base))</f>
        <v>250000</v>
      </c>
      <c r="L917" s="73" t="n">
        <f aca="false">MIN(K915*IF(L887=1,1+MSIG_USD*$P$14,1),$C915*(1+MSIG_USD*$P$14)*IF(L887&lt;=4,$P$13/4,Appels_base))</f>
        <v>250000</v>
      </c>
      <c r="M917" s="73" t="n">
        <f aca="false">MIN(L915*IF(M887=1,1+MSIG_USD*$P$14,1),$C915*(1+MSIG_USD*$P$14)*IF(M887&lt;=4,$P$13/4,Appels_base))</f>
        <v>250000</v>
      </c>
      <c r="N917" s="73" t="n">
        <f aca="false">MIN(M915*IF(N887=1,1+MSIG_USD*$P$14,1),$C915*(1+MSIG_USD*$P$14)*IF(N887&lt;=4,$P$13/4,Appels_base))</f>
        <v>250000</v>
      </c>
      <c r="O917" s="73" t="n">
        <f aca="false">MIN(N915*IF(O887=1,1+MSIG_USD*$P$14,1),$C915*(1+MSIG_USD*$P$14)*IF(O887&lt;=4,$P$13/4,Appels_base))</f>
        <v>250000</v>
      </c>
    </row>
    <row r="918" customFormat="false" ht="15" hidden="false" customHeight="false" outlineLevel="0" collapsed="false">
      <c r="B918" s="65" t="s">
        <v>1047</v>
      </c>
      <c r="C918" s="25"/>
      <c r="D918" s="73" t="n">
        <f aca="false">C908*Capacite_evg*IF(D887&lt;=4,$P$17,$P$18)</f>
        <v>612500</v>
      </c>
      <c r="E918" s="73" t="n">
        <f aca="false">D908*Capacite_evg*IF(E887&lt;=4,$P$17,$P$18)</f>
        <v>594446.5625</v>
      </c>
      <c r="F918" s="73" t="n">
        <f aca="false">E908*Capacite_evg*IF(F887&lt;=4,$P$17,$P$18)</f>
        <v>576925.250070313</v>
      </c>
      <c r="G918" s="73" t="n">
        <f aca="false">F908*Capacite_evg*IF(G887&lt;=4,$P$17,$P$18)</f>
        <v>559920.37832449</v>
      </c>
      <c r="H918" s="73" t="n">
        <f aca="false">G908*Capacite_evg*IF(H887&lt;=4,$P$17,$P$18)</f>
        <v>543416.725173376</v>
      </c>
      <c r="I918" s="73" t="n">
        <f aca="false">H908*Capacite_evg*IF(I887&lt;=4,$P$17,$P$18)</f>
        <v>527399.517198891</v>
      </c>
      <c r="J918" s="73" t="n">
        <f aca="false">I908*Capacite_evg*IF(J887&lt;=4,$P$17,$P$18)</f>
        <v>511854.416429453</v>
      </c>
      <c r="K918" s="73" t="n">
        <f aca="false">J908*Capacite_evg*IF(K887&lt;=4,$P$17,$P$18)</f>
        <v>496767.507505195</v>
      </c>
      <c r="L918" s="73" t="n">
        <f aca="false">K908*Capacite_evg*IF(L887&lt;=4,$P$17,$P$18)</f>
        <v>482125.28522148</v>
      </c>
      <c r="M918" s="73" t="n">
        <f aca="false">L908*Capacite_evg*IF(M887&lt;=4,$P$17,$P$18)</f>
        <v>467914.642439576</v>
      </c>
      <c r="N918" s="73" t="n">
        <f aca="false">M908*Capacite_evg*IF(N887&lt;=4,$P$17,$P$18)</f>
        <v>454122.85835367</v>
      </c>
      <c r="O918" s="73" t="n">
        <f aca="false">N908*Capacite_evg*IF(O887&lt;=4,$P$17,$P$18)</f>
        <v>440737.587103696</v>
      </c>
    </row>
    <row r="919" customFormat="false" ht="15" hidden="false" customHeight="false" outlineLevel="0" collapsed="false">
      <c r="B919" s="65" t="s">
        <v>1048</v>
      </c>
      <c r="C919" s="25"/>
      <c r="D919" s="73" t="n">
        <f aca="false">C909*Capacite_evg*IF(D887&lt;=4,$P$17,$P$19)*(1-IF(D887&lt;=Deduc_trim,Deduc_ares,0))</f>
        <v>581875</v>
      </c>
      <c r="E919" s="73" t="n">
        <f aca="false">D909*Capacite_evg*IF(E887&lt;=4,$P$17,$P$19)*(1-IF(E887&lt;=Deduc_trim,Deduc_ares,0))</f>
        <v>557058.03125</v>
      </c>
      <c r="F919" s="73" t="n">
        <f aca="false">E909*Capacite_evg*IF(F887&lt;=4,$P$17,$P$19)*(1-IF(F887&lt;=Deduc_trim,Deduc_ares,0))</f>
        <v>533299.506217187</v>
      </c>
      <c r="G919" s="73" t="n">
        <f aca="false">F909*Capacite_evg*IF(G887&lt;=4,$P$17,$P$19)*(1-IF(G887&lt;=Deduc_trim,Deduc_ares,0))</f>
        <v>510554.282277024</v>
      </c>
      <c r="H919" s="73" t="n">
        <f aca="false">G909*Capacite_evg*IF(H887&lt;=4,$P$17,$P$19)*(1-IF(H887&lt;=Deduc_trim,Deduc_ares,0))</f>
        <v>514504.360145168</v>
      </c>
      <c r="I919" s="73" t="n">
        <f aca="false">H909*Capacite_evg*IF(I887&lt;=4,$P$17,$P$19)*(1-IF(I887&lt;=Deduc_trim,Deduc_ares,0))</f>
        <v>492560.749184976</v>
      </c>
      <c r="J919" s="73" t="n">
        <f aca="false">I909*Capacite_evg*IF(J887&lt;=4,$P$17,$P$19)*(1-IF(J887&lt;=Deduc_trim,Deduc_ares,0))</f>
        <v>471553.033232237</v>
      </c>
      <c r="K919" s="73" t="n">
        <f aca="false">J909*Capacite_evg*IF(K887&lt;=4,$P$17,$P$19)*(1-IF(K887&lt;=Deduc_trim,Deduc_ares,0))</f>
        <v>451441.296364882</v>
      </c>
      <c r="L919" s="73" t="n">
        <f aca="false">K909*Capacite_evg*IF(L887&lt;=4,$P$17,$P$19)*(1-IF(L887&lt;=Deduc_trim,Deduc_ares,0))</f>
        <v>432187.32507492</v>
      </c>
      <c r="M919" s="73" t="n">
        <f aca="false">L909*Capacite_evg*IF(M887&lt;=4,$P$17,$P$19)*(1-IF(M887&lt;=Deduc_trim,Deduc_ares,0))</f>
        <v>413754.535660474</v>
      </c>
      <c r="N919" s="73" t="n">
        <f aca="false">M909*Capacite_evg*IF(N887&lt;=4,$P$17,$P$19)*(1-IF(N887&lt;=Deduc_trim,Deduc_ares,0))</f>
        <v>396107.904714555</v>
      </c>
      <c r="O919" s="73" t="n">
        <f aca="false">N909*Capacite_evg*IF(O887&lt;=4,$P$17,$P$19)*(1-IF(O887&lt;=Deduc_trim,Deduc_ares,0))</f>
        <v>379213.902578479</v>
      </c>
    </row>
    <row r="920" customFormat="false" ht="15" hidden="false" customHeight="false" outlineLevel="0" collapsed="false">
      <c r="B920" s="65" t="s">
        <v>1049</v>
      </c>
      <c r="C920" s="25"/>
      <c r="D920" s="73" t="n">
        <f aca="false">C934</f>
        <v>7500000</v>
      </c>
      <c r="E920" s="73" t="n">
        <f aca="false">D934</f>
        <v>5739375</v>
      </c>
      <c r="F920" s="73" t="n">
        <f aca="false">E934</f>
        <v>6562891.4375</v>
      </c>
      <c r="G920" s="73" t="n">
        <f aca="false">F934</f>
        <v>4909430.45367109</v>
      </c>
      <c r="H920" s="73" t="n">
        <f aca="false">G934</f>
        <v>5659951.93568534</v>
      </c>
      <c r="I920" s="73" t="n">
        <f aca="false">H934</f>
        <v>4012380.04095581</v>
      </c>
      <c r="J920" s="73" t="n">
        <f aca="false">I934</f>
        <v>4721157.38504098</v>
      </c>
      <c r="K920" s="73" t="n">
        <f aca="false">J934</f>
        <v>3052969.10864954</v>
      </c>
      <c r="L920" s="73" t="n">
        <f aca="false">K934</f>
        <v>3699458.07298265</v>
      </c>
      <c r="M920" s="73" t="n">
        <f aca="false">L934</f>
        <v>4318465.23854271</v>
      </c>
      <c r="N920" s="73" t="n">
        <f aca="false">M934</f>
        <v>4911385.49862274</v>
      </c>
      <c r="O920" s="73" t="n">
        <f aca="false">N934</f>
        <v>5479562.85218514</v>
      </c>
    </row>
    <row r="921" customFormat="false" ht="15" hidden="false" customHeight="false" outlineLevel="0" collapsed="false">
      <c r="B921" s="65" t="s">
        <v>1050</v>
      </c>
      <c r="C921" s="25"/>
      <c r="D921" s="73" t="n">
        <f aca="false">D920*Taux_treso/4</f>
        <v>46875</v>
      </c>
      <c r="E921" s="73" t="n">
        <f aca="false">E920*Taux_treso/4</f>
        <v>35871.09375</v>
      </c>
      <c r="F921" s="73" t="n">
        <f aca="false">F920*Taux_treso/4</f>
        <v>41018.071484375</v>
      </c>
      <c r="G921" s="73" t="n">
        <f aca="false">G920*Taux_treso/4</f>
        <v>30683.9403354443</v>
      </c>
      <c r="H921" s="73" t="n">
        <f aca="false">H920*Taux_treso/4</f>
        <v>35374.6995980334</v>
      </c>
      <c r="I921" s="73" t="n">
        <f aca="false">I920*Taux_treso/4</f>
        <v>25077.3752559738</v>
      </c>
      <c r="J921" s="73" t="n">
        <f aca="false">J920*Taux_treso/4</f>
        <v>29507.2336565061</v>
      </c>
      <c r="K921" s="73" t="n">
        <f aca="false">K920*Taux_treso/4</f>
        <v>19081.0569290596</v>
      </c>
      <c r="L921" s="73" t="n">
        <f aca="false">L920*Taux_treso/4</f>
        <v>23121.6129561415</v>
      </c>
      <c r="M921" s="73" t="n">
        <f aca="false">M920*Taux_treso/4</f>
        <v>26990.407740892</v>
      </c>
      <c r="N921" s="73" t="n">
        <f aca="false">N920*Taux_treso/4</f>
        <v>30696.1593663921</v>
      </c>
      <c r="O921" s="73" t="n">
        <f aca="false">O920*Taux_treso/4</f>
        <v>34247.2678261571</v>
      </c>
    </row>
    <row r="922" customFormat="false" ht="15" hidden="false" customHeight="false" outlineLevel="0" collapsed="false">
      <c r="B922" s="65" t="s">
        <v>1051</v>
      </c>
      <c r="C922" s="25"/>
      <c r="D922" s="73" t="n">
        <f aca="false">SUM(D910:D913)</f>
        <v>498125</v>
      </c>
      <c r="E922" s="73" t="n">
        <f aca="false">SUM(E910:E913)</f>
        <v>501643.96875</v>
      </c>
      <c r="F922" s="73" t="n">
        <f aca="false">SUM(F910:F913)</f>
        <v>505569.532629688</v>
      </c>
      <c r="G922" s="73" t="n">
        <f aca="false">SUM(G910:G913)</f>
        <v>509888.751029738</v>
      </c>
      <c r="H922" s="73" t="n">
        <f aca="false">SUM(H910:H913)</f>
        <v>514589.239858558</v>
      </c>
      <c r="I922" s="73" t="n">
        <f aca="false">SUM(I910:I913)</f>
        <v>519659.148597052</v>
      </c>
      <c r="J922" s="73" t="n">
        <f aca="false">SUM(J910:J913)</f>
        <v>525087.138315382</v>
      </c>
      <c r="K922" s="73" t="n">
        <f aca="false">SUM(K910:K913)</f>
        <v>530862.360611252</v>
      </c>
      <c r="L922" s="73" t="n">
        <f aca="false">SUM(L910:L913)</f>
        <v>536974.437430912</v>
      </c>
      <c r="M922" s="73" t="n">
        <f aca="false">SUM(M910:M913)</f>
        <v>543413.441735769</v>
      </c>
      <c r="N922" s="73" t="n">
        <f aca="false">SUM(N910:N913)</f>
        <v>550169.878979005</v>
      </c>
      <c r="O922" s="73" t="n">
        <f aca="false">SUM(O910:O913)</f>
        <v>557234.669358171</v>
      </c>
    </row>
    <row r="923" customFormat="false" ht="15" hidden="false" customHeight="false" outlineLevel="0" collapsed="false">
      <c r="B923" s="65" t="s">
        <v>1052</v>
      </c>
      <c r="C923" s="25"/>
      <c r="D923" s="73" t="n">
        <f aca="false">IF(AND(Distrib_tension=1,OR(D895&gt;0.000001,C937&lt;Liq_min,C901=1)),0,MIN(Dist_porteurs/4*Part_d*D892,D922))</f>
        <v>125000</v>
      </c>
      <c r="E923" s="73" t="n">
        <f aca="false">IF(AND(Distrib_tension=1,OR(E895&gt;0.000001,D937&lt;Liq_min,D901=1)),0,MIN(Dist_porteurs/4*Part_d*E892,E922))</f>
        <v>0</v>
      </c>
      <c r="F923" s="73" t="n">
        <f aca="false">IF(AND(Distrib_tension=1,OR(F895&gt;0.000001,E937&lt;Liq_min,E901=1)),0,MIN(Dist_porteurs/4*Part_d*F892,F922))</f>
        <v>0</v>
      </c>
      <c r="G923" s="73" t="n">
        <f aca="false">IF(AND(Distrib_tension=1,OR(G895&gt;0.000001,F937&lt;Liq_min,F901=1)),0,MIN(Dist_porteurs/4*Part_d*G892,G922))</f>
        <v>0</v>
      </c>
      <c r="H923" s="73" t="n">
        <f aca="false">IF(AND(Distrib_tension=1,OR(H895&gt;0.000001,G937&lt;Liq_min,G901=1)),0,MIN(Dist_porteurs/4*Part_d*H892,H922))</f>
        <v>0</v>
      </c>
      <c r="I923" s="73" t="n">
        <f aca="false">IF(AND(Distrib_tension=1,OR(I895&gt;0.000001,H937&lt;Liq_min,H901=1)),0,MIN(Dist_porteurs/4*Part_d*I892,I922))</f>
        <v>0</v>
      </c>
      <c r="J923" s="73" t="n">
        <f aca="false">IF(AND(Distrib_tension=1,OR(J895&gt;0.000001,I937&lt;Liq_min,I901=1)),0,MIN(Dist_porteurs/4*Part_d*J892,J922))</f>
        <v>0</v>
      </c>
      <c r="K923" s="73" t="n">
        <f aca="false">IF(AND(Distrib_tension=1,OR(K895&gt;0.000001,J937&lt;Liq_min,J901=1)),0,MIN(Dist_porteurs/4*Part_d*K892,K922))</f>
        <v>0</v>
      </c>
      <c r="L923" s="73" t="n">
        <f aca="false">IF(AND(Distrib_tension=1,OR(L895&gt;0.000001,K937&lt;Liq_min,K901=1)),0,MIN(Dist_porteurs/4*Part_d*L892,L922))</f>
        <v>0</v>
      </c>
      <c r="M923" s="73" t="n">
        <f aca="false">IF(AND(Distrib_tension=1,OR(M895&gt;0.000001,L937&lt;Liq_min,L901=1)),0,MIN(Dist_porteurs/4*Part_d*M892,M922))</f>
        <v>0</v>
      </c>
      <c r="N923" s="73" t="n">
        <f aca="false">IF(AND(Distrib_tension=1,OR(N895&gt;0.000001,M937&lt;Liq_min,M901=1)),0,MIN(Dist_porteurs/4*Part_d*N892,N922))</f>
        <v>0</v>
      </c>
      <c r="O923" s="73" t="n">
        <f aca="false">IF(AND(Distrib_tension=1,OR(O895&gt;0.000001,N937&lt;Liq_min,N901=1)),0,MIN(Dist_porteurs/4*Part_d*O892,O922))</f>
        <v>0</v>
      </c>
    </row>
    <row r="924" customFormat="false" ht="15" hidden="false" customHeight="false" outlineLevel="0" collapsed="false">
      <c r="B924" s="65" t="s">
        <v>1053</v>
      </c>
      <c r="C924" s="25"/>
      <c r="D924" s="73" t="n">
        <f aca="false">D916+D917</f>
        <v>625000</v>
      </c>
      <c r="E924" s="73" t="n">
        <f aca="false">E916+E917</f>
        <v>625000</v>
      </c>
      <c r="F924" s="73" t="n">
        <f aca="false">F916+F917</f>
        <v>625000</v>
      </c>
      <c r="G924" s="73" t="n">
        <f aca="false">G916+G917</f>
        <v>625000</v>
      </c>
      <c r="H924" s="73" t="n">
        <f aca="false">H916+H917</f>
        <v>625000</v>
      </c>
      <c r="I924" s="73" t="n">
        <f aca="false">I916+I917</f>
        <v>625000</v>
      </c>
      <c r="J924" s="73" t="n">
        <f aca="false">J916+J917</f>
        <v>625000</v>
      </c>
      <c r="K924" s="73" t="n">
        <f aca="false">K916+K917</f>
        <v>625000</v>
      </c>
      <c r="L924" s="73" t="n">
        <f aca="false">L916+L917</f>
        <v>625000</v>
      </c>
      <c r="M924" s="73" t="n">
        <f aca="false">M916+M917</f>
        <v>625000</v>
      </c>
      <c r="N924" s="73" t="n">
        <f aca="false">N916+N917</f>
        <v>625000</v>
      </c>
      <c r="O924" s="73" t="n">
        <f aca="false">O916+O917</f>
        <v>625000</v>
      </c>
    </row>
    <row r="925" customFormat="false" ht="15" hidden="false" customHeight="false" outlineLevel="0" collapsed="false">
      <c r="B925" s="65" t="s">
        <v>1054</v>
      </c>
      <c r="C925" s="25"/>
      <c r="D925" s="73" t="n">
        <f aca="false">D892*Frais_an/4</f>
        <v>250000</v>
      </c>
      <c r="E925" s="73" t="n">
        <f aca="false">E892*Frais_an/4</f>
        <v>240503.21875</v>
      </c>
      <c r="F925" s="73" t="n">
        <f aca="false">F892*Frais_an/4</f>
        <v>244115.758566406</v>
      </c>
      <c r="G925" s="73" t="n">
        <f aca="false">G892*Frais_an/4</f>
        <v>235525.86995245</v>
      </c>
      <c r="H925" s="73" t="n">
        <f aca="false">H892*Frais_an/4</f>
        <v>239132.447227697</v>
      </c>
      <c r="I925" s="73" t="n">
        <f aca="false">I892*Frais_an/4</f>
        <v>230919.446151722</v>
      </c>
      <c r="J925" s="73" t="n">
        <f aca="false">J892*Frais_an/4</f>
        <v>234653.645275002</v>
      </c>
      <c r="K925" s="73" t="n">
        <f aca="false">K892*Frais_an/4</f>
        <v>226663.257077278</v>
      </c>
      <c r="L925" s="73" t="n">
        <f aca="false">L892*Frais_an/4</f>
        <v>230401.495123387</v>
      </c>
      <c r="M925" s="73" t="n">
        <f aca="false">M892*Frais_an/4</f>
        <v>234152.767496683</v>
      </c>
      <c r="N925" s="73" t="n">
        <f aca="false">N892*Frais_an/4</f>
        <v>237919.447851228</v>
      </c>
      <c r="O925" s="73" t="n">
        <f aca="false">O892*Frais_an/4</f>
        <v>241703.843492053</v>
      </c>
    </row>
    <row r="926" customFormat="false" ht="15" hidden="false" customHeight="false" outlineLevel="0" collapsed="false">
      <c r="B926" s="65" t="s">
        <v>1055</v>
      </c>
      <c r="C926" s="25"/>
      <c r="D926" s="73" t="n">
        <f aca="false">C935*Taux_emprunt/4</f>
        <v>0</v>
      </c>
      <c r="E926" s="73" t="n">
        <f aca="false">D935*Taux_emprunt/4</f>
        <v>0</v>
      </c>
      <c r="F926" s="73" t="n">
        <f aca="false">E935*Taux_emprunt/4</f>
        <v>0</v>
      </c>
      <c r="G926" s="73" t="n">
        <f aca="false">F935*Taux_emprunt/4</f>
        <v>0</v>
      </c>
      <c r="H926" s="73" t="n">
        <f aca="false">G935*Taux_emprunt/4</f>
        <v>0</v>
      </c>
      <c r="I926" s="73" t="n">
        <f aca="false">H935*Taux_emprunt/4</f>
        <v>0</v>
      </c>
      <c r="J926" s="73" t="n">
        <f aca="false">I935*Taux_emprunt/4</f>
        <v>0</v>
      </c>
      <c r="K926" s="73" t="n">
        <f aca="false">J935*Taux_emprunt/4</f>
        <v>0</v>
      </c>
      <c r="L926" s="73" t="n">
        <f aca="false">K935*Taux_emprunt/4</f>
        <v>0</v>
      </c>
      <c r="M926" s="73" t="n">
        <f aca="false">L935*Taux_emprunt/4</f>
        <v>0</v>
      </c>
      <c r="N926" s="73" t="n">
        <f aca="false">M935*Taux_emprunt/4</f>
        <v>0</v>
      </c>
      <c r="O926" s="73" t="n">
        <f aca="false">N935*Taux_emprunt/4</f>
        <v>0</v>
      </c>
    </row>
    <row r="927" customFormat="false" ht="15" hidden="false" customHeight="false" outlineLevel="0" collapsed="false">
      <c r="B927" s="65" t="s">
        <v>1056</v>
      </c>
      <c r="C927" s="25"/>
      <c r="D927" s="73" t="n">
        <f aca="false">D920+D921+D922-D923+D893-D924-D925-D926</f>
        <v>7045000</v>
      </c>
      <c r="E927" s="73" t="n">
        <f aca="false">E920+E921+E922-E923+E893-E924-E925-E926</f>
        <v>5411386.84375</v>
      </c>
      <c r="F927" s="73" t="n">
        <f aca="false">F920+F921+F922-F923+F893-F924-F925-F926</f>
        <v>6240363.28304766</v>
      </c>
      <c r="G927" s="73" t="n">
        <f aca="false">G920+G921+G922-G923+G893-G924-G925-G926</f>
        <v>4589477.27508382</v>
      </c>
      <c r="H927" s="73" t="n">
        <f aca="false">H920+H921+H922-H923+H893-H924-H925-H926</f>
        <v>5345783.42791423</v>
      </c>
      <c r="I927" s="73" t="n">
        <f aca="false">I920+I921+I922-I923+I893-I924-I925-I926</f>
        <v>3701197.11865711</v>
      </c>
      <c r="J927" s="73" t="n">
        <f aca="false">J920+J921+J922-J923+J893-J924-J925-J926</f>
        <v>4416098.11173787</v>
      </c>
      <c r="K927" s="73" t="n">
        <f aca="false">K920+K921+K922-K923+K893-K924-K925-K926</f>
        <v>2751249.26911257</v>
      </c>
      <c r="L927" s="73" t="n">
        <f aca="false">L920+L921+L922-L923+L893-L924-L925-L926</f>
        <v>3404152.62824631</v>
      </c>
      <c r="M927" s="73" t="n">
        <f aca="false">M920+M921+M922-M923+M893-M924-M925-M926</f>
        <v>4029716.32052269</v>
      </c>
      <c r="N927" s="73" t="n">
        <f aca="false">N920+N921+N922-N923+N893-N924-N925-N926</f>
        <v>4629332.08911691</v>
      </c>
      <c r="O927" s="73" t="n">
        <f aca="false">O920+O921+O922-O923+O893-O924-O925-O926</f>
        <v>5204340.94587741</v>
      </c>
    </row>
    <row r="928" customFormat="false" ht="15" hidden="false" customHeight="false" outlineLevel="0" collapsed="false">
      <c r="B928" s="65" t="s">
        <v>1057</v>
      </c>
      <c r="C928" s="25"/>
      <c r="D928" s="73" t="n">
        <f aca="false">MIN(D918+D919,MAX(0,Liq_cible*D892-(D927-D902)))</f>
        <v>1194375</v>
      </c>
      <c r="E928" s="73" t="n">
        <f aca="false">MIN(E918+E919,MAX(0,Liq_cible*E892-(E927-E902)))</f>
        <v>1151504.59375</v>
      </c>
      <c r="F928" s="73" t="n">
        <f aca="false">MIN(F918+F919,MAX(0,Liq_cible*F892-(F927-F902)))</f>
        <v>1110224.7562875</v>
      </c>
      <c r="G928" s="73" t="n">
        <f aca="false">MIN(G918+G919,MAX(0,Liq_cible*G892-(G927-G902)))</f>
        <v>1070474.66060151</v>
      </c>
      <c r="H928" s="73" t="n">
        <f aca="false">MIN(H918+H919,MAX(0,Liq_cible*H892-(H927-H902)))</f>
        <v>1057921.08531854</v>
      </c>
      <c r="I928" s="73" t="n">
        <f aca="false">MIN(I918+I919,MAX(0,Liq_cible*I892-(I927-I902)))</f>
        <v>1019960.26638387</v>
      </c>
      <c r="J928" s="73" t="n">
        <f aca="false">MIN(J918+J919,MAX(0,Liq_cible*J892-(J927-J902)))</f>
        <v>983407.44966169</v>
      </c>
      <c r="K928" s="73" t="n">
        <f aca="false">MIN(K918+K919,MAX(0,Liq_cible*K892-(K927-K902)))</f>
        <v>948208.803870077</v>
      </c>
      <c r="L928" s="73" t="n">
        <f aca="false">MIN(L918+L919,MAX(0,Liq_cible*L892-(L927-L902)))</f>
        <v>914312.610296399</v>
      </c>
      <c r="M928" s="73" t="n">
        <f aca="false">MIN(M918+M919,MAX(0,Liq_cible*M892-(M927-M902)))</f>
        <v>881669.178100051</v>
      </c>
      <c r="N928" s="73" t="n">
        <f aca="false">MIN(N918+N919,MAX(0,Liq_cible*N892-(N927-N902)))</f>
        <v>850230.763068225</v>
      </c>
      <c r="O928" s="73" t="n">
        <f aca="false">MIN(O918+O919,MAX(0,Liq_cible*O892-(O927-O902)))</f>
        <v>819951.489682175</v>
      </c>
    </row>
    <row r="929" customFormat="false" ht="15" hidden="false" customHeight="false" outlineLevel="0" collapsed="false">
      <c r="B929" s="65" t="s">
        <v>1058</v>
      </c>
      <c r="C929" s="25"/>
      <c r="D929" s="73" t="n">
        <f aca="false">D927-D902+D928</f>
        <v>5739375</v>
      </c>
      <c r="E929" s="73" t="n">
        <f aca="false">E927-E902+E928</f>
        <v>6562891.4375</v>
      </c>
      <c r="F929" s="73" t="n">
        <f aca="false">F927-F902+F928</f>
        <v>4909430.45367109</v>
      </c>
      <c r="G929" s="73" t="n">
        <f aca="false">G927-G902+G928</f>
        <v>5659951.93568534</v>
      </c>
      <c r="H929" s="73" t="n">
        <f aca="false">H927-H902+H928</f>
        <v>4012380.04095581</v>
      </c>
      <c r="I929" s="73" t="n">
        <f aca="false">I927-I902+I928</f>
        <v>4721157.38504098</v>
      </c>
      <c r="J929" s="73" t="n">
        <f aca="false">J927-J902+J928</f>
        <v>3052969.10864954</v>
      </c>
      <c r="K929" s="73" t="n">
        <f aca="false">K927-K902+K928</f>
        <v>3699458.07298265</v>
      </c>
      <c r="L929" s="73" t="n">
        <f aca="false">L927-L902+L928</f>
        <v>4318465.23854271</v>
      </c>
      <c r="M929" s="73" t="n">
        <f aca="false">M927-M902+M928</f>
        <v>4911385.49862274</v>
      </c>
      <c r="N929" s="73" t="n">
        <f aca="false">N927-N902+N928</f>
        <v>5479562.85218514</v>
      </c>
      <c r="O929" s="73" t="n">
        <f aca="false">O927-O902+O928</f>
        <v>6024292.43555959</v>
      </c>
    </row>
    <row r="930" customFormat="false" ht="15" hidden="false" customHeight="false" outlineLevel="0" collapsed="false">
      <c r="B930" s="65" t="s">
        <v>1059</v>
      </c>
      <c r="C930" s="25"/>
      <c r="D930" s="73" t="n">
        <f aca="false">MIN(MAX(0,MIN($P$20*AN_cible,Emprunt_max*D892)-C935),MAX(0,IF($P$20&gt;0,Poche_min_exec*D892,0)-D929))-IF(D929&gt;Liq_cible*D892,MIN(C935,D929-Liq_cible*D892),0)</f>
        <v>0</v>
      </c>
      <c r="E930" s="73" t="n">
        <f aca="false">MIN(MAX(0,MIN($P$20*AN_cible,Emprunt_max*E892)-D935),MAX(0,IF($P$20&gt;0,Poche_min_exec*E892,0)-E929))-IF(E929&gt;Liq_cible*E892,MIN(D935,E929-Liq_cible*E892),0)</f>
        <v>0</v>
      </c>
      <c r="F930" s="73" t="n">
        <f aca="false">MIN(MAX(0,MIN($P$20*AN_cible,Emprunt_max*F892)-E935),MAX(0,IF($P$20&gt;0,Poche_min_exec*F892,0)-F929))-IF(F929&gt;Liq_cible*F892,MIN(E935,F929-Liq_cible*F892),0)</f>
        <v>0</v>
      </c>
      <c r="G930" s="73" t="n">
        <f aca="false">MIN(MAX(0,MIN($P$20*AN_cible,Emprunt_max*G892)-F935),MAX(0,IF($P$20&gt;0,Poche_min_exec*G892,0)-G929))-IF(G929&gt;Liq_cible*G892,MIN(F935,G929-Liq_cible*G892),0)</f>
        <v>0</v>
      </c>
      <c r="H930" s="73" t="n">
        <f aca="false">MIN(MAX(0,MIN($P$20*AN_cible,Emprunt_max*H892)-G935),MAX(0,IF($P$20&gt;0,Poche_min_exec*H892,0)-H929))-IF(H929&gt;Liq_cible*H892,MIN(G935,H929-Liq_cible*H892),0)</f>
        <v>0</v>
      </c>
      <c r="I930" s="73" t="n">
        <f aca="false">MIN(MAX(0,MIN($P$20*AN_cible,Emprunt_max*I892)-H935),MAX(0,IF($P$20&gt;0,Poche_min_exec*I892,0)-I929))-IF(I929&gt;Liq_cible*I892,MIN(H935,I929-Liq_cible*I892),0)</f>
        <v>0</v>
      </c>
      <c r="J930" s="73" t="n">
        <f aca="false">MIN(MAX(0,MIN($P$20*AN_cible,Emprunt_max*J892)-I935),MAX(0,IF($P$20&gt;0,Poche_min_exec*J892,0)-J929))-IF(J929&gt;Liq_cible*J892,MIN(I935,J929-Liq_cible*J892),0)</f>
        <v>0</v>
      </c>
      <c r="K930" s="73" t="n">
        <f aca="false">MIN(MAX(0,MIN($P$20*AN_cible,Emprunt_max*K892)-J935),MAX(0,IF($P$20&gt;0,Poche_min_exec*K892,0)-K929))-IF(K929&gt;Liq_cible*K892,MIN(J935,K929-Liq_cible*K892),0)</f>
        <v>0</v>
      </c>
      <c r="L930" s="73" t="n">
        <f aca="false">MIN(MAX(0,MIN($P$20*AN_cible,Emprunt_max*L892)-K935),MAX(0,IF($P$20&gt;0,Poche_min_exec*L892,0)-L929))-IF(L929&gt;Liq_cible*L892,MIN(K935,L929-Liq_cible*L892),0)</f>
        <v>0</v>
      </c>
      <c r="M930" s="73" t="n">
        <f aca="false">MIN(MAX(0,MIN($P$20*AN_cible,Emprunt_max*M892)-L935),MAX(0,IF($P$20&gt;0,Poche_min_exec*M892,0)-M929))-IF(M929&gt;Liq_cible*M892,MIN(L935,M929-Liq_cible*M892),0)</f>
        <v>0</v>
      </c>
      <c r="N930" s="73" t="n">
        <f aca="false">MIN(MAX(0,MIN($P$20*AN_cible,Emprunt_max*N892)-M935),MAX(0,IF($P$20&gt;0,Poche_min_exec*N892,0)-N929))-IF(N929&gt;Liq_cible*N892,MIN(M935,N929-Liq_cible*N892),0)</f>
        <v>0</v>
      </c>
      <c r="O930" s="73" t="n">
        <f aca="false">MIN(MAX(0,MIN($P$20*AN_cible,Emprunt_max*O892)-N935),MAX(0,IF($P$20&gt;0,Poche_min_exec*O892,0)-O929))-IF(O929&gt;Liq_cible*O892,MIN(N935,O929-Liq_cible*O892),0)</f>
        <v>0</v>
      </c>
    </row>
    <row r="931" customFormat="false" ht="15" hidden="false" customHeight="false" outlineLevel="0" collapsed="false">
      <c r="B931" s="65" t="s">
        <v>1060</v>
      </c>
      <c r="C931" s="25"/>
      <c r="D931" s="73" t="n">
        <f aca="false">MIN((C906+C907+C908+C909),MAX(0,-(D929+D930))/(1-Decote))</f>
        <v>0</v>
      </c>
      <c r="E931" s="73" t="n">
        <f aca="false">MIN((D906+D907+D908+D909),MAX(0,-(E929+E930))/(1-Decote))</f>
        <v>0</v>
      </c>
      <c r="F931" s="73" t="n">
        <f aca="false">MIN((E906+E907+E908+E909),MAX(0,-(F929+F930))/(1-Decote))</f>
        <v>0</v>
      </c>
      <c r="G931" s="73" t="n">
        <f aca="false">MIN((F906+F907+F908+F909),MAX(0,-(G929+G930))/(1-Decote))</f>
        <v>0</v>
      </c>
      <c r="H931" s="73" t="n">
        <f aca="false">MIN((G906+G907+G908+G909),MAX(0,-(H929+H930))/(1-Decote))</f>
        <v>0</v>
      </c>
      <c r="I931" s="73" t="n">
        <f aca="false">MIN((H906+H907+H908+H909),MAX(0,-(I929+I930))/(1-Decote))</f>
        <v>0</v>
      </c>
      <c r="J931" s="73" t="n">
        <f aca="false">MIN((I906+I907+I908+I909),MAX(0,-(J929+J930))/(1-Decote))</f>
        <v>0</v>
      </c>
      <c r="K931" s="73" t="n">
        <f aca="false">MIN((J906+J907+J908+J909),MAX(0,-(K929+K930))/(1-Decote))</f>
        <v>0</v>
      </c>
      <c r="L931" s="73" t="n">
        <f aca="false">MIN((K906+K907+K908+K909),MAX(0,-(L929+L930))/(1-Decote))</f>
        <v>0</v>
      </c>
      <c r="M931" s="73" t="n">
        <f aca="false">MIN((L906+L907+L908+L909),MAX(0,-(M929+M930))/(1-Decote))</f>
        <v>0</v>
      </c>
      <c r="N931" s="73" t="n">
        <f aca="false">MIN((M906+M907+M908+M909),MAX(0,-(N929+N930))/(1-Decote))</f>
        <v>0</v>
      </c>
      <c r="O931" s="73" t="n">
        <f aca="false">MIN((N906+N907+N908+N909),MAX(0,-(O929+O930))/(1-Decote))</f>
        <v>0</v>
      </c>
    </row>
    <row r="932" customFormat="false" ht="15" hidden="false" customHeight="false" outlineLevel="0" collapsed="false">
      <c r="B932" s="65" t="s">
        <v>1061</v>
      </c>
      <c r="C932" s="25"/>
      <c r="D932" s="73" t="n">
        <f aca="false">D931*Decote</f>
        <v>0</v>
      </c>
      <c r="E932" s="73" t="n">
        <f aca="false">E931*Decote</f>
        <v>0</v>
      </c>
      <c r="F932" s="73" t="n">
        <f aca="false">F931*Decote</f>
        <v>0</v>
      </c>
      <c r="G932" s="73" t="n">
        <f aca="false">G931*Decote</f>
        <v>0</v>
      </c>
      <c r="H932" s="73" t="n">
        <f aca="false">H931*Decote</f>
        <v>0</v>
      </c>
      <c r="I932" s="73" t="n">
        <f aca="false">I931*Decote</f>
        <v>0</v>
      </c>
      <c r="J932" s="73" t="n">
        <f aca="false">J931*Decote</f>
        <v>0</v>
      </c>
      <c r="K932" s="73" t="n">
        <f aca="false">K931*Decote</f>
        <v>0</v>
      </c>
      <c r="L932" s="73" t="n">
        <f aca="false">L931*Decote</f>
        <v>0</v>
      </c>
      <c r="M932" s="73" t="n">
        <f aca="false">M931*Decote</f>
        <v>0</v>
      </c>
      <c r="N932" s="73" t="n">
        <f aca="false">N931*Decote</f>
        <v>0</v>
      </c>
      <c r="O932" s="73" t="n">
        <f aca="false">O931*Decote</f>
        <v>0</v>
      </c>
    </row>
    <row r="933" customFormat="false" ht="15" hidden="false" customHeight="false" outlineLevel="0" collapsed="false">
      <c r="B933" s="65" t="s">
        <v>1062</v>
      </c>
      <c r="C933" s="25"/>
      <c r="D933" s="73" t="n">
        <f aca="false">IF(AND(D903&lt;0.000001,C935+D930&lt;0.000001),MAX(0,D929+D930-Seuil_reinv*D892),0)</f>
        <v>0</v>
      </c>
      <c r="E933" s="73" t="n">
        <f aca="false">IF(AND(E903&lt;0.000001,D935+E930&lt;0.000001),MAX(0,E929+E930-Seuil_reinv*E892),0)</f>
        <v>0</v>
      </c>
      <c r="F933" s="73" t="n">
        <f aca="false">IF(AND(F903&lt;0.000001,E935+F930&lt;0.000001),MAX(0,F929+F930-Seuil_reinv*F892),0)</f>
        <v>0</v>
      </c>
      <c r="G933" s="73" t="n">
        <f aca="false">IF(AND(G903&lt;0.000001,F935+G930&lt;0.000001),MAX(0,G929+G930-Seuil_reinv*G892),0)</f>
        <v>0</v>
      </c>
      <c r="H933" s="73" t="n">
        <f aca="false">IF(AND(H903&lt;0.000001,G935+H930&lt;0.000001),MAX(0,H929+H930-Seuil_reinv*H892),0)</f>
        <v>0</v>
      </c>
      <c r="I933" s="73" t="n">
        <f aca="false">IF(AND(I903&lt;0.000001,H935+I930&lt;0.000001),MAX(0,I929+I930-Seuil_reinv*I892),0)</f>
        <v>0</v>
      </c>
      <c r="J933" s="73" t="n">
        <f aca="false">IF(AND(J903&lt;0.000001,I935+J930&lt;0.000001),MAX(0,J929+J930-Seuil_reinv*J892),0)</f>
        <v>0</v>
      </c>
      <c r="K933" s="73" t="n">
        <f aca="false">IF(AND(K903&lt;0.000001,J935+K930&lt;0.000001),MAX(0,K929+K930-Seuil_reinv*K892),0)</f>
        <v>0</v>
      </c>
      <c r="L933" s="73" t="n">
        <f aca="false">IF(AND(L903&lt;0.000001,K935+L930&lt;0.000001),MAX(0,L929+L930-Seuil_reinv*L892),0)</f>
        <v>0</v>
      </c>
      <c r="M933" s="73" t="n">
        <f aca="false">IF(AND(M903&lt;0.000001,L935+M930&lt;0.000001),MAX(0,M929+M930-Seuil_reinv*M892),0)</f>
        <v>0</v>
      </c>
      <c r="N933" s="73" t="n">
        <f aca="false">IF(AND(N903&lt;0.000001,M935+N930&lt;0.000001),MAX(0,N929+N930-Seuil_reinv*N892),0)</f>
        <v>0</v>
      </c>
      <c r="O933" s="73" t="n">
        <f aca="false">IF(AND(O903&lt;0.000001,N935+O930&lt;0.000001),MAX(0,O929+O930-Seuil_reinv*O892),0)</f>
        <v>0</v>
      </c>
    </row>
    <row r="934" customFormat="false" ht="15" hidden="false" customHeight="false" outlineLevel="0" collapsed="false">
      <c r="B934" s="65" t="s">
        <v>1063</v>
      </c>
      <c r="C934" s="73" t="n">
        <f aca="false">AN_cible*Ws_LIQ</f>
        <v>7500000</v>
      </c>
      <c r="D934" s="73" t="n">
        <f aca="false">D929+D930+D931-D932-D933</f>
        <v>5739375</v>
      </c>
      <c r="E934" s="73" t="n">
        <f aca="false">E929+E930+E931-E932-E933</f>
        <v>6562891.4375</v>
      </c>
      <c r="F934" s="73" t="n">
        <f aca="false">F929+F930+F931-F932-F933</f>
        <v>4909430.45367109</v>
      </c>
      <c r="G934" s="73" t="n">
        <f aca="false">G929+G930+G931-G932-G933</f>
        <v>5659951.93568534</v>
      </c>
      <c r="H934" s="73" t="n">
        <f aca="false">H929+H930+H931-H932-H933</f>
        <v>4012380.04095581</v>
      </c>
      <c r="I934" s="73" t="n">
        <f aca="false">I929+I930+I931-I932-I933</f>
        <v>4721157.38504098</v>
      </c>
      <c r="J934" s="73" t="n">
        <f aca="false">J929+J930+J931-J932-J933</f>
        <v>3052969.10864954</v>
      </c>
      <c r="K934" s="73" t="n">
        <f aca="false">K929+K930+K931-K932-K933</f>
        <v>3699458.07298265</v>
      </c>
      <c r="L934" s="73" t="n">
        <f aca="false">L929+L930+L931-L932-L933</f>
        <v>4318465.23854271</v>
      </c>
      <c r="M934" s="73" t="n">
        <f aca="false">M929+M930+M931-M932-M933</f>
        <v>4911385.49862274</v>
      </c>
      <c r="N934" s="73" t="n">
        <f aca="false">N929+N930+N931-N932-N933</f>
        <v>5479562.85218514</v>
      </c>
      <c r="O934" s="73" t="n">
        <f aca="false">O929+O930+O931-O932-O933</f>
        <v>6024292.43555959</v>
      </c>
    </row>
    <row r="935" customFormat="false" ht="15" hidden="false" customHeight="false" outlineLevel="0" collapsed="false">
      <c r="B935" s="65" t="s">
        <v>1064</v>
      </c>
      <c r="C935" s="73" t="n">
        <v>0</v>
      </c>
      <c r="D935" s="73" t="n">
        <f aca="false">C935+D930</f>
        <v>0</v>
      </c>
      <c r="E935" s="73" t="n">
        <f aca="false">D935+E930</f>
        <v>0</v>
      </c>
      <c r="F935" s="73" t="n">
        <f aca="false">E935+F930</f>
        <v>0</v>
      </c>
      <c r="G935" s="73" t="n">
        <f aca="false">F935+G930</f>
        <v>0</v>
      </c>
      <c r="H935" s="73" t="n">
        <f aca="false">G935+H930</f>
        <v>0</v>
      </c>
      <c r="I935" s="73" t="n">
        <f aca="false">H935+I930</f>
        <v>0</v>
      </c>
      <c r="J935" s="73" t="n">
        <f aca="false">I935+J930</f>
        <v>0</v>
      </c>
      <c r="K935" s="73" t="n">
        <f aca="false">J935+K930</f>
        <v>0</v>
      </c>
      <c r="L935" s="73" t="n">
        <f aca="false">K935+L930</f>
        <v>0</v>
      </c>
      <c r="M935" s="73" t="n">
        <f aca="false">L935+M930</f>
        <v>0</v>
      </c>
      <c r="N935" s="73" t="n">
        <f aca="false">M935+N930</f>
        <v>0</v>
      </c>
      <c r="O935" s="73" t="n">
        <f aca="false">N935+O930</f>
        <v>0</v>
      </c>
    </row>
    <row r="936" customFormat="false" ht="15" hidden="false" customHeight="false" outlineLevel="0" collapsed="false">
      <c r="B936" s="74" t="s">
        <v>1065</v>
      </c>
      <c r="C936" s="73" t="n">
        <f aca="false">C906+C907+C908+C909+C934-C935</f>
        <v>50000000</v>
      </c>
      <c r="D936" s="73" t="n">
        <f aca="false">D906+D907+D908+D909+D934-D935</f>
        <v>48100643.75</v>
      </c>
      <c r="E936" s="73" t="n">
        <f aca="false">E906+E907+E908+E909+E934-E935</f>
        <v>48823151.7132813</v>
      </c>
      <c r="F936" s="73" t="n">
        <f aca="false">F906+F907+F908+F909+F934-F935</f>
        <v>47105173.9904901</v>
      </c>
      <c r="G936" s="73" t="n">
        <f aca="false">G906+G907+G908+G909+G934-G935</f>
        <v>47826489.4455393</v>
      </c>
      <c r="H936" s="73" t="n">
        <f aca="false">H906+H907+H908+H909+H934-H935</f>
        <v>46183889.2303444</v>
      </c>
      <c r="I936" s="73" t="n">
        <f aca="false">I906+I907+I908+I909+I934-I935</f>
        <v>46930729.0550004</v>
      </c>
      <c r="J936" s="73" t="n">
        <f aca="false">J906+J907+J908+J909+J934-J935</f>
        <v>45332651.4154555</v>
      </c>
      <c r="K936" s="73" t="n">
        <f aca="false">K906+K907+K908+K909+K934-K935</f>
        <v>46080299.0246774</v>
      </c>
      <c r="L936" s="73" t="n">
        <f aca="false">L906+L907+L908+L909+L934-L935</f>
        <v>46830553.4993366</v>
      </c>
      <c r="M936" s="73" t="n">
        <f aca="false">M906+M907+M908+M909+M934-M935</f>
        <v>47583889.5702456</v>
      </c>
      <c r="N936" s="73" t="n">
        <f aca="false">N906+N907+N908+N909+N934-N935</f>
        <v>48340768.6984106</v>
      </c>
      <c r="O936" s="73" t="n">
        <f aca="false">O906+O907+O908+O909+O934-O935</f>
        <v>49101639.613394</v>
      </c>
    </row>
    <row r="937" customFormat="false" ht="15" hidden="false" customHeight="false" outlineLevel="0" collapsed="false">
      <c r="B937" s="65" t="s">
        <v>1066</v>
      </c>
      <c r="C937" s="72" t="n">
        <f aca="false">IF((C936+C935)&gt;0,C934/(C936+C935),0)</f>
        <v>0.15</v>
      </c>
      <c r="D937" s="72" t="n">
        <f aca="false">IF((D936+D935)&gt;0,D934/(D936+D935),0)</f>
        <v>0.119320128641729</v>
      </c>
      <c r="E937" s="72" t="n">
        <f aca="false">IF((E936+E935)&gt;0,E934/(E936+E935),0)</f>
        <v>0.134421707882384</v>
      </c>
      <c r="F937" s="72" t="n">
        <f aca="false">IF((F936+F935)&gt;0,F934/(F936+F935),0)</f>
        <v>0.104222743231184</v>
      </c>
      <c r="G937" s="72" t="n">
        <f aca="false">IF((G936+G935)&gt;0,G934/(G936+G935),0)</f>
        <v>0.118343453623758</v>
      </c>
      <c r="H937" s="72" t="n">
        <f aca="false">IF((H936+H935)&gt;0,H934/(H936+H935),0)</f>
        <v>0.0868783488749479</v>
      </c>
      <c r="I937" s="72" t="n">
        <f aca="false">IF((I936+I935)&gt;0,I934/(I936+I935),0)</f>
        <v>0.100598424105196</v>
      </c>
      <c r="J937" s="72" t="n">
        <f aca="false">IF((J936+J935)&gt;0,J934/(J936+J935),0)</f>
        <v>0.0673459198463885</v>
      </c>
      <c r="K937" s="72" t="n">
        <f aca="false">IF((K936+K935)&gt;0,K934/(K936+K935),0)</f>
        <v>0.0802828573443387</v>
      </c>
      <c r="L937" s="72" t="n">
        <f aca="false">IF((L936+L935)&gt;0,L934/(L936+L935),0)</f>
        <v>0.0922146956602571</v>
      </c>
      <c r="M937" s="72" t="n">
        <f aca="false">IF((M936+M935)&gt;0,M934/(M936+M935),0)</f>
        <v>0.103215301291676</v>
      </c>
      <c r="N937" s="72" t="n">
        <f aca="false">IF((N936+N935)&gt;0,N934/(N936+N935),0)</f>
        <v>0.113352828259127</v>
      </c>
      <c r="O937" s="72" t="n">
        <f aca="false">IF((O936+O935)&gt;0,O934/(O936+O935),0)</f>
        <v>0.122690249918177</v>
      </c>
    </row>
    <row r="938" customFormat="false" ht="15" hidden="false" customHeight="false" outlineLevel="0" collapsed="false">
      <c r="B938" s="65" t="s">
        <v>1067</v>
      </c>
      <c r="C938" s="72" t="n">
        <f aca="false">0</f>
        <v>0</v>
      </c>
      <c r="D938" s="72" t="n">
        <f aca="false">IF(D936&gt;0,D903/D936,0)</f>
        <v>0.103948712744619</v>
      </c>
      <c r="E938" s="72" t="n">
        <f aca="false">IF(E936&gt;0,E903/E936,0)</f>
        <v>0.102410430800596</v>
      </c>
      <c r="F938" s="72" t="n">
        <f aca="false">IF(F936&gt;0,F903/F936,0)</f>
        <v>0.209792562772897</v>
      </c>
      <c r="G938" s="72" t="n">
        <f aca="false">IF(G936&gt;0,G903/G936,0)</f>
        <v>0.206628487390471</v>
      </c>
      <c r="H938" s="72" t="n">
        <f aca="false">IF(H936&gt;0,H903/H936,0)</f>
        <v>0.317534195587986</v>
      </c>
      <c r="I938" s="72" t="n">
        <f aca="false">IF(I936&gt;0,I903/I936,0)</f>
        <v>0.312481063285752</v>
      </c>
      <c r="J938" s="72" t="n">
        <f aca="false">IF(J936&gt;0,J903/J936,0)</f>
        <v>0.427021945925322</v>
      </c>
      <c r="K938" s="72" t="n">
        <f aca="false">IF(K936&gt;0,K903/K936,0)</f>
        <v>0.420093563434024</v>
      </c>
      <c r="L938" s="72" t="n">
        <f aca="false">IF(L936&gt;0,L903/L936,0)</f>
        <v>0.560960311422667</v>
      </c>
      <c r="M938" s="72" t="n">
        <f aca="false">IF(M936&gt;0,M903/M936,0)</f>
        <v>0.552079330049356</v>
      </c>
      <c r="N938" s="72" t="n">
        <f aca="false">IF(N936&gt;0,N903/N936,0)</f>
        <v>0.543435335895836</v>
      </c>
      <c r="O938" s="72" t="n">
        <f aca="false">IF(O936&gt;0,O903/O936,0)</f>
        <v>0.535014351494644</v>
      </c>
    </row>
    <row r="939" customFormat="false" ht="15" hidden="false" customHeight="false" outlineLevel="0" collapsed="false">
      <c r="B939" s="65" t="s">
        <v>1068</v>
      </c>
      <c r="C939" s="75" t="n">
        <f aca="false">IF((C903+SUM(D894:G894)+SUM(D924:G924)+SUM(D925:G925)+SUM(D923:G923))&lt;=0,9.99,MIN(9.99,(C934+SUM(D922:G922)+SUM(D918:G919)+MAX(0,MIN($P$20*AN_cible,Emprunt_max*C936)-C935))/(C903+SUM(D894:G894)+SUM(D924:G924)+SUM(D925:G925)+SUM(D923:G923))))</f>
        <v>0.762370258438937</v>
      </c>
      <c r="D939" s="73" t="n">
        <f aca="false">IF((D903+SUM(E894:H894)+SUM(E924:H924)+SUM(E925:H925)+SUM(E923:H923))&lt;=0,9.99,MIN(9.99,(D934+SUM(E922:H922)+SUM(E918:H919)+MAX(0,MIN($P$20*AN_cible,Emprunt_max*D936)-D935))/(D903+SUM(E894:H894)+SUM(E924:H924)+SUM(E925:H925)+SUM(E923:H923))))</f>
        <v>0.529744220903651</v>
      </c>
      <c r="E939" s="73" t="n">
        <f aca="false">IF((E903+SUM(F894:I894)+SUM(F924:I924)+SUM(F925:I925)+SUM(F923:I923))&lt;=0,9.99,MIN(9.99,(E934+SUM(F922:I922)+SUM(F918:I919)+MAX(0,MIN($P$20*AN_cible,Emprunt_max*E936)-E935))/(E903+SUM(F894:I894)+SUM(F924:I924)+SUM(F925:I925)+SUM(F923:I923))))</f>
        <v>0.560905587749848</v>
      </c>
      <c r="F939" s="73" t="n">
        <f aca="false">IF((F903+SUM(G894:J894)+SUM(G924:J924)+SUM(G925:J925)+SUM(G923:J923))&lt;=0,9.99,MIN(9.99,(F934+SUM(G922:J922)+SUM(G918:J919)+MAX(0,MIN($P$20*AN_cible,Emprunt_max*F936)-F935))/(F903+SUM(G894:J894)+SUM(G924:J924)+SUM(G925:J925)+SUM(G923:J923))))</f>
        <v>0.403485110423247</v>
      </c>
      <c r="G939" s="73" t="n">
        <f aca="false">IF((G903+SUM(H894:K894)+SUM(H924:K924)+SUM(H925:K925)+SUM(H923:K923))&lt;=0,9.99,MIN(9.99,(G934+SUM(H922:K922)+SUM(H918:K919)+MAX(0,MIN($P$20*AN_cible,Emprunt_max*G936)-G935))/(G903+SUM(H894:K894)+SUM(H924:K924)+SUM(H925:K925)+SUM(H923:K923))))</f>
        <v>0.427199966435433</v>
      </c>
      <c r="H939" s="73" t="n">
        <f aca="false">IF((H903+SUM(I894:L894)+SUM(I924:L924)+SUM(I925:L925)+SUM(I923:L923))&lt;=0,9.99,MIN(9.99,(H934+SUM(I922:L922)+SUM(I918:L919)+MAX(0,MIN($P$20*AN_cible,Emprunt_max*H936)-H935))/(H903+SUM(I894:L894)+SUM(I924:L924)+SUM(I925:L925)+SUM(I923:L923))))</f>
        <v>0.311831591927586</v>
      </c>
      <c r="I939" s="73" t="n">
        <f aca="false">IF((I903+SUM(J894:M894)+SUM(J924:M924)+SUM(J925:M925)+SUM(J923:M923))&lt;=0,9.99,MIN(9.99,(I934+SUM(J922:M922)+SUM(J918:M919)+MAX(0,MIN($P$20*AN_cible,Emprunt_max*I936)-I935))/(I903+SUM(J894:M894)+SUM(J924:M924)+SUM(J925:M925)+SUM(J923:M923))))</f>
        <v>0.330345518485353</v>
      </c>
      <c r="J939" s="73" t="n">
        <f aca="false">IF((J903+SUM(K894:N894)+SUM(K924:N924)+SUM(K925:N925)+SUM(K923:N923))&lt;=0,9.99,MIN(9.99,(J934+SUM(K922:N922)+SUM(K918:N919)+MAX(0,MIN($P$20*AN_cible,Emprunt_max*J936)-J935))/(J903+SUM(K894:N894)+SUM(K924:N924)+SUM(K925:N925)+SUM(K923:N923))))</f>
        <v>0.296600749986611</v>
      </c>
      <c r="K939" s="73" t="n">
        <f aca="false">IF((K903+SUM(L894:O894)+SUM(L924:O924)+SUM(L925:O925)+SUM(L923:O923))&lt;=0,9.99,MIN(9.99,(K934+SUM(L922:O922)+SUM(L918:O919)+MAX(0,MIN($P$20*AN_cible,Emprunt_max*K936)-K935))/(K903+SUM(L894:O894)+SUM(L924:O924)+SUM(L925:O925)+SUM(L923:O923))))</f>
        <v>0.314778652450276</v>
      </c>
      <c r="L939" s="73" t="n">
        <f aca="false">IF((L903+SUM(M894:O894)+SUM(M924:O924)+SUM(M925:O925)+SUM(M923:O923))&lt;=0,9.99,MIN(9.99,(L934+SUM(M922:O922)+SUM(M918:O919)+MAX(0,MIN($P$20*AN_cible,Emprunt_max*L936)-L935))/(L903+SUM(M894:O894)+SUM(M924:O924)+SUM(M925:O925)+SUM(M923:O923))))</f>
        <v>0.295269295790444</v>
      </c>
      <c r="M939" s="73" t="n">
        <f aca="false">IF((M903+SUM(N894:O894)+SUM(N924:O924)+SUM(N925:O925)+SUM(N923:O923))&lt;=0,9.99,MIN(9.99,(M934+SUM(N922:O922)+SUM(N918:O919)+MAX(0,MIN($P$20*AN_cible,Emprunt_max*M936)-M935))/(M903+SUM(N894:O894)+SUM(N924:O924)+SUM(N925:O925)+SUM(N923:O923))))</f>
        <v>0.274609045131296</v>
      </c>
      <c r="N939" s="73" t="n">
        <f aca="false">IF((N903+SUM(O894:O894)+SUM(O924:O924)+SUM(O925:O925)+SUM(O923:O923))&lt;=0,9.99,MIN(9.99,(N934+SUM(O922:O922)+SUM(O918:O919)+MAX(0,MIN($P$20*AN_cible,Emprunt_max*N936)-N935))/(N903+SUM(O894:O894)+SUM(O924:O924)+SUM(O925:O925)+SUM(O923:O923))))</f>
        <v>0.252673587886714</v>
      </c>
      <c r="O939" s="73" t="n">
        <f aca="false">9.99</f>
        <v>9.99</v>
      </c>
    </row>
    <row r="940" customFormat="false" ht="15" hidden="false" customHeight="false" outlineLevel="0" collapsed="false">
      <c r="B940" s="65" t="s">
        <v>1069</v>
      </c>
      <c r="C940" s="72" t="n">
        <f aca="false">(C906+C907+C908+C909+C914+C915)/C936</f>
        <v>1</v>
      </c>
      <c r="D940" s="72" t="n">
        <f aca="false">(D906+D907+D908+D909+D914+D915)/D936</f>
        <v>1.02360935138212</v>
      </c>
      <c r="E940" s="72" t="n">
        <f aca="false">(E906+E907+E908+E909+E914+E915)/E936</f>
        <v>0.993591330618362</v>
      </c>
      <c r="F940" s="72" t="n">
        <f aca="false">(F906+F907+F908+F909+F914+F915)/F936</f>
        <v>1.01519089063281</v>
      </c>
      <c r="G940" s="72" t="n">
        <f aca="false">(G906+G907+G908+G909+G914+G915)/G936</f>
        <v>0.986201121108067</v>
      </c>
      <c r="H940" s="72" t="n">
        <f aca="false">(H906+H907+H908+H909+H914+H915)/H936</f>
        <v>1.00785165487548</v>
      </c>
      <c r="I940" s="72" t="n">
        <f aca="false">(I906+I907+I908+I909+I914+I915)/I936</f>
        <v>0.979306577916085</v>
      </c>
      <c r="J940" s="72" t="n">
        <f aca="false">(J906+J907+J908+J909+J914+J915)/J936</f>
        <v>1.0015889406223</v>
      </c>
      <c r="K940" s="72" t="n">
        <f aca="false">(K906+K907+K908+K909+K914+K915)/K936</f>
        <v>0.97397026281578</v>
      </c>
      <c r="L940" s="72" t="n">
        <f aca="false">(L906+L907+L908+L909+L914+L915)/L936</f>
        <v>0.947823268017165</v>
      </c>
      <c r="M940" s="72" t="n">
        <f aca="false">(M906+M907+M908+M909+M914+M915)/M936</f>
        <v>0.923054093902567</v>
      </c>
      <c r="N940" s="72" t="n">
        <f aca="false">(N906+N907+N908+N909+N914+N915)/N936</f>
        <v>0.899576217282107</v>
      </c>
      <c r="O940" s="72" t="n">
        <f aca="false">(O906+O907+O908+O909+O914+O915)/O936</f>
        <v>0.877309750081823</v>
      </c>
    </row>
    <row r="941" customFormat="false" ht="15" hidden="false" customHeight="false" outlineLevel="0" collapsed="false">
      <c r="B941" s="65" t="s">
        <v>849</v>
      </c>
      <c r="C941" s="72" t="n">
        <f aca="false">(C936+C935)/C936</f>
        <v>1</v>
      </c>
      <c r="D941" s="72" t="n">
        <f aca="false">(D936+D935)/D936</f>
        <v>1</v>
      </c>
      <c r="E941" s="72" t="n">
        <f aca="false">(E936+E935)/E936</f>
        <v>1</v>
      </c>
      <c r="F941" s="72" t="n">
        <f aca="false">(F936+F935)/F936</f>
        <v>1</v>
      </c>
      <c r="G941" s="72" t="n">
        <f aca="false">(G936+G935)/G936</f>
        <v>1</v>
      </c>
      <c r="H941" s="72" t="n">
        <f aca="false">(H936+H935)/H936</f>
        <v>1</v>
      </c>
      <c r="I941" s="72" t="n">
        <f aca="false">(I936+I935)/I936</f>
        <v>1</v>
      </c>
      <c r="J941" s="72" t="n">
        <f aca="false">(J936+J935)/J936</f>
        <v>1</v>
      </c>
      <c r="K941" s="72" t="n">
        <f aca="false">(K936+K935)/K936</f>
        <v>1</v>
      </c>
      <c r="L941" s="72" t="n">
        <f aca="false">(L936+L935)/L936</f>
        <v>1</v>
      </c>
      <c r="M941" s="72" t="n">
        <f aca="false">(M936+M935)/M936</f>
        <v>1</v>
      </c>
      <c r="N941" s="72" t="n">
        <f aca="false">(N936+N935)/N936</f>
        <v>1</v>
      </c>
      <c r="O941" s="72" t="n">
        <f aca="false">(O936+O935)/O936</f>
        <v>1</v>
      </c>
    </row>
    <row r="942" customFormat="false" ht="15" hidden="false" customHeight="false" outlineLevel="0" collapsed="false">
      <c r="B942" s="65" t="s">
        <v>1070</v>
      </c>
      <c r="C942" s="72" t="n">
        <f aca="false">(C906+C907*MSIG_USD)/C936</f>
        <v>0.25</v>
      </c>
      <c r="D942" s="72" t="n">
        <f aca="false">(D906+D907*MSIG_USD)/D936</f>
        <v>0.269675444832274</v>
      </c>
      <c r="E942" s="72" t="n">
        <f aca="false">(E906+E907*MSIG_USD)/E936</f>
        <v>0.27541785707076</v>
      </c>
      <c r="F942" s="72" t="n">
        <f aca="false">(F906+F907*MSIG_USD)/F936</f>
        <v>0.295628758414858</v>
      </c>
      <c r="G942" s="72" t="n">
        <f aca="false">(G906+G907*MSIG_USD)/G936</f>
        <v>0.301260240286235</v>
      </c>
      <c r="H942" s="72" t="n">
        <f aca="false">(H906+H907*MSIG_USD)/H936</f>
        <v>0.3225047402423</v>
      </c>
      <c r="I942" s="72" t="n">
        <f aca="false">(I906+I907*MSIG_USD)/I936</f>
        <v>0.327814711194842</v>
      </c>
      <c r="J942" s="72" t="n">
        <f aca="false">(J906+J907*MSIG_USD)/J936</f>
        <v>0.350264738598829</v>
      </c>
      <c r="K942" s="72" t="n">
        <f aca="false">(K906+K907*MSIG_USD)/K936</f>
        <v>0.355381594975843</v>
      </c>
      <c r="L942" s="72" t="n">
        <f aca="false">(L906+L907*MSIG_USD)/L936</f>
        <v>0.360397095479821</v>
      </c>
      <c r="M942" s="72" t="n">
        <f aca="false">(M906+M907*MSIG_USD)/M936</f>
        <v>0.365312189541524</v>
      </c>
      <c r="N942" s="72" t="n">
        <f aca="false">(N906+N907*MSIG_USD)/N936</f>
        <v>0.370127717215834</v>
      </c>
      <c r="O942" s="72" t="n">
        <f aca="false">(O906+O907*MSIG_USD)/O936</f>
        <v>0.374844428976344</v>
      </c>
    </row>
    <row r="943" customFormat="false" ht="15" hidden="false" customHeight="false" outlineLevel="0" collapsed="false">
      <c r="B943" s="65" t="s">
        <v>1071</v>
      </c>
      <c r="C943" s="25"/>
      <c r="D943" s="65" t="n">
        <f aca="false">IF(AND($P$9&lt;0.5*Collecte_norm,IF(D887&lt;=$P$11,0,$P$10)&lt;0.5,IF(D887&lt;=4,$P$17,($P$18+$P$19)/2)&lt;0.7),1,0)</f>
        <v>0</v>
      </c>
      <c r="E943" s="65" t="n">
        <f aca="false">IF(AND($P$9&lt;0.5*Collecte_norm,IF(E887&lt;=$P$11,0,$P$10)&lt;0.5,IF(E887&lt;=4,$P$17,($P$18+$P$19)/2)&lt;0.7),1,0)</f>
        <v>0</v>
      </c>
      <c r="F943" s="65" t="n">
        <f aca="false">IF(AND($P$9&lt;0.5*Collecte_norm,IF(F887&lt;=$P$11,0,$P$10)&lt;0.5,IF(F887&lt;=4,$P$17,($P$18+$P$19)/2)&lt;0.7),1,0)</f>
        <v>0</v>
      </c>
      <c r="G943" s="65" t="n">
        <f aca="false">IF(AND($P$9&lt;0.5*Collecte_norm,IF(G887&lt;=$P$11,0,$P$10)&lt;0.5,IF(G887&lt;=4,$P$17,($P$18+$P$19)/2)&lt;0.7),1,0)</f>
        <v>0</v>
      </c>
      <c r="H943" s="65" t="n">
        <f aca="false">IF(AND($P$9&lt;0.5*Collecte_norm,IF(H887&lt;=$P$11,0,$P$10)&lt;0.5,IF(H887&lt;=4,$P$17,($P$18+$P$19)/2)&lt;0.7),1,0)</f>
        <v>0</v>
      </c>
      <c r="I943" s="65" t="n">
        <f aca="false">IF(AND($P$9&lt;0.5*Collecte_norm,IF(I887&lt;=$P$11,0,$P$10)&lt;0.5,IF(I887&lt;=4,$P$17,($P$18+$P$19)/2)&lt;0.7),1,0)</f>
        <v>0</v>
      </c>
      <c r="J943" s="65" t="n">
        <f aca="false">IF(AND($P$9&lt;0.5*Collecte_norm,IF(J887&lt;=$P$11,0,$P$10)&lt;0.5,IF(J887&lt;=4,$P$17,($P$18+$P$19)/2)&lt;0.7),1,0)</f>
        <v>0</v>
      </c>
      <c r="K943" s="65" t="n">
        <f aca="false">IF(AND($P$9&lt;0.5*Collecte_norm,IF(K887&lt;=$P$11,0,$P$10)&lt;0.5,IF(K887&lt;=4,$P$17,($P$18+$P$19)/2)&lt;0.7),1,0)</f>
        <v>0</v>
      </c>
      <c r="L943" s="65" t="n">
        <f aca="false">IF(AND($P$9&lt;0.5*Collecte_norm,IF(L887&lt;=$P$11,0,$P$10)&lt;0.5,IF(L887&lt;=4,$P$17,($P$18+$P$19)/2)&lt;0.7),1,0)</f>
        <v>0</v>
      </c>
      <c r="M943" s="65" t="n">
        <f aca="false">IF(AND($P$9&lt;0.5*Collecte_norm,IF(M887&lt;=$P$11,0,$P$10)&lt;0.5,IF(M887&lt;=4,$P$17,($P$18+$P$19)/2)&lt;0.7),1,0)</f>
        <v>0</v>
      </c>
      <c r="N943" s="65" t="n">
        <f aca="false">IF(AND($P$9&lt;0.5*Collecte_norm,IF(N887&lt;=$P$11,0,$P$10)&lt;0.5,IF(N887&lt;=4,$P$17,($P$18+$P$19)/2)&lt;0.7),1,0)</f>
        <v>0</v>
      </c>
      <c r="O943" s="65" t="n">
        <f aca="false">IF(AND($P$9&lt;0.5*Collecte_norm,IF(O887&lt;=$P$11,0,$P$10)&lt;0.5,IF(O887&lt;=4,$P$17,($P$18+$P$19)/2)&lt;0.7),1,0)</f>
        <v>0</v>
      </c>
    </row>
    <row r="944" customFormat="false" ht="15" hidden="false" customHeight="false" outlineLevel="0" collapsed="false">
      <c r="B944" s="76" t="s">
        <v>1072</v>
      </c>
      <c r="C944" s="76" t="n">
        <v>99</v>
      </c>
      <c r="D944" s="76" t="n">
        <f aca="false">IF(D904=1,D890,99)</f>
        <v>1</v>
      </c>
      <c r="E944" s="76" t="n">
        <f aca="false">IF(E904=1,E890,99)</f>
        <v>99</v>
      </c>
      <c r="F944" s="76" t="n">
        <f aca="false">IF(F904=1,F890,99)</f>
        <v>2</v>
      </c>
      <c r="G944" s="76" t="n">
        <f aca="false">IF(G904=1,G890,99)</f>
        <v>99</v>
      </c>
      <c r="H944" s="76" t="n">
        <f aca="false">IF(H904=1,H890,99)</f>
        <v>3</v>
      </c>
      <c r="I944" s="76" t="n">
        <f aca="false">IF(I904=1,I890,99)</f>
        <v>99</v>
      </c>
      <c r="J944" s="76" t="n">
        <f aca="false">IF(J904=1,J890,99)</f>
        <v>4</v>
      </c>
      <c r="K944" s="76" t="n">
        <f aca="false">IF(K904=1,K890,99)</f>
        <v>99</v>
      </c>
      <c r="L944" s="76" t="n">
        <f aca="false">IF(L904=1,L890,99)</f>
        <v>99</v>
      </c>
      <c r="M944" s="76" t="n">
        <f aca="false">IF(M904=1,M890,99)</f>
        <v>99</v>
      </c>
      <c r="N944" s="76" t="n">
        <f aca="false">IF(N904=1,N890,99)</f>
        <v>99</v>
      </c>
      <c r="O944" s="76" t="n">
        <f aca="false">IF(O904=1,O890,99)</f>
        <v>99</v>
      </c>
    </row>
    <row r="945" customFormat="false" ht="15" hidden="false" customHeight="false" outlineLevel="0" collapsed="false">
      <c r="B945" s="76" t="s">
        <v>1073</v>
      </c>
      <c r="C945" s="76" t="n">
        <v>99</v>
      </c>
      <c r="D945" s="76" t="n">
        <f aca="false">IF(AND(D889=1,D890&gt;MIN($D944:$O944),D903&lt;=0.000001),D890,99)</f>
        <v>99</v>
      </c>
      <c r="E945" s="76" t="n">
        <f aca="false">IF(AND(E889=1,E890&gt;MIN($D944:$O944),E903&lt;=0.000001),E890,99)</f>
        <v>99</v>
      </c>
      <c r="F945" s="76" t="n">
        <f aca="false">IF(AND(F889=1,F890&gt;MIN($D944:$O944),F903&lt;=0.000001),F890,99)</f>
        <v>99</v>
      </c>
      <c r="G945" s="76" t="n">
        <f aca="false">IF(AND(G889=1,G890&gt;MIN($D944:$O944),G903&lt;=0.000001),G890,99)</f>
        <v>99</v>
      </c>
      <c r="H945" s="76" t="n">
        <f aca="false">IF(AND(H889=1,H890&gt;MIN($D944:$O944),H903&lt;=0.000001),H890,99)</f>
        <v>99</v>
      </c>
      <c r="I945" s="76" t="n">
        <f aca="false">IF(AND(I889=1,I890&gt;MIN($D944:$O944),I903&lt;=0.000001),I890,99)</f>
        <v>99</v>
      </c>
      <c r="J945" s="76" t="n">
        <f aca="false">IF(AND(J889=1,J890&gt;MIN($D944:$O944),J903&lt;=0.000001),J890,99)</f>
        <v>99</v>
      </c>
      <c r="K945" s="76" t="n">
        <f aca="false">IF(AND(K889=1,K890&gt;MIN($D944:$O944),K903&lt;=0.000001),K890,99)</f>
        <v>99</v>
      </c>
      <c r="L945" s="76" t="n">
        <f aca="false">IF(AND(L889=1,L890&gt;MIN($D944:$O944),L903&lt;=0.000001),L890,99)</f>
        <v>99</v>
      </c>
      <c r="M945" s="76" t="n">
        <f aca="false">IF(AND(M889=1,M890&gt;MIN($D944:$O944),M903&lt;=0.000001),M890,99)</f>
        <v>99</v>
      </c>
      <c r="N945" s="76" t="n">
        <f aca="false">IF(AND(N889=1,N890&gt;MIN($D944:$O944),N903&lt;=0.000001),N890,99)</f>
        <v>99</v>
      </c>
      <c r="O945" s="76" t="n">
        <f aca="false">IF(AND(O889=1,O890&gt;MIN($D944:$O944),O903&lt;=0.000001),O890,99)</f>
        <v>99</v>
      </c>
    </row>
    <row r="946" customFormat="false" ht="15" hidden="false" customHeight="false" outlineLevel="0" collapsed="false">
      <c r="B946" s="76" t="s">
        <v>1074</v>
      </c>
      <c r="C946" s="76" t="n">
        <v>9999999</v>
      </c>
      <c r="D946" s="76" t="n">
        <f aca="false">IF(D901=1,D888,9999999)</f>
        <v>9999999</v>
      </c>
      <c r="E946" s="76" t="n">
        <f aca="false">IF(E901=1,E888,9999999)</f>
        <v>9999999</v>
      </c>
      <c r="F946" s="76" t="n">
        <f aca="false">IF(F901=1,F888,9999999)</f>
        <v>9999999</v>
      </c>
      <c r="G946" s="76" t="n">
        <f aca="false">IF(G901=1,G888,9999999)</f>
        <v>9999999</v>
      </c>
      <c r="H946" s="76" t="n">
        <f aca="false">IF(H901=1,H888,9999999)</f>
        <v>9999999</v>
      </c>
      <c r="I946" s="76" t="n">
        <f aca="false">IF(I901=1,I888,9999999)</f>
        <v>9999999</v>
      </c>
      <c r="J946" s="76" t="n">
        <f aca="false">IF(J901=1,J888,9999999)</f>
        <v>9999999</v>
      </c>
      <c r="K946" s="76" t="n">
        <f aca="false">IF(K901=1,K888,9999999)</f>
        <v>9999999</v>
      </c>
      <c r="L946" s="77" t="n">
        <f aca="false">IF(L901=1,L888,9999999)</f>
        <v>47848</v>
      </c>
      <c r="M946" s="77" t="n">
        <f aca="false">IF(M901=1,M888,9999999)</f>
        <v>47938</v>
      </c>
      <c r="N946" s="77" t="n">
        <f aca="false">IF(N901=1,N888,9999999)</f>
        <v>48029</v>
      </c>
      <c r="O946" s="77" t="n">
        <f aca="false">IF(O901=1,O888,9999999)</f>
        <v>48121</v>
      </c>
    </row>
    <row r="947" customFormat="false" ht="15" hidden="false" customHeight="false" outlineLevel="0" collapsed="false">
      <c r="B947" s="76" t="s">
        <v>1075</v>
      </c>
      <c r="C947" s="76" t="n">
        <v>9999999</v>
      </c>
      <c r="D947" s="76" t="n">
        <f aca="false">IF(D943=1,D888,9999999)</f>
        <v>9999999</v>
      </c>
      <c r="E947" s="76" t="n">
        <f aca="false">IF(E943=1,E888,9999999)</f>
        <v>9999999</v>
      </c>
      <c r="F947" s="76" t="n">
        <f aca="false">IF(F943=1,F888,9999999)</f>
        <v>9999999</v>
      </c>
      <c r="G947" s="76" t="n">
        <f aca="false">IF(G943=1,G888,9999999)</f>
        <v>9999999</v>
      </c>
      <c r="H947" s="76" t="n">
        <f aca="false">IF(H943=1,H888,9999999)</f>
        <v>9999999</v>
      </c>
      <c r="I947" s="76" t="n">
        <f aca="false">IF(I943=1,I888,9999999)</f>
        <v>9999999</v>
      </c>
      <c r="J947" s="76" t="n">
        <f aca="false">IF(J943=1,J888,9999999)</f>
        <v>9999999</v>
      </c>
      <c r="K947" s="76" t="n">
        <f aca="false">IF(K943=1,K888,9999999)</f>
        <v>9999999</v>
      </c>
      <c r="L947" s="76" t="n">
        <f aca="false">IF(L943=1,L888,9999999)</f>
        <v>9999999</v>
      </c>
      <c r="M947" s="76" t="n">
        <f aca="false">IF(M943=1,M888,9999999)</f>
        <v>9999999</v>
      </c>
      <c r="N947" s="76" t="n">
        <f aca="false">IF(N943=1,N888,9999999)</f>
        <v>9999999</v>
      </c>
      <c r="O947" s="76" t="n">
        <f aca="false">IF(O943=1,O888,9999999)</f>
        <v>9999999</v>
      </c>
    </row>
    <row r="952" customFormat="false" ht="15" hidden="false" customHeight="false" outlineLevel="0" collapsed="false">
      <c r="B952" s="45" t="str">
        <f aca="false">Q$5</f>
        <v>Sans plafonnement 5 % par date</v>
      </c>
      <c r="C952" s="45" t="s">
        <v>55</v>
      </c>
      <c r="D952" s="45" t="n">
        <v>15</v>
      </c>
      <c r="E952" s="2"/>
      <c r="F952" s="2"/>
      <c r="G952" s="2"/>
      <c r="H952" s="2"/>
      <c r="I952" s="2"/>
      <c r="J952" s="2"/>
      <c r="K952" s="2"/>
      <c r="L952" s="2"/>
      <c r="M952" s="2"/>
      <c r="N952" s="2"/>
      <c r="O952" s="2"/>
    </row>
    <row r="953" customFormat="false" ht="15" hidden="false" customHeight="false" outlineLevel="0" collapsed="false">
      <c r="B953" s="65" t="s">
        <v>1019</v>
      </c>
      <c r="C953" s="65" t="n">
        <v>0</v>
      </c>
      <c r="D953" s="65" t="n">
        <v>1</v>
      </c>
      <c r="E953" s="65" t="n">
        <v>2</v>
      </c>
      <c r="F953" s="65" t="n">
        <v>3</v>
      </c>
      <c r="G953" s="65" t="n">
        <v>4</v>
      </c>
      <c r="H953" s="65" t="n">
        <v>5</v>
      </c>
      <c r="I953" s="65" t="n">
        <v>6</v>
      </c>
      <c r="J953" s="65" t="n">
        <v>7</v>
      </c>
      <c r="K953" s="65" t="n">
        <v>8</v>
      </c>
      <c r="L953" s="65" t="n">
        <v>9</v>
      </c>
      <c r="M953" s="65" t="n">
        <v>10</v>
      </c>
      <c r="N953" s="65" t="n">
        <v>11</v>
      </c>
      <c r="O953" s="65" t="n">
        <v>12</v>
      </c>
    </row>
    <row r="954" customFormat="false" ht="15" hidden="false" customHeight="false" outlineLevel="0" collapsed="false">
      <c r="B954" s="65" t="s">
        <v>209</v>
      </c>
      <c r="C954" s="71" t="n">
        <f aca="false">Date_depart</f>
        <v>47026</v>
      </c>
      <c r="D954" s="71" t="n">
        <f aca="false">EOMONTH(Date_depart,3*D953)</f>
        <v>47118</v>
      </c>
      <c r="E954" s="71" t="n">
        <f aca="false">EOMONTH(Date_depart,3*E953)</f>
        <v>47208</v>
      </c>
      <c r="F954" s="71" t="n">
        <f aca="false">EOMONTH(Date_depart,3*F953)</f>
        <v>47299</v>
      </c>
      <c r="G954" s="71" t="n">
        <f aca="false">EOMONTH(Date_depart,3*G953)</f>
        <v>47391</v>
      </c>
      <c r="H954" s="71" t="n">
        <f aca="false">EOMONTH(Date_depart,3*H953)</f>
        <v>47483</v>
      </c>
      <c r="I954" s="71" t="n">
        <f aca="false">EOMONTH(Date_depart,3*I953)</f>
        <v>47573</v>
      </c>
      <c r="J954" s="71" t="n">
        <f aca="false">EOMONTH(Date_depart,3*J953)</f>
        <v>47664</v>
      </c>
      <c r="K954" s="71" t="n">
        <f aca="false">EOMONTH(Date_depart,3*K953)</f>
        <v>47756</v>
      </c>
      <c r="L954" s="71" t="n">
        <f aca="false">EOMONTH(Date_depart,3*L953)</f>
        <v>47848</v>
      </c>
      <c r="M954" s="71" t="n">
        <f aca="false">EOMONTH(Date_depart,3*M953)</f>
        <v>47938</v>
      </c>
      <c r="N954" s="71" t="n">
        <f aca="false">EOMONTH(Date_depart,3*N953)</f>
        <v>48029</v>
      </c>
      <c r="O954" s="71" t="n">
        <f aca="false">EOMONTH(Date_depart,3*O953)</f>
        <v>48121</v>
      </c>
    </row>
    <row r="955" customFormat="false" ht="15" hidden="false" customHeight="false" outlineLevel="0" collapsed="false">
      <c r="B955" s="65" t="s">
        <v>1020</v>
      </c>
      <c r="C955" s="65" t="n">
        <v>0</v>
      </c>
      <c r="D955" s="65" t="n">
        <f aca="false">IF(OR(MONTH(D954)=6,MONTH(D954)=12),1,0)</f>
        <v>1</v>
      </c>
      <c r="E955" s="65" t="n">
        <f aca="false">IF(OR(MONTH(E954)=6,MONTH(E954)=12),1,0)</f>
        <v>0</v>
      </c>
      <c r="F955" s="65" t="n">
        <f aca="false">IF(OR(MONTH(F954)=6,MONTH(F954)=12),1,0)</f>
        <v>1</v>
      </c>
      <c r="G955" s="65" t="n">
        <f aca="false">IF(OR(MONTH(G954)=6,MONTH(G954)=12),1,0)</f>
        <v>0</v>
      </c>
      <c r="H955" s="65" t="n">
        <f aca="false">IF(OR(MONTH(H954)=6,MONTH(H954)=12),1,0)</f>
        <v>1</v>
      </c>
      <c r="I955" s="65" t="n">
        <f aca="false">IF(OR(MONTH(I954)=6,MONTH(I954)=12),1,0)</f>
        <v>0</v>
      </c>
      <c r="J955" s="65" t="n">
        <f aca="false">IF(OR(MONTH(J954)=6,MONTH(J954)=12),1,0)</f>
        <v>1</v>
      </c>
      <c r="K955" s="65" t="n">
        <f aca="false">IF(OR(MONTH(K954)=6,MONTH(K954)=12),1,0)</f>
        <v>0</v>
      </c>
      <c r="L955" s="65" t="n">
        <f aca="false">IF(OR(MONTH(L954)=6,MONTH(L954)=12),1,0)</f>
        <v>1</v>
      </c>
      <c r="M955" s="65" t="n">
        <f aca="false">IF(OR(MONTH(M954)=6,MONTH(M954)=12),1,0)</f>
        <v>0</v>
      </c>
      <c r="N955" s="65" t="n">
        <f aca="false">IF(OR(MONTH(N954)=6,MONTH(N954)=12),1,0)</f>
        <v>1</v>
      </c>
      <c r="O955" s="65" t="n">
        <f aca="false">IF(OR(MONTH(O954)=6,MONTH(O954)=12),1,0)</f>
        <v>0</v>
      </c>
    </row>
    <row r="956" customFormat="false" ht="15" hidden="false" customHeight="false" outlineLevel="0" collapsed="false">
      <c r="B956" s="65" t="s">
        <v>1021</v>
      </c>
      <c r="C956" s="65" t="n">
        <v>0</v>
      </c>
      <c r="D956" s="65" t="n">
        <f aca="false">C956+D955</f>
        <v>1</v>
      </c>
      <c r="E956" s="65" t="n">
        <f aca="false">D956+E955</f>
        <v>1</v>
      </c>
      <c r="F956" s="65" t="n">
        <f aca="false">E956+F955</f>
        <v>2</v>
      </c>
      <c r="G956" s="65" t="n">
        <f aca="false">F956+G955</f>
        <v>2</v>
      </c>
      <c r="H956" s="65" t="n">
        <f aca="false">G956+H955</f>
        <v>3</v>
      </c>
      <c r="I956" s="65" t="n">
        <f aca="false">H956+I955</f>
        <v>3</v>
      </c>
      <c r="J956" s="65" t="n">
        <f aca="false">I956+J955</f>
        <v>4</v>
      </c>
      <c r="K956" s="65" t="n">
        <f aca="false">J956+K955</f>
        <v>4</v>
      </c>
      <c r="L956" s="65" t="n">
        <f aca="false">K956+L955</f>
        <v>5</v>
      </c>
      <c r="M956" s="65" t="n">
        <f aca="false">L956+M955</f>
        <v>5</v>
      </c>
      <c r="N956" s="65" t="n">
        <f aca="false">M956+N955</f>
        <v>6</v>
      </c>
      <c r="O956" s="65" t="n">
        <f aca="false">N956+O955</f>
        <v>6</v>
      </c>
    </row>
    <row r="957" customFormat="false" ht="15" hidden="false" customHeight="false" outlineLevel="0" collapsed="false">
      <c r="B957" s="65" t="s">
        <v>1022</v>
      </c>
      <c r="C957" s="25"/>
      <c r="D957" s="72" t="n">
        <f aca="false">IF(D955=1,IF(C967=1,0,IF(D956=1,$Q$6,IF(D956=2,$Q$7,$Q$8))),0)</f>
        <v>0.05</v>
      </c>
      <c r="E957" s="72" t="n">
        <f aca="false">IF(E955=1,IF(D967=1,0,IF(E956=1,$Q$6,IF(E956=2,$Q$7,$Q$8))),0)</f>
        <v>0</v>
      </c>
      <c r="F957" s="72" t="n">
        <f aca="false">IF(F955=1,IF(E967=1,0,IF(F956=1,$Q$6,IF(F956=2,$Q$7,$Q$8))),0)</f>
        <v>0.05</v>
      </c>
      <c r="G957" s="72" t="n">
        <f aca="false">IF(G955=1,IF(F967=1,0,IF(G956=1,$Q$6,IF(G956=2,$Q$7,$Q$8))),0)</f>
        <v>0</v>
      </c>
      <c r="H957" s="72" t="n">
        <f aca="false">IF(H955=1,IF(G967=1,0,IF(H956=1,$Q$6,IF(H956=2,$Q$7,$Q$8))),0)</f>
        <v>0.05</v>
      </c>
      <c r="I957" s="72" t="n">
        <f aca="false">IF(I955=1,IF(H967=1,0,IF(I956=1,$Q$6,IF(I956=2,$Q$7,$Q$8))),0)</f>
        <v>0</v>
      </c>
      <c r="J957" s="72" t="n">
        <f aca="false">IF(J955=1,IF(I967=1,0,IF(J956=1,$Q$6,IF(J956=2,$Q$7,$Q$8))),0)</f>
        <v>0.05</v>
      </c>
      <c r="K957" s="72" t="n">
        <f aca="false">IF(K955=1,IF(J967=1,0,IF(K956=1,$Q$6,IF(K956=2,$Q$7,$Q$8))),0)</f>
        <v>0</v>
      </c>
      <c r="L957" s="72" t="n">
        <f aca="false">IF(L955=1,IF(K967=1,0,IF(L956=1,$Q$6,IF(L956=2,$Q$7,$Q$8))),0)</f>
        <v>0.05</v>
      </c>
      <c r="M957" s="72" t="n">
        <f aca="false">IF(M955=1,IF(L967=1,0,IF(M956=1,$Q$6,IF(M956=2,$Q$7,$Q$8))),0)</f>
        <v>0</v>
      </c>
      <c r="N957" s="72" t="n">
        <f aca="false">IF(N955=1,IF(M967=1,0,IF(N956=1,$Q$6,IF(N956=2,$Q$7,$Q$8))),0)</f>
        <v>0.05</v>
      </c>
      <c r="O957" s="72" t="n">
        <f aca="false">IF(O955=1,IF(N967=1,0,IF(O956=1,$Q$6,IF(O956=2,$Q$7,$Q$8))),0)</f>
        <v>0</v>
      </c>
    </row>
    <row r="958" customFormat="false" ht="15" hidden="false" customHeight="false" outlineLevel="0" collapsed="false">
      <c r="B958" s="65" t="s">
        <v>1023</v>
      </c>
      <c r="C958" s="25"/>
      <c r="D958" s="73" t="n">
        <f aca="false">C1002</f>
        <v>50000000</v>
      </c>
      <c r="E958" s="73" t="n">
        <f aca="false">D1002</f>
        <v>48100643.75</v>
      </c>
      <c r="F958" s="73" t="n">
        <f aca="false">E1002</f>
        <v>48823151.7132813</v>
      </c>
      <c r="G958" s="73" t="n">
        <f aca="false">F1002</f>
        <v>47105173.9904901</v>
      </c>
      <c r="H958" s="73" t="n">
        <f aca="false">G1002</f>
        <v>47826489.4455393</v>
      </c>
      <c r="I958" s="73" t="n">
        <f aca="false">H1002</f>
        <v>46183889.2303444</v>
      </c>
      <c r="J958" s="73" t="n">
        <f aca="false">I1002</f>
        <v>46930729.0550004</v>
      </c>
      <c r="K958" s="73" t="n">
        <f aca="false">J1002</f>
        <v>45332651.4154555</v>
      </c>
      <c r="L958" s="73" t="n">
        <f aca="false">K1002</f>
        <v>46080299.0246774</v>
      </c>
      <c r="M958" s="73" t="n">
        <f aca="false">L1002</f>
        <v>44526538.5481027</v>
      </c>
      <c r="N958" s="73" t="n">
        <f aca="false">M1002</f>
        <v>45276994.6003227</v>
      </c>
      <c r="O958" s="73" t="n">
        <f aca="false">N1002</f>
        <v>43767140.3797592</v>
      </c>
    </row>
    <row r="959" customFormat="false" ht="15" hidden="false" customHeight="false" outlineLevel="0" collapsed="false">
      <c r="B959" s="65" t="s">
        <v>177</v>
      </c>
      <c r="C959" s="25"/>
      <c r="D959" s="73" t="n">
        <f aca="false">IF(C967=1,0,$Q$9*D958)</f>
        <v>0</v>
      </c>
      <c r="E959" s="73" t="n">
        <f aca="false">IF(D967=1,0,$Q$9*E958)</f>
        <v>0</v>
      </c>
      <c r="F959" s="73" t="n">
        <f aca="false">IF(E967=1,0,$Q$9*F958)</f>
        <v>0</v>
      </c>
      <c r="G959" s="73" t="n">
        <f aca="false">IF(F967=1,0,$Q$9*G958)</f>
        <v>0</v>
      </c>
      <c r="H959" s="73" t="n">
        <f aca="false">IF(G967=1,0,$Q$9*H958)</f>
        <v>0</v>
      </c>
      <c r="I959" s="73" t="n">
        <f aca="false">IF(H967=1,0,$Q$9*I958)</f>
        <v>0</v>
      </c>
      <c r="J959" s="73" t="n">
        <f aca="false">IF(I967=1,0,$Q$9*J958)</f>
        <v>0</v>
      </c>
      <c r="K959" s="73" t="n">
        <f aca="false">IF(J967=1,0,$Q$9*K958)</f>
        <v>0</v>
      </c>
      <c r="L959" s="73" t="n">
        <f aca="false">IF(K967=1,0,$Q$9*L958)</f>
        <v>0</v>
      </c>
      <c r="M959" s="73" t="n">
        <f aca="false">IF(L967=1,0,$Q$9*M958)</f>
        <v>0</v>
      </c>
      <c r="N959" s="73" t="n">
        <f aca="false">IF(M967=1,0,$Q$9*N958)</f>
        <v>0</v>
      </c>
      <c r="O959" s="73" t="n">
        <f aca="false">IF(N967=1,0,$Q$9*O958)</f>
        <v>0</v>
      </c>
    </row>
    <row r="960" customFormat="false" ht="15" hidden="false" customHeight="false" outlineLevel="0" collapsed="false">
      <c r="B960" s="65" t="s">
        <v>1024</v>
      </c>
      <c r="C960" s="25"/>
      <c r="D960" s="73" t="n">
        <f aca="false">D957*D958</f>
        <v>2500000</v>
      </c>
      <c r="E960" s="73" t="n">
        <f aca="false">E957*E958</f>
        <v>0</v>
      </c>
      <c r="F960" s="73" t="n">
        <f aca="false">F957*F958</f>
        <v>2441157.58566406</v>
      </c>
      <c r="G960" s="73" t="n">
        <f aca="false">G957*G958</f>
        <v>0</v>
      </c>
      <c r="H960" s="73" t="n">
        <f aca="false">H957*H958</f>
        <v>2391324.47227697</v>
      </c>
      <c r="I960" s="73" t="n">
        <f aca="false">I957*I958</f>
        <v>0</v>
      </c>
      <c r="J960" s="73" t="n">
        <f aca="false">J957*J958</f>
        <v>2346536.45275002</v>
      </c>
      <c r="K960" s="73" t="n">
        <f aca="false">K957*K958</f>
        <v>0</v>
      </c>
      <c r="L960" s="73" t="n">
        <f aca="false">L957*L958</f>
        <v>2304014.95123387</v>
      </c>
      <c r="M960" s="73" t="n">
        <f aca="false">M957*M958</f>
        <v>0</v>
      </c>
      <c r="N960" s="73" t="n">
        <f aca="false">N957*N958</f>
        <v>2263849.73001613</v>
      </c>
      <c r="O960" s="73" t="n">
        <f aca="false">O957*O958</f>
        <v>0</v>
      </c>
    </row>
    <row r="961" customFormat="false" ht="15" hidden="false" customHeight="false" outlineLevel="0" collapsed="false">
      <c r="B961" s="65" t="s">
        <v>1025</v>
      </c>
      <c r="C961" s="25"/>
      <c r="D961" s="73" t="n">
        <f aca="false">C969</f>
        <v>0</v>
      </c>
      <c r="E961" s="73" t="n">
        <f aca="false">D969</f>
        <v>0</v>
      </c>
      <c r="F961" s="73" t="n">
        <f aca="false">E969</f>
        <v>0</v>
      </c>
      <c r="G961" s="73" t="n">
        <f aca="false">F969</f>
        <v>0</v>
      </c>
      <c r="H961" s="73" t="n">
        <f aca="false">G969</f>
        <v>0</v>
      </c>
      <c r="I961" s="73" t="n">
        <f aca="false">H969</f>
        <v>0</v>
      </c>
      <c r="J961" s="73" t="n">
        <f aca="false">I969</f>
        <v>0</v>
      </c>
      <c r="K961" s="73" t="n">
        <f aca="false">J969</f>
        <v>0</v>
      </c>
      <c r="L961" s="73" t="n">
        <f aca="false">K969</f>
        <v>0</v>
      </c>
      <c r="M961" s="73" t="n">
        <f aca="false">L969</f>
        <v>0</v>
      </c>
      <c r="N961" s="73" t="n">
        <f aca="false">M969</f>
        <v>0</v>
      </c>
      <c r="O961" s="73" t="n">
        <f aca="false">N969</f>
        <v>0</v>
      </c>
    </row>
    <row r="962" customFormat="false" ht="15" hidden="false" customHeight="false" outlineLevel="0" collapsed="false">
      <c r="B962" s="65" t="s">
        <v>1026</v>
      </c>
      <c r="C962" s="25"/>
      <c r="D962" s="73" t="n">
        <f aca="false">D960+D961</f>
        <v>2500000</v>
      </c>
      <c r="E962" s="73" t="n">
        <f aca="false">E960+E961</f>
        <v>0</v>
      </c>
      <c r="F962" s="73" t="n">
        <f aca="false">F960+F961</f>
        <v>2441157.58566406</v>
      </c>
      <c r="G962" s="73" t="n">
        <f aca="false">G960+G961</f>
        <v>0</v>
      </c>
      <c r="H962" s="73" t="n">
        <f aca="false">H960+H961</f>
        <v>2391324.47227697</v>
      </c>
      <c r="I962" s="73" t="n">
        <f aca="false">I960+I961</f>
        <v>0</v>
      </c>
      <c r="J962" s="73" t="n">
        <f aca="false">J960+J961</f>
        <v>2346536.45275002</v>
      </c>
      <c r="K962" s="73" t="n">
        <f aca="false">K960+K961</f>
        <v>0</v>
      </c>
      <c r="L962" s="73" t="n">
        <f aca="false">L960+L961</f>
        <v>2304014.95123387</v>
      </c>
      <c r="M962" s="73" t="n">
        <f aca="false">M960+M961</f>
        <v>0</v>
      </c>
      <c r="N962" s="73" t="n">
        <f aca="false">N960+N961</f>
        <v>2263849.73001613</v>
      </c>
      <c r="O962" s="73" t="n">
        <f aca="false">O960+O961</f>
        <v>0</v>
      </c>
    </row>
    <row r="963" customFormat="false" ht="15" hidden="false" customHeight="false" outlineLevel="0" collapsed="false">
      <c r="B963" s="65" t="s">
        <v>1027</v>
      </c>
      <c r="C963" s="25"/>
      <c r="D963" s="73" t="n">
        <f aca="false">IF($Q$21=1,Gate*D958+D959,D962)</f>
        <v>2500000</v>
      </c>
      <c r="E963" s="73" t="n">
        <f aca="false">IF($Q$21=1,Gate*E958+E959,E962)</f>
        <v>0</v>
      </c>
      <c r="F963" s="73" t="n">
        <f aca="false">IF($Q$21=1,Gate*F958+F959,F962)</f>
        <v>2441157.58566406</v>
      </c>
      <c r="G963" s="73" t="n">
        <f aca="false">IF($Q$21=1,Gate*G958+G959,G962)</f>
        <v>0</v>
      </c>
      <c r="H963" s="73" t="n">
        <f aca="false">IF($Q$21=1,Gate*H958+H959,H962)</f>
        <v>2391324.47227697</v>
      </c>
      <c r="I963" s="73" t="n">
        <f aca="false">IF($Q$21=1,Gate*I958+I959,I962)</f>
        <v>0</v>
      </c>
      <c r="J963" s="73" t="n">
        <f aca="false">IF($Q$21=1,Gate*J958+J959,J962)</f>
        <v>2346536.45275002</v>
      </c>
      <c r="K963" s="73" t="n">
        <f aca="false">IF($Q$21=1,Gate*K958+K959,K962)</f>
        <v>0</v>
      </c>
      <c r="L963" s="73" t="n">
        <f aca="false">IF($Q$21=1,Gate*L958+L959,L962)</f>
        <v>2304014.95123387</v>
      </c>
      <c r="M963" s="73" t="n">
        <f aca="false">IF($Q$21=1,Gate*M958+M959,M962)</f>
        <v>0</v>
      </c>
      <c r="N963" s="73" t="n">
        <f aca="false">IF($Q$21=1,Gate*N958+N959,N962)</f>
        <v>2263849.73001613</v>
      </c>
      <c r="O963" s="73" t="n">
        <f aca="false">IF($Q$21=1,Gate*O958+O959,O962)</f>
        <v>0</v>
      </c>
    </row>
    <row r="964" customFormat="false" ht="15" hidden="false" customHeight="false" outlineLevel="0" collapsed="false">
      <c r="B964" s="65" t="s">
        <v>1028</v>
      </c>
      <c r="C964" s="25"/>
      <c r="D964" s="73" t="n">
        <f aca="false">IF(D955=1,MIN(D962,D963),0)</f>
        <v>2500000</v>
      </c>
      <c r="E964" s="73" t="n">
        <f aca="false">IF(E955=1,MIN(E962,E963),0)</f>
        <v>0</v>
      </c>
      <c r="F964" s="73" t="n">
        <f aca="false">IF(F955=1,MIN(F962,F963),0)</f>
        <v>2441157.58566406</v>
      </c>
      <c r="G964" s="73" t="n">
        <f aca="false">IF(G955=1,MIN(G962,G963),0)</f>
        <v>0</v>
      </c>
      <c r="H964" s="73" t="n">
        <f aca="false">IF(H955=1,MIN(H962,H963),0)</f>
        <v>2391324.47227697</v>
      </c>
      <c r="I964" s="73" t="n">
        <f aca="false">IF(I955=1,MIN(I962,I963),0)</f>
        <v>0</v>
      </c>
      <c r="J964" s="73" t="n">
        <f aca="false">IF(J955=1,MIN(J962,J963),0)</f>
        <v>2346536.45275002</v>
      </c>
      <c r="K964" s="73" t="n">
        <f aca="false">IF(K955=1,MIN(K962,K963),0)</f>
        <v>0</v>
      </c>
      <c r="L964" s="73" t="n">
        <f aca="false">IF(L955=1,MIN(L962,L963),0)</f>
        <v>2304014.95123387</v>
      </c>
      <c r="M964" s="73" t="n">
        <f aca="false">IF(M955=1,MIN(M962,M963),0)</f>
        <v>0</v>
      </c>
      <c r="N964" s="73" t="n">
        <f aca="false">IF(N955=1,MIN(N962,N963),0)</f>
        <v>2263849.73001613</v>
      </c>
      <c r="O964" s="73" t="n">
        <f aca="false">IF(O955=1,MIN(O962,O963),0)</f>
        <v>0</v>
      </c>
    </row>
    <row r="965" customFormat="false" ht="15" hidden="false" customHeight="false" outlineLevel="0" collapsed="false">
      <c r="B965" s="65" t="s">
        <v>1029</v>
      </c>
      <c r="C965" s="25"/>
      <c r="D965" s="73" t="n">
        <f aca="false">MAX(0,D993+D984+D985-Poche_min_exec*D958-D964-SUM(E990:F990)+MAX(0,MIN($Q$20*AN_cible,Emprunt_max*D958)-C1001))</f>
        <v>0</v>
      </c>
      <c r="E965" s="73" t="n">
        <f aca="false">MAX(0,E993+E984+E985-Poche_min_exec*E958-E964-SUM(F990:G990)+MAX(0,MIN($Q$20*AN_cible,Emprunt_max*E958)-D1001))</f>
        <v>502827.0625</v>
      </c>
      <c r="F965" s="73" t="n">
        <f aca="false">MAX(0,F993+F984+F985-Poche_min_exec*F958-F964-SUM(G990:H990)+MAX(0,MIN($Q$20*AN_cible,Emprunt_max*F958)-E1001))</f>
        <v>0</v>
      </c>
      <c r="G965" s="73" t="n">
        <f aca="false">MAX(0,G993+G984+G985-Poche_min_exec*G958-G964-SUM(H990:I990)+MAX(0,MIN($Q$20*AN_cible,Emprunt_max*G958)-F1001))</f>
        <v>0</v>
      </c>
      <c r="H965" s="73" t="n">
        <f aca="false">MAX(0,H993+H984+H985-Poche_min_exec*H958-H964-SUM(I990:J990)+MAX(0,MIN($Q$20*AN_cible,Emprunt_max*H958)-G1001))</f>
        <v>0</v>
      </c>
      <c r="I965" s="73" t="n">
        <f aca="false">MAX(0,I993+I984+I985-Poche_min_exec*I958-I964-SUM(J990:K990)+MAX(0,MIN($Q$20*AN_cible,Emprunt_max*I958)-H1001))</f>
        <v>0</v>
      </c>
      <c r="J965" s="73" t="n">
        <f aca="false">MAX(0,J993+J984+J985-Poche_min_exec*J958-J964-SUM(K990:L990)+MAX(0,MIN($Q$20*AN_cible,Emprunt_max*J958)-I1001))</f>
        <v>0</v>
      </c>
      <c r="K965" s="73" t="n">
        <f aca="false">MAX(0,K993+K984+K985-Poche_min_exec*K958-K964-SUM(L990:M990)+MAX(0,MIN($Q$20*AN_cible,Emprunt_max*K958)-J1001))</f>
        <v>0</v>
      </c>
      <c r="L965" s="73" t="n">
        <f aca="false">MAX(0,L993+L984+L985-Poche_min_exec*L958-L964-SUM(M990:N990)+MAX(0,MIN($Q$20*AN_cible,Emprunt_max*L958)-K1001))</f>
        <v>0</v>
      </c>
      <c r="M965" s="73" t="n">
        <f aca="false">MAX(0,M993+M984+M985-Poche_min_exec*M958-M964-SUM(N990:O990)+MAX(0,MIN($Q$20*AN_cible,Emprunt_max*M958)-L1001))</f>
        <v>0</v>
      </c>
      <c r="N965" s="73" t="n">
        <f aca="false">MAX(0,N993+N984+N985-Poche_min_exec*N958-N964-SUM(O990:O990)+MAX(0,MIN($Q$20*AN_cible,Emprunt_max*N958)-M1001))</f>
        <v>0</v>
      </c>
      <c r="O965" s="73" t="n">
        <f aca="false">MAX(0,O993+O984+O985-Poche_min_exec*O958-O964-0+MAX(0,MIN($Q$20*AN_cible,Emprunt_max*O958)-N1001))</f>
        <v>0</v>
      </c>
    </row>
    <row r="966" customFormat="false" ht="15" hidden="false" customHeight="false" outlineLevel="0" collapsed="false">
      <c r="B966" s="65" t="s">
        <v>1030</v>
      </c>
      <c r="C966" s="25"/>
      <c r="D966" s="73" t="n">
        <f aca="false">IF(AND(D955=1,$Q$21=1,$Q$22=1),MIN(D962-D964,D965),0)</f>
        <v>0</v>
      </c>
      <c r="E966" s="73" t="n">
        <f aca="false">IF(AND(E955=1,$Q$21=1,$Q$22=1),MIN(E962-E964,E965),0)</f>
        <v>0</v>
      </c>
      <c r="F966" s="73" t="n">
        <f aca="false">IF(AND(F955=1,$Q$21=1,$Q$22=1),MIN(F962-F964,F965),0)</f>
        <v>0</v>
      </c>
      <c r="G966" s="73" t="n">
        <f aca="false">IF(AND(G955=1,$Q$21=1,$Q$22=1),MIN(G962-G964,G965),0)</f>
        <v>0</v>
      </c>
      <c r="H966" s="73" t="n">
        <f aca="false">IF(AND(H955=1,$Q$21=1,$Q$22=1),MIN(H962-H964,H965),0)</f>
        <v>0</v>
      </c>
      <c r="I966" s="73" t="n">
        <f aca="false">IF(AND(I955=1,$Q$21=1,$Q$22=1),MIN(I962-I964,I965),0)</f>
        <v>0</v>
      </c>
      <c r="J966" s="73" t="n">
        <f aca="false">IF(AND(J955=1,$Q$21=1,$Q$22=1),MIN(J962-J964,J965),0)</f>
        <v>0</v>
      </c>
      <c r="K966" s="73" t="n">
        <f aca="false">IF(AND(K955=1,$Q$21=1,$Q$22=1),MIN(K962-K964,K965),0)</f>
        <v>0</v>
      </c>
      <c r="L966" s="73" t="n">
        <f aca="false">IF(AND(L955=1,$Q$21=1,$Q$22=1),MIN(L962-L964,L965),0)</f>
        <v>0</v>
      </c>
      <c r="M966" s="73" t="n">
        <f aca="false">IF(AND(M955=1,$Q$21=1,$Q$22=1),MIN(M962-M964,M965),0)</f>
        <v>0</v>
      </c>
      <c r="N966" s="73" t="n">
        <f aca="false">IF(AND(N955=1,$Q$21=1,$Q$22=1),MIN(N962-N964,N965),0)</f>
        <v>0</v>
      </c>
      <c r="O966" s="73" t="n">
        <f aca="false">IF(AND(O955=1,$Q$21=1,$Q$22=1),MIN(O962-O964,O965),0)</f>
        <v>0</v>
      </c>
    </row>
    <row r="967" customFormat="false" ht="15" hidden="false" customHeight="false" outlineLevel="0" collapsed="false">
      <c r="B967" s="65" t="s">
        <v>1031</v>
      </c>
      <c r="C967" s="65" t="n">
        <v>0</v>
      </c>
      <c r="D967" s="65" t="n">
        <f aca="false">IF(C967=1,1,IF(AND(D955=1,$Q$21=1,C971&gt;=Gate_dates,D962-D964-D966&gt;0.000001),1,0))</f>
        <v>0</v>
      </c>
      <c r="E967" s="65" t="n">
        <f aca="false">IF(D967=1,1,IF(AND(E955=1,$Q$21=1,D971&gt;=Gate_dates,E962-E964-E966&gt;0.000001),1,0))</f>
        <v>0</v>
      </c>
      <c r="F967" s="65" t="n">
        <f aca="false">IF(E967=1,1,IF(AND(F955=1,$Q$21=1,E971&gt;=Gate_dates,F962-F964-F966&gt;0.000001),1,0))</f>
        <v>0</v>
      </c>
      <c r="G967" s="65" t="n">
        <f aca="false">IF(F967=1,1,IF(AND(G955=1,$Q$21=1,F971&gt;=Gate_dates,G962-G964-G966&gt;0.000001),1,0))</f>
        <v>0</v>
      </c>
      <c r="H967" s="65" t="n">
        <f aca="false">IF(G967=1,1,IF(AND(H955=1,$Q$21=1,G971&gt;=Gate_dates,H962-H964-H966&gt;0.000001),1,0))</f>
        <v>0</v>
      </c>
      <c r="I967" s="65" t="n">
        <f aca="false">IF(H967=1,1,IF(AND(I955=1,$Q$21=1,H971&gt;=Gate_dates,I962-I964-I966&gt;0.000001),1,0))</f>
        <v>0</v>
      </c>
      <c r="J967" s="65" t="n">
        <f aca="false">IF(I967=1,1,IF(AND(J955=1,$Q$21=1,I971&gt;=Gate_dates,J962-J964-J966&gt;0.000001),1,0))</f>
        <v>0</v>
      </c>
      <c r="K967" s="65" t="n">
        <f aca="false">IF(J967=1,1,IF(AND(K955=1,$Q$21=1,J971&gt;=Gate_dates,K962-K964-K966&gt;0.000001),1,0))</f>
        <v>0</v>
      </c>
      <c r="L967" s="65" t="n">
        <f aca="false">IF(K967=1,1,IF(AND(L955=1,$Q$21=1,K971&gt;=Gate_dates,L962-L964-L966&gt;0.000001),1,0))</f>
        <v>0</v>
      </c>
      <c r="M967" s="65" t="n">
        <f aca="false">IF(L967=1,1,IF(AND(M955=1,$Q$21=1,L971&gt;=Gate_dates,M962-M964-M966&gt;0.000001),1,0))</f>
        <v>0</v>
      </c>
      <c r="N967" s="65" t="n">
        <f aca="false">IF(M967=1,1,IF(AND(N955=1,$Q$21=1,M971&gt;=Gate_dates,N962-N964-N966&gt;0.000001),1,0))</f>
        <v>0</v>
      </c>
      <c r="O967" s="65" t="n">
        <f aca="false">IF(N967=1,1,IF(AND(O955=1,$Q$21=1,N971&gt;=Gate_dates,O962-O964-O966&gt;0.000001),1,0))</f>
        <v>0</v>
      </c>
    </row>
    <row r="968" customFormat="false" ht="15" hidden="false" customHeight="false" outlineLevel="0" collapsed="false">
      <c r="B968" s="65" t="s">
        <v>1032</v>
      </c>
      <c r="C968" s="25"/>
      <c r="D968" s="73" t="n">
        <f aca="false">IF(D967=1,0,D964+D966)</f>
        <v>2500000</v>
      </c>
      <c r="E968" s="73" t="n">
        <f aca="false">IF(E967=1,0,E964+E966)</f>
        <v>0</v>
      </c>
      <c r="F968" s="73" t="n">
        <f aca="false">IF(F967=1,0,F964+F966)</f>
        <v>2441157.58566406</v>
      </c>
      <c r="G968" s="73" t="n">
        <f aca="false">IF(G967=1,0,G964+G966)</f>
        <v>0</v>
      </c>
      <c r="H968" s="73" t="n">
        <f aca="false">IF(H967=1,0,H964+H966)</f>
        <v>2391324.47227697</v>
      </c>
      <c r="I968" s="73" t="n">
        <f aca="false">IF(I967=1,0,I964+I966)</f>
        <v>0</v>
      </c>
      <c r="J968" s="73" t="n">
        <f aca="false">IF(J967=1,0,J964+J966)</f>
        <v>2346536.45275002</v>
      </c>
      <c r="K968" s="73" t="n">
        <f aca="false">IF(K967=1,0,K964+K966)</f>
        <v>0</v>
      </c>
      <c r="L968" s="73" t="n">
        <f aca="false">IF(L967=1,0,L964+L966)</f>
        <v>2304014.95123387</v>
      </c>
      <c r="M968" s="73" t="n">
        <f aca="false">IF(M967=1,0,M964+M966)</f>
        <v>0</v>
      </c>
      <c r="N968" s="73" t="n">
        <f aca="false">IF(N967=1,0,N964+N966)</f>
        <v>2263849.73001613</v>
      </c>
      <c r="O968" s="73" t="n">
        <f aca="false">IF(O967=1,0,O964+O966)</f>
        <v>0</v>
      </c>
    </row>
    <row r="969" customFormat="false" ht="15" hidden="false" customHeight="false" outlineLevel="0" collapsed="false">
      <c r="B969" s="65" t="s">
        <v>1033</v>
      </c>
      <c r="C969" s="73" t="n">
        <v>0</v>
      </c>
      <c r="D969" s="73" t="n">
        <f aca="false">D962-D968</f>
        <v>0</v>
      </c>
      <c r="E969" s="73" t="n">
        <f aca="false">E962-E968</f>
        <v>0</v>
      </c>
      <c r="F969" s="73" t="n">
        <f aca="false">F962-F968</f>
        <v>0</v>
      </c>
      <c r="G969" s="73" t="n">
        <f aca="false">G962-G968</f>
        <v>0</v>
      </c>
      <c r="H969" s="73" t="n">
        <f aca="false">H962-H968</f>
        <v>0</v>
      </c>
      <c r="I969" s="73" t="n">
        <f aca="false">I962-I968</f>
        <v>0</v>
      </c>
      <c r="J969" s="73" t="n">
        <f aca="false">J962-J968</f>
        <v>0</v>
      </c>
      <c r="K969" s="73" t="n">
        <f aca="false">K962-K968</f>
        <v>0</v>
      </c>
      <c r="L969" s="73" t="n">
        <f aca="false">L962-L968</f>
        <v>0</v>
      </c>
      <c r="M969" s="73" t="n">
        <f aca="false">M962-M968</f>
        <v>0</v>
      </c>
      <c r="N969" s="73" t="n">
        <f aca="false">N962-N968</f>
        <v>0</v>
      </c>
      <c r="O969" s="73" t="n">
        <f aca="false">O962-O968</f>
        <v>0</v>
      </c>
    </row>
    <row r="970" customFormat="false" ht="15" hidden="false" customHeight="false" outlineLevel="0" collapsed="false">
      <c r="B970" s="65" t="s">
        <v>1034</v>
      </c>
      <c r="C970" s="25"/>
      <c r="D970" s="65" t="n">
        <f aca="false">IF(AND(D955=1,D967=0,D969&gt;0.000001),1,0)</f>
        <v>0</v>
      </c>
      <c r="E970" s="65" t="n">
        <f aca="false">IF(AND(E955=1,E967=0,E969&gt;0.000001),1,0)</f>
        <v>0</v>
      </c>
      <c r="F970" s="65" t="n">
        <f aca="false">IF(AND(F955=1,F967=0,F969&gt;0.000001),1,0)</f>
        <v>0</v>
      </c>
      <c r="G970" s="65" t="n">
        <f aca="false">IF(AND(G955=1,G967=0,G969&gt;0.000001),1,0)</f>
        <v>0</v>
      </c>
      <c r="H970" s="65" t="n">
        <f aca="false">IF(AND(H955=1,H967=0,H969&gt;0.000001),1,0)</f>
        <v>0</v>
      </c>
      <c r="I970" s="65" t="n">
        <f aca="false">IF(AND(I955=1,I967=0,I969&gt;0.000001),1,0)</f>
        <v>0</v>
      </c>
      <c r="J970" s="65" t="n">
        <f aca="false">IF(AND(J955=1,J967=0,J969&gt;0.000001),1,0)</f>
        <v>0</v>
      </c>
      <c r="K970" s="65" t="n">
        <f aca="false">IF(AND(K955=1,K967=0,K969&gt;0.000001),1,0)</f>
        <v>0</v>
      </c>
      <c r="L970" s="65" t="n">
        <f aca="false">IF(AND(L955=1,L967=0,L969&gt;0.000001),1,0)</f>
        <v>0</v>
      </c>
      <c r="M970" s="65" t="n">
        <f aca="false">IF(AND(M955=1,M967=0,M969&gt;0.000001),1,0)</f>
        <v>0</v>
      </c>
      <c r="N970" s="65" t="n">
        <f aca="false">IF(AND(N955=1,N967=0,N969&gt;0.000001),1,0)</f>
        <v>0</v>
      </c>
      <c r="O970" s="65" t="n">
        <f aca="false">IF(AND(O955=1,O967=0,O969&gt;0.000001),1,0)</f>
        <v>0</v>
      </c>
    </row>
    <row r="971" customFormat="false" ht="15" hidden="false" customHeight="false" outlineLevel="0" collapsed="false">
      <c r="B971" s="65" t="s">
        <v>843</v>
      </c>
      <c r="C971" s="65" t="n">
        <v>0</v>
      </c>
      <c r="D971" s="65" t="n">
        <f aca="false">IF(D955=1,IF(D970=1,C971+1,0),C971)</f>
        <v>0</v>
      </c>
      <c r="E971" s="65" t="n">
        <f aca="false">IF(E955=1,IF(E970=1,D971+1,0),D971)</f>
        <v>0</v>
      </c>
      <c r="F971" s="65" t="n">
        <f aca="false">IF(F955=1,IF(F970=1,E971+1,0),E971)</f>
        <v>0</v>
      </c>
      <c r="G971" s="65" t="n">
        <f aca="false">IF(G955=1,IF(G970=1,F971+1,0),F971)</f>
        <v>0</v>
      </c>
      <c r="H971" s="65" t="n">
        <f aca="false">IF(H955=1,IF(H970=1,G971+1,0),G971)</f>
        <v>0</v>
      </c>
      <c r="I971" s="65" t="n">
        <f aca="false">IF(I955=1,IF(I970=1,H971+1,0),H971)</f>
        <v>0</v>
      </c>
      <c r="J971" s="65" t="n">
        <f aca="false">IF(J955=1,IF(J970=1,I971+1,0),I971)</f>
        <v>0</v>
      </c>
      <c r="K971" s="65" t="n">
        <f aca="false">IF(K955=1,IF(K970=1,J971+1,0),J971)</f>
        <v>0</v>
      </c>
      <c r="L971" s="65" t="n">
        <f aca="false">IF(L955=1,IF(L970=1,K971+1,0),K971)</f>
        <v>0</v>
      </c>
      <c r="M971" s="65" t="n">
        <f aca="false">IF(M955=1,IF(M970=1,L971+1,0),L971)</f>
        <v>0</v>
      </c>
      <c r="N971" s="65" t="n">
        <f aca="false">IF(N955=1,IF(N970=1,M971+1,0),M971)</f>
        <v>0</v>
      </c>
      <c r="O971" s="65" t="n">
        <f aca="false">IF(O955=1,IF(O970=1,N971+1,0),N971)</f>
        <v>0</v>
      </c>
    </row>
    <row r="972" customFormat="false" ht="15" hidden="false" customHeight="false" outlineLevel="0" collapsed="false">
      <c r="B972" s="65" t="s">
        <v>1035</v>
      </c>
      <c r="C972" s="73" t="n">
        <f aca="false">AN_cible*Ws_MAPIF</f>
        <v>12500000</v>
      </c>
      <c r="D972" s="73" t="n">
        <f aca="false">C972*(1+Rend_MAPIF/4)*IF(D953=1,(1-(Cap_MAPIF*$Q$15+(1-Cap_MAPIF)*$Q$16))*(1+1*$Q$14),1)+D982-D976-D997*IF((C972+C973+C974+C975)&gt;0,C972/(C972+C973+C974+C975),0)</f>
        <v>12971562.5</v>
      </c>
      <c r="E972" s="73" t="n">
        <f aca="false">D972*(1+Rend_MAPIF/4)*IF(E953=1,(1-(Cap_MAPIF*$Q$15+(1-Cap_MAPIF)*$Q$16))*(1+1*$Q$14),1)+E982-E976-E997*IF((D972+D973+D974+D975)&gt;0,D972/(D972+D973+D974+D975),0)</f>
        <v>13446767.8203125</v>
      </c>
      <c r="F972" s="73" t="n">
        <f aca="false">E972*(1+Rend_MAPIF/4)*IF(F953=1,(1-(Cap_MAPIF*$Q$15+(1-Cap_MAPIF)*$Q$16))*(1+1*$Q$14),1)+F982-F976-F997*IF((E972+E973+E974+E975)&gt;0,E972/(E972+E973+E974+E975),0)</f>
        <v>13925644.1017244</v>
      </c>
      <c r="G972" s="73" t="n">
        <f aca="false">F972*(1+Rend_MAPIF/4)*IF(G953=1,(1-(Cap_MAPIF*$Q$15+(1-Cap_MAPIF)*$Q$16))*(1+1*$Q$14),1)+G982-G976-G997*IF((F972+F973+F974+F975)&gt;0,F972/(F972+F973+F974+F975),0)</f>
        <v>14408219.7024102</v>
      </c>
      <c r="H972" s="73" t="n">
        <f aca="false">G972*(1+Rend_MAPIF/4)*IF(H953=1,(1-(Cap_MAPIF*$Q$15+(1-Cap_MAPIF)*$Q$16))*(1+1*$Q$14),1)+H982-H976-H997*IF((G972+G973+G974+G975)&gt;0,G972/(G972+G973+G974+G975),0)</f>
        <v>14894523.1996114</v>
      </c>
      <c r="I972" s="73" t="n">
        <f aca="false">H972*(1+Rend_MAPIF/4)*IF(I953=1,(1-(Cap_MAPIF*$Q$15+(1-Cap_MAPIF)*$Q$16))*(1+1*$Q$14),1)+I982-I976-I997*IF((H972+H973+H974+H975)&gt;0,H972/(H972+H973+H974+H975),0)</f>
        <v>15384583.3913284</v>
      </c>
      <c r="J972" s="73" t="n">
        <f aca="false">I972*(1+Rend_MAPIF/4)*IF(J953=1,(1-(Cap_MAPIF*$Q$15+(1-Cap_MAPIF)*$Q$16))*(1+1*$Q$14),1)+J982-J976-J997*IF((I972+I973+I974+I975)&gt;0,I972/(I972+I973+I974+I975),0)</f>
        <v>15878429.2980264</v>
      </c>
      <c r="K972" s="73" t="n">
        <f aca="false">J972*(1+Rend_MAPIF/4)*IF(K953=1,(1-(Cap_MAPIF*$Q$15+(1-Cap_MAPIF)*$Q$16))*(1+1*$Q$14),1)+K982-K976-K997*IF((J972+J973+J974+J975)&gt;0,J972/(J972+J973+J974+J975),0)</f>
        <v>16376090.1643536</v>
      </c>
      <c r="L972" s="73" t="n">
        <f aca="false">K972*(1+Rend_MAPIF/4)*IF(L953=1,(1-(Cap_MAPIF*$Q$15+(1-Cap_MAPIF)*$Q$16))*(1+1*$Q$14),1)+L982-L976-L997*IF((K972+K973+K974+K975)&gt;0,K972/(K972+K973+K974+K975),0)</f>
        <v>16877595.4608733</v>
      </c>
      <c r="M972" s="73" t="n">
        <f aca="false">L972*(1+Rend_MAPIF/4)*IF(M953=1,(1-(Cap_MAPIF*$Q$15+(1-Cap_MAPIF)*$Q$16))*(1+1*$Q$14),1)+M982-M976-M997*IF((L972+L973+L974+L975)&gt;0,L972/(L972+L973+L974+L975),0)</f>
        <v>17382974.8858085</v>
      </c>
      <c r="N972" s="73" t="n">
        <f aca="false">M972*(1+Rend_MAPIF/4)*IF(N953=1,(1-(Cap_MAPIF*$Q$15+(1-Cap_MAPIF)*$Q$16))*(1+1*$Q$14),1)+N982-N976-N997*IF((M972+M973+M974+M975)&gt;0,M972/(M972+M973+M974+M975),0)</f>
        <v>17892258.3668014</v>
      </c>
      <c r="O972" s="73" t="n">
        <f aca="false">N972*(1+Rend_MAPIF/4)*IF(O953=1,(1-(Cap_MAPIF*$Q$15+(1-Cap_MAPIF)*$Q$16))*(1+1*$Q$14),1)+O982-O976-O997*IF((N972+N973+N974+N975)&gt;0,N972/(N972+N973+N974+N975),0)</f>
        <v>18405476.0626849</v>
      </c>
    </row>
    <row r="973" customFormat="false" ht="15" hidden="false" customHeight="false" outlineLevel="0" collapsed="false">
      <c r="B973" s="65" t="s">
        <v>1036</v>
      </c>
      <c r="C973" s="73" t="n">
        <f aca="false">AN_cible*Ws_MSIG</f>
        <v>5500000</v>
      </c>
      <c r="D973" s="73" t="n">
        <f aca="false">C973*(1+Rend_MSIG/4)*IF(D953=1,(1-(Cap_MSIG*$Q$15+(1-Cap_MSIG)*$Q$16))*(1+MSIG_USD*$Q$14),1)+D983-D977-D997*IF((C972+C973+C974+C975)&gt;0,C973/(C972+C973+C974+C975),0)</f>
        <v>5773237.5</v>
      </c>
      <c r="E973" s="73" t="n">
        <f aca="false">D973*(1+Rend_MSIG/4)*IF(E953=1,(1-(Cap_MSIG*$Q$15+(1-Cap_MSIG)*$Q$16))*(1+MSIG_USD*$Q$14),1)+E983-E977-E997*IF((D972+D973+D974+D975)&gt;0,D973/(D972+D973+D974+D975),0)</f>
        <v>6047629.4284375</v>
      </c>
      <c r="F973" s="73" t="n">
        <f aca="false">E973*(1+Rend_MSIG/4)*IF(F953=1,(1-(Cap_MSIG*$Q$15+(1-Cap_MSIG)*$Q$16))*(1+MSIG_USD*$Q$14),1)+F983-F977-F997*IF((E972+E973+E974+E975)&gt;0,E973/(E972+E973+E974+E975),0)</f>
        <v>6323180.66277265</v>
      </c>
      <c r="G973" s="73" t="n">
        <f aca="false">F973*(1+Rend_MSIG/4)*IF(G953=1,(1-(Cap_MSIG*$Q$15+(1-Cap_MSIG)*$Q$16))*(1+MSIG_USD*$Q$14),1)+G983-G977-G997*IF((F972+F973+F974+F975)&gt;0,F973/(F972+F973+F974+F975),0)</f>
        <v>6599896.10107286</v>
      </c>
      <c r="H973" s="73" t="n">
        <f aca="false">G973*(1+Rend_MSIG/4)*IF(H953=1,(1-(Cap_MSIG*$Q$15+(1-Cap_MSIG)*$Q$16))*(1+MSIG_USD*$Q$14),1)+H983-H977-H997*IF((G972+G973+G974+G975)&gt;0,G973/(G972+G973+G974+G975),0)</f>
        <v>6877780.6620999</v>
      </c>
      <c r="I973" s="73" t="n">
        <f aca="false">H973*(1+Rend_MSIG/4)*IF(I953=1,(1-(Cap_MSIG*$Q$15+(1-Cap_MSIG)*$Q$16))*(1+MSIG_USD*$Q$14),1)+I983-I977-I997*IF((H972+H973+H974+H975)&gt;0,H973/(H972+H973+H974+H975),0)</f>
        <v>7156839.28539727</v>
      </c>
      <c r="J973" s="73" t="n">
        <f aca="false">I973*(1+Rend_MSIG/4)*IF(J953=1,(1-(Cap_MSIG*$Q$15+(1-Cap_MSIG)*$Q$16))*(1+MSIG_USD*$Q$14),1)+J983-J977-J997*IF((I972+I973+I974+I975)&gt;0,I973/(I972+I973+I974+I975),0)</f>
        <v>7437076.93137807</v>
      </c>
      <c r="K973" s="73" t="n">
        <f aca="false">J973*(1+Rend_MSIG/4)*IF(K953=1,(1-(Cap_MSIG*$Q$15+(1-Cap_MSIG)*$Q$16))*(1+MSIG_USD*$Q$14),1)+K983-K977-K997*IF((J972+J973+J974+J975)&gt;0,J973/(J972+J973+J974+J975),0)</f>
        <v>7718498.58141314</v>
      </c>
      <c r="L973" s="73" t="n">
        <f aca="false">K973*(1+Rend_MSIG/4)*IF(L953=1,(1-(Cap_MSIG*$Q$15+(1-Cap_MSIG)*$Q$16))*(1+MSIG_USD*$Q$14),1)+L983-L977-L997*IF((K972+K973+K974+K975)&gt;0,K973/(K972+K973+K974+K975),0)</f>
        <v>8001109.23791962</v>
      </c>
      <c r="M973" s="73" t="n">
        <f aca="false">L973*(1+Rend_MSIG/4)*IF(M953=1,(1-(Cap_MSIG*$Q$15+(1-Cap_MSIG)*$Q$16))*(1+MSIG_USD*$Q$14),1)+M983-M977-M997*IF((L972+L973+L974+L975)&gt;0,L973/(L972+L973+L974+L975),0)</f>
        <v>8284913.92444983</v>
      </c>
      <c r="N973" s="73" t="n">
        <f aca="false">M973*(1+Rend_MSIG/4)*IF(N953=1,(1-(Cap_MSIG*$Q$15+(1-Cap_MSIG)*$Q$16))*(1+MSIG_USD*$Q$14),1)+N983-N977-N997*IF((M972+M973+M974+M975)&gt;0,M973/(M972+M973+M974+M975),0)</f>
        <v>8569917.68578063</v>
      </c>
      <c r="O973" s="73" t="n">
        <f aca="false">N973*(1+Rend_MSIG/4)*IF(O953=1,(1-(Cap_MSIG*$Q$15+(1-Cap_MSIG)*$Q$16))*(1+MSIG_USD*$Q$14),1)+O983-O977-O997*IF((N972+N973+N974+N975)&gt;0,N973/(N972+N973+N974+N975),0)</f>
        <v>8856125.58800305</v>
      </c>
    </row>
    <row r="974" customFormat="false" ht="15" hidden="false" customHeight="false" outlineLevel="0" collapsed="false">
      <c r="B974" s="65" t="s">
        <v>1037</v>
      </c>
      <c r="C974" s="73" t="n">
        <f aca="false">AN_cible*Ws_PG</f>
        <v>12250000</v>
      </c>
      <c r="D974" s="73" t="n">
        <f aca="false">C974*(1+Rend_PG/4)*IF(D953=1,(1-(Cap_PG*$Q$15+(1-Cap_PG)*$Q$16))*(1+0*$Q$14),1)-D978-D994*IF((D984+D985)&gt;0,D984/(D984+D985),0)+D999/2-D997*IF((C972+C973+C974+C975)&gt;0,C974/(C972+C973+C974+C975),0)</f>
        <v>11888931.25</v>
      </c>
      <c r="E974" s="73" t="n">
        <f aca="false">D974*(1+Rend_PG/4)*IF(E953=1,(1-(Cap_PG*$Q$15+(1-Cap_PG)*$Q$16))*(1+0*$Q$14),1)-E978-E994*IF((E984+E985)&gt;0,E984/(E984+E985),0)+E999/2-E997*IF((D972+D973+D974+D975)&gt;0,D974/(D972+D973+D974+D975),0)</f>
        <v>11538505.0014063</v>
      </c>
      <c r="F974" s="73" t="n">
        <f aca="false">E974*(1+Rend_PG/4)*IF(F953=1,(1-(Cap_PG*$Q$15+(1-Cap_PG)*$Q$16))*(1+0*$Q$14),1)-F978-F994*IF((F984+F985)&gt;0,F984/(F984+F985),0)+F999/2-F997*IF((E972+E973+E974+E975)&gt;0,E974/(E972+E973+E974+E975),0)</f>
        <v>11198407.5664898</v>
      </c>
      <c r="G974" s="73" t="n">
        <f aca="false">F974*(1+Rend_PG/4)*IF(G953=1,(1-(Cap_PG*$Q$15+(1-Cap_PG)*$Q$16))*(1+0*$Q$14),1)-G978-G994*IF((G984+G985)&gt;0,G984/(G984+G985),0)+G999/2-G997*IF((F972+F973+F974+F975)&gt;0,F974/(F972+F973+F974+F975),0)</f>
        <v>10868334.5034675</v>
      </c>
      <c r="H974" s="73" t="n">
        <f aca="false">G974*(1+Rend_PG/4)*IF(H953=1,(1-(Cap_PG*$Q$15+(1-Cap_PG)*$Q$16))*(1+0*$Q$14),1)-H978-H994*IF((H984+H985)&gt;0,H984/(H984+H985),0)+H999/2-H997*IF((G972+G973+G974+G975)&gt;0,G974/(G972+G973+G974+G975),0)</f>
        <v>10547990.3439778</v>
      </c>
      <c r="I974" s="73" t="n">
        <f aca="false">H974*(1+Rend_PG/4)*IF(I953=1,(1-(Cap_PG*$Q$15+(1-Cap_PG)*$Q$16))*(1+0*$Q$14),1)-I978-I994*IF((I984+I985)&gt;0,I984/(I984+I985),0)+I999/2-I997*IF((H972+H973+H974+H975)&gt;0,H974/(H972+H973+H974+H975),0)</f>
        <v>10237088.3285891</v>
      </c>
      <c r="J974" s="73" t="n">
        <f aca="false">I974*(1+Rend_PG/4)*IF(J953=1,(1-(Cap_PG*$Q$15+(1-Cap_PG)*$Q$16))*(1+0*$Q$14),1)-J978-J994*IF((J984+J985)&gt;0,J984/(J984+J985),0)+J999/2-J997*IF((I972+I973+I974+I975)&gt;0,I974/(I972+I973+I974+I975),0)</f>
        <v>9935350.1501039</v>
      </c>
      <c r="K974" s="73" t="n">
        <f aca="false">J974*(1+Rend_PG/4)*IF(K953=1,(1-(Cap_PG*$Q$15+(1-Cap_PG)*$Q$16))*(1+0*$Q$14),1)-K978-K994*IF((K984+K985)&gt;0,K984/(K984+K985),0)+K999/2-K997*IF((J972+J973+J974+J975)&gt;0,J974/(J972+J973+J974+J975),0)</f>
        <v>9642505.70442959</v>
      </c>
      <c r="L974" s="73" t="n">
        <f aca="false">K974*(1+Rend_PG/4)*IF(L953=1,(1-(Cap_PG*$Q$15+(1-Cap_PG)*$Q$16))*(1+0*$Q$14),1)-L978-L994*IF((L984+L985)&gt;0,L984/(L984+L985),0)+L999/2-L997*IF((K972+K973+K974+K975)&gt;0,K974/(K972+K973+K974+K975),0)</f>
        <v>9358292.84879153</v>
      </c>
      <c r="M974" s="73" t="n">
        <f aca="false">L974*(1+Rend_PG/4)*IF(M953=1,(1-(Cap_PG*$Q$15+(1-Cap_PG)*$Q$16))*(1+0*$Q$14),1)-M978-M994*IF((M984+M985)&gt;0,M984/(M984+M985),0)+M999/2-M997*IF((L972+L973+L974+L975)&gt;0,L974/(L972+L973+L974+L975),0)</f>
        <v>9082457.1670734</v>
      </c>
      <c r="N974" s="73" t="n">
        <f aca="false">M974*(1+Rend_PG/4)*IF(N953=1,(1-(Cap_PG*$Q$15+(1-Cap_PG)*$Q$16))*(1+0*$Q$14),1)-N978-N994*IF((N984+N985)&gt;0,N984/(N984+N985),0)+N999/2-N997*IF((M972+M973+M974+M975)&gt;0,M974/(M972+M973+M974+M975),0)</f>
        <v>8814751.74207391</v>
      </c>
      <c r="O974" s="73" t="n">
        <f aca="false">N974*(1+Rend_PG/4)*IF(O953=1,(1-(Cap_PG*$Q$15+(1-Cap_PG)*$Q$16))*(1+0*$Q$14),1)-O978-O994*IF((O984+O985)&gt;0,O984/(O984+O985),0)+O999/2-O997*IF((N972+N973+N974+N975)&gt;0,N974/(N972+N973+N974+N975),0)</f>
        <v>8554936.93447628</v>
      </c>
    </row>
    <row r="975" customFormat="false" ht="15" hidden="false" customHeight="false" outlineLevel="0" collapsed="false">
      <c r="B975" s="65" t="s">
        <v>1038</v>
      </c>
      <c r="C975" s="73" t="n">
        <f aca="false">AN_cible*Ws_ARES</f>
        <v>12250000</v>
      </c>
      <c r="D975" s="73" t="n">
        <f aca="false">C975*(1+Rend_ARES/4)*IF(D953=1,(1-(Cap_ARES*$Q$15+(1-Cap_ARES)*$Q$16))*(1+0*$Q$14),1)-D979-D994*IF((D984+D985)&gt;0,D985/(D984+D985),0)/(1-IF(D953&lt;=Deduc_trim,Deduc_ares,0))+D999/2-D997*IF((C972+C973+C974+C975)&gt;0,C975/(C972+C973+C974+C975),0)</f>
        <v>11727537.5</v>
      </c>
      <c r="E975" s="73" t="n">
        <f aca="false">D975*(1+Rend_ARES/4)*IF(E953=1,(1-(Cap_ARES*$Q$15+(1-Cap_ARES)*$Q$16))*(1+0*$Q$14),1)-E979-E994*IF((E984+E985)&gt;0,E985/(E984+E985),0)/(1-IF(E953&lt;=Deduc_trim,Deduc_ares,0))+E999/2-E997*IF((D972+D973+D974+D975)&gt;0,D975/(D972+D973+D974+D975),0)</f>
        <v>11227358.025625</v>
      </c>
      <c r="F975" s="73" t="n">
        <f aca="false">E975*(1+Rend_ARES/4)*IF(F953=1,(1-(Cap_ARES*$Q$15+(1-Cap_ARES)*$Q$16))*(1+0*$Q$14),1)-F979-F994*IF((F984+F985)&gt;0,F985/(F984+F985),0)/(1-IF(F953&lt;=Deduc_trim,Deduc_ares,0))+F999/2-F997*IF((E972+E973+E974+E975)&gt;0,E975/(E972+E973+E974+E975),0)</f>
        <v>10748511.2058321</v>
      </c>
      <c r="G975" s="73" t="n">
        <f aca="false">F975*(1+Rend_ARES/4)*IF(G953=1,(1-(Cap_ARES*$Q$15+(1-Cap_ARES)*$Q$16))*(1+0*$Q$14),1)-G979-G994*IF((G984+G985)&gt;0,G985/(G984+G985),0)/(1-IF(G953&lt;=Deduc_trim,Deduc_ares,0))+G999/2-G997*IF((F972+F973+F974+F975)&gt;0,F975/(F972+F973+F974+F975),0)</f>
        <v>10290087.2029034</v>
      </c>
      <c r="H975" s="73" t="n">
        <f aca="false">G975*(1+Rend_ARES/4)*IF(H953=1,(1-(Cap_ARES*$Q$15+(1-Cap_ARES)*$Q$16))*(1+0*$Q$14),1)-H979-H994*IF((H984+H985)&gt;0,H985/(H984+H985),0)/(1-IF(H953&lt;=Deduc_trim,Deduc_ares,0))+H999/2-H997*IF((G972+G973+G974+G975)&gt;0,G975/(G972+G973+G974+G975),0)</f>
        <v>9851214.98369952</v>
      </c>
      <c r="I975" s="73" t="n">
        <f aca="false">H975*(1+Rend_ARES/4)*IF(I953=1,(1-(Cap_ARES*$Q$15+(1-Cap_ARES)*$Q$16))*(1+0*$Q$14),1)-I979-I994*IF((I984+I985)&gt;0,I985/(I984+I985),0)/(1-IF(I953&lt;=Deduc_trim,Deduc_ares,0))+I999/2-I997*IF((H972+H973+H974+H975)&gt;0,H975/(H972+H973+H974+H975),0)</f>
        <v>9431060.66464474</v>
      </c>
      <c r="J975" s="73" t="n">
        <f aca="false">I975*(1+Rend_ARES/4)*IF(J953=1,(1-(Cap_ARES*$Q$15+(1-Cap_ARES)*$Q$16))*(1+0*$Q$14),1)-J979-J994*IF((J984+J985)&gt;0,J985/(J984+J985),0)/(1-IF(J953&lt;=Deduc_trim,Deduc_ares,0))+J999/2-J997*IF((I972+I973+I974+I975)&gt;0,I975/(I972+I973+I974+I975),0)</f>
        <v>9028825.92729764</v>
      </c>
      <c r="K975" s="73" t="n">
        <f aca="false">J975*(1+Rend_ARES/4)*IF(K953=1,(1-(Cap_ARES*$Q$15+(1-Cap_ARES)*$Q$16))*(1+0*$Q$14),1)-K979-K994*IF((K984+K985)&gt;0,K985/(K984+K985),0)/(1-IF(K953&lt;=Deduc_trim,Deduc_ares,0))+K999/2-K997*IF((J972+J973+J974+J975)&gt;0,J975/(J972+J973+J974+J975),0)</f>
        <v>8643746.5014984</v>
      </c>
      <c r="L975" s="73" t="n">
        <f aca="false">K975*(1+Rend_ARES/4)*IF(L953=1,(1-(Cap_ARES*$Q$15+(1-Cap_ARES)*$Q$16))*(1+0*$Q$14),1)-L979-L994*IF((L984+L985)&gt;0,L985/(L984+L985),0)/(1-IF(L953&lt;=Deduc_trim,Deduc_ares,0))+L999/2-L997*IF((K972+K973+K974+K975)&gt;0,K975/(K972+K973+K974+K975),0)</f>
        <v>8275090.71320949</v>
      </c>
      <c r="M975" s="73" t="n">
        <f aca="false">L975*(1+Rend_ARES/4)*IF(M953=1,(1-(Cap_ARES*$Q$15+(1-Cap_ARES)*$Q$16))*(1+0*$Q$14),1)-M979-M994*IF((M984+M985)&gt;0,M985/(M984+M985),0)/(1-IF(M953&lt;=Deduc_trim,Deduc_ares,0))+M999/2-M997*IF((L972+L973+L974+L975)&gt;0,L975/(L972+L973+L974+L975),0)</f>
        <v>7922158.0942911</v>
      </c>
      <c r="N975" s="73" t="n">
        <f aca="false">M975*(1+Rend_ARES/4)*IF(N953=1,(1-(Cap_ARES*$Q$15+(1-Cap_ARES)*$Q$16))*(1+0*$Q$14),1)-N979-N994*IF((N984+N985)&gt;0,N985/(N984+N985),0)/(1-IF(N953&lt;=Deduc_trim,Deduc_ares,0))+N999/2-N997*IF((M972+M973+M974+M975)&gt;0,M975/(M972+M973+M974+M975),0)</f>
        <v>7584278.05156959</v>
      </c>
      <c r="O975" s="73" t="n">
        <f aca="false">N975*(1+Rend_ARES/4)*IF(O953=1,(1-(Cap_ARES*$Q$15+(1-Cap_ARES)*$Q$16))*(1+0*$Q$14),1)-O979-O994*IF((O984+O985)&gt;0,O985/(O984+O985),0)/(1-IF(O953&lt;=Deduc_trim,Deduc_ares,0))+O999/2-O997*IF((N972+N973+N974+N975)&gt;0,N975/(N972+N973+N974+N975),0)</f>
        <v>7260808.59267014</v>
      </c>
    </row>
    <row r="976" customFormat="false" ht="15" hidden="false" customHeight="false" outlineLevel="0" collapsed="false">
      <c r="B976" s="65" t="s">
        <v>1039</v>
      </c>
      <c r="C976" s="25"/>
      <c r="D976" s="73" t="n">
        <f aca="false">C972*Dist_MAPIF/4*IF(D953&lt;=$Q$11,0,$Q$10)</f>
        <v>187500</v>
      </c>
      <c r="E976" s="73" t="n">
        <f aca="false">D972*Dist_MAPIF/4*IF(E953&lt;=$Q$11,0,$Q$10)</f>
        <v>194573.4375</v>
      </c>
      <c r="F976" s="73" t="n">
        <f aca="false">E972*Dist_MAPIF/4*IF(F953&lt;=$Q$11,0,$Q$10)</f>
        <v>201701.517304688</v>
      </c>
      <c r="G976" s="73" t="n">
        <f aca="false">F972*Dist_MAPIF/4*IF(G953&lt;=$Q$11,0,$Q$10)</f>
        <v>208884.661525866</v>
      </c>
      <c r="H976" s="73" t="n">
        <f aca="false">G972*Dist_MAPIF/4*IF(H953&lt;=$Q$11,0,$Q$10)</f>
        <v>216123.295536154</v>
      </c>
      <c r="I976" s="73" t="n">
        <f aca="false">H972*Dist_MAPIF/4*IF(I953&lt;=$Q$11,0,$Q$10)</f>
        <v>223417.84799417</v>
      </c>
      <c r="J976" s="73" t="n">
        <f aca="false">I972*Dist_MAPIF/4*IF(J953&lt;=$Q$11,0,$Q$10)</f>
        <v>230768.750869925</v>
      </c>
      <c r="K976" s="73" t="n">
        <f aca="false">J972*Dist_MAPIF/4*IF(K953&lt;=$Q$11,0,$Q$10)</f>
        <v>238176.439470396</v>
      </c>
      <c r="L976" s="73" t="n">
        <f aca="false">K972*Dist_MAPIF/4*IF(L953&lt;=$Q$11,0,$Q$10)</f>
        <v>245641.352465304</v>
      </c>
      <c r="M976" s="73" t="n">
        <f aca="false">L972*Dist_MAPIF/4*IF(M953&lt;=$Q$11,0,$Q$10)</f>
        <v>253163.931913099</v>
      </c>
      <c r="N976" s="73" t="n">
        <f aca="false">M972*Dist_MAPIF/4*IF(N953&lt;=$Q$11,0,$Q$10)</f>
        <v>260744.623287128</v>
      </c>
      <c r="O976" s="73" t="n">
        <f aca="false">N972*Dist_MAPIF/4*IF(O953&lt;=$Q$11,0,$Q$10)</f>
        <v>268383.875502021</v>
      </c>
    </row>
    <row r="977" customFormat="false" ht="15" hidden="false" customHeight="false" outlineLevel="0" collapsed="false">
      <c r="B977" s="65" t="s">
        <v>1040</v>
      </c>
      <c r="C977" s="25"/>
      <c r="D977" s="73" t="n">
        <f aca="false">C973*Dist_MSIG/4*IF(D953&lt;=$Q$11,0,$Q$10)</f>
        <v>96250</v>
      </c>
      <c r="E977" s="73" t="n">
        <f aca="false">D973*Dist_MSIG/4*IF(E953&lt;=$Q$11,0,$Q$10)</f>
        <v>101031.65625</v>
      </c>
      <c r="F977" s="73" t="n">
        <f aca="false">E973*Dist_MSIG/4*IF(F953&lt;=$Q$11,0,$Q$10)</f>
        <v>105833.514997656</v>
      </c>
      <c r="G977" s="73" t="n">
        <f aca="false">F973*Dist_MSIG/4*IF(G953&lt;=$Q$11,0,$Q$10)</f>
        <v>110655.661598521</v>
      </c>
      <c r="H977" s="73" t="n">
        <f aca="false">G973*Dist_MSIG/4*IF(H953&lt;=$Q$11,0,$Q$10)</f>
        <v>115498.181768775</v>
      </c>
      <c r="I977" s="73" t="n">
        <f aca="false">H973*Dist_MSIG/4*IF(I953&lt;=$Q$11,0,$Q$10)</f>
        <v>120361.161586748</v>
      </c>
      <c r="J977" s="73" t="n">
        <f aca="false">I973*Dist_MSIG/4*IF(J953&lt;=$Q$11,0,$Q$10)</f>
        <v>125244.687494452</v>
      </c>
      <c r="K977" s="73" t="n">
        <f aca="false">J973*Dist_MSIG/4*IF(K953&lt;=$Q$11,0,$Q$10)</f>
        <v>130148.846299116</v>
      </c>
      <c r="L977" s="73" t="n">
        <f aca="false">K973*Dist_MSIG/4*IF(L953&lt;=$Q$11,0,$Q$10)</f>
        <v>135073.72517473</v>
      </c>
      <c r="M977" s="73" t="n">
        <f aca="false">L973*Dist_MSIG/4*IF(M953&lt;=$Q$11,0,$Q$10)</f>
        <v>140019.411663593</v>
      </c>
      <c r="N977" s="73" t="n">
        <f aca="false">M973*Dist_MSIG/4*IF(N953&lt;=$Q$11,0,$Q$10)</f>
        <v>144985.993677872</v>
      </c>
      <c r="O977" s="73" t="n">
        <f aca="false">N973*Dist_MSIG/4*IF(O953&lt;=$Q$11,0,$Q$10)</f>
        <v>149973.559501161</v>
      </c>
    </row>
    <row r="978" customFormat="false" ht="15" hidden="false" customHeight="false" outlineLevel="0" collapsed="false">
      <c r="B978" s="65" t="s">
        <v>1041</v>
      </c>
      <c r="C978" s="25"/>
      <c r="D978" s="73" t="n">
        <f aca="false">C974*Dist_PG/4*IF(D953&lt;=$Q$11,0,$Q$10)</f>
        <v>61250</v>
      </c>
      <c r="E978" s="73" t="n">
        <f aca="false">D974*Dist_PG/4*IF(E953&lt;=$Q$11,0,$Q$10)</f>
        <v>59444.65625</v>
      </c>
      <c r="F978" s="73" t="n">
        <f aca="false">E974*Dist_PG/4*IF(F953&lt;=$Q$11,0,$Q$10)</f>
        <v>57692.5250070313</v>
      </c>
      <c r="G978" s="73" t="n">
        <f aca="false">F974*Dist_PG/4*IF(G953&lt;=$Q$11,0,$Q$10)</f>
        <v>55992.037832449</v>
      </c>
      <c r="H978" s="73" t="n">
        <f aca="false">G974*Dist_PG/4*IF(H953&lt;=$Q$11,0,$Q$10)</f>
        <v>54341.6725173376</v>
      </c>
      <c r="I978" s="73" t="n">
        <f aca="false">H974*Dist_PG/4*IF(I953&lt;=$Q$11,0,$Q$10)</f>
        <v>52739.9517198891</v>
      </c>
      <c r="J978" s="73" t="n">
        <f aca="false">I974*Dist_PG/4*IF(J953&lt;=$Q$11,0,$Q$10)</f>
        <v>51185.4416429453</v>
      </c>
      <c r="K978" s="73" t="n">
        <f aca="false">J974*Dist_PG/4*IF(K953&lt;=$Q$11,0,$Q$10)</f>
        <v>49676.7507505195</v>
      </c>
      <c r="L978" s="73" t="n">
        <f aca="false">K974*Dist_PG/4*IF(L953&lt;=$Q$11,0,$Q$10)</f>
        <v>48212.528522148</v>
      </c>
      <c r="M978" s="73" t="n">
        <f aca="false">L974*Dist_PG/4*IF(M953&lt;=$Q$11,0,$Q$10)</f>
        <v>46791.4642439576</v>
      </c>
      <c r="N978" s="73" t="n">
        <f aca="false">M974*Dist_PG/4*IF(N953&lt;=$Q$11,0,$Q$10)</f>
        <v>45412.285835367</v>
      </c>
      <c r="O978" s="73" t="n">
        <f aca="false">N974*Dist_PG/4*IF(O953&lt;=$Q$11,0,$Q$10)</f>
        <v>44073.7587103696</v>
      </c>
    </row>
    <row r="979" customFormat="false" ht="15" hidden="false" customHeight="false" outlineLevel="0" collapsed="false">
      <c r="B979" s="65" t="s">
        <v>1042</v>
      </c>
      <c r="C979" s="25"/>
      <c r="D979" s="73" t="n">
        <f aca="false">C975*Dist_ARES/4*IF(D953&lt;=$Q$11,0,$Q$10)</f>
        <v>153125</v>
      </c>
      <c r="E979" s="73" t="n">
        <f aca="false">D975*Dist_ARES/4*IF(E953&lt;=$Q$11,0,$Q$10)</f>
        <v>146594.21875</v>
      </c>
      <c r="F979" s="73" t="n">
        <f aca="false">E975*Dist_ARES/4*IF(F953&lt;=$Q$11,0,$Q$10)</f>
        <v>140341.975320313</v>
      </c>
      <c r="G979" s="73" t="n">
        <f aca="false">F975*Dist_ARES/4*IF(G953&lt;=$Q$11,0,$Q$10)</f>
        <v>134356.390072901</v>
      </c>
      <c r="H979" s="73" t="n">
        <f aca="false">G975*Dist_ARES/4*IF(H953&lt;=$Q$11,0,$Q$10)</f>
        <v>128626.090036292</v>
      </c>
      <c r="I979" s="73" t="n">
        <f aca="false">H975*Dist_ARES/4*IF(I953&lt;=$Q$11,0,$Q$10)</f>
        <v>123140.187296244</v>
      </c>
      <c r="J979" s="73" t="n">
        <f aca="false">I975*Dist_ARES/4*IF(J953&lt;=$Q$11,0,$Q$10)</f>
        <v>117888.258308059</v>
      </c>
      <c r="K979" s="73" t="n">
        <f aca="false">J975*Dist_ARES/4*IF(K953&lt;=$Q$11,0,$Q$10)</f>
        <v>112860.324091221</v>
      </c>
      <c r="L979" s="73" t="n">
        <f aca="false">K975*Dist_ARES/4*IF(L953&lt;=$Q$11,0,$Q$10)</f>
        <v>108046.83126873</v>
      </c>
      <c r="M979" s="73" t="n">
        <f aca="false">L975*Dist_ARES/4*IF(M953&lt;=$Q$11,0,$Q$10)</f>
        <v>103438.633915119</v>
      </c>
      <c r="N979" s="73" t="n">
        <f aca="false">M975*Dist_ARES/4*IF(N953&lt;=$Q$11,0,$Q$10)</f>
        <v>99026.9761786388</v>
      </c>
      <c r="O979" s="73" t="n">
        <f aca="false">N975*Dist_ARES/4*IF(O953&lt;=$Q$11,0,$Q$10)</f>
        <v>94803.4756446198</v>
      </c>
    </row>
    <row r="980" customFormat="false" ht="15" hidden="false" customHeight="false" outlineLevel="0" collapsed="false">
      <c r="B980" s="65" t="s">
        <v>1043</v>
      </c>
      <c r="C980" s="73" t="n">
        <f aca="false">AN_cible*$Q$12*Part_MAPIF_NA</f>
        <v>4500000</v>
      </c>
      <c r="D980" s="73" t="n">
        <f aca="false">C980*IF(D953=1,1+$Q$14,1)-D982</f>
        <v>4125000</v>
      </c>
      <c r="E980" s="73" t="n">
        <f aca="false">D980*IF(E953=1,1+$Q$14,1)-E982</f>
        <v>3750000</v>
      </c>
      <c r="F980" s="73" t="n">
        <f aca="false">E980*IF(F953=1,1+$Q$14,1)-F982</f>
        <v>3375000</v>
      </c>
      <c r="G980" s="73" t="n">
        <f aca="false">F980*IF(G953=1,1+$Q$14,1)-G982</f>
        <v>3000000</v>
      </c>
      <c r="H980" s="73" t="n">
        <f aca="false">G980*IF(H953=1,1+$Q$14,1)-H982</f>
        <v>2625000</v>
      </c>
      <c r="I980" s="73" t="n">
        <f aca="false">H980*IF(I953=1,1+$Q$14,1)-I982</f>
        <v>2250000</v>
      </c>
      <c r="J980" s="73" t="n">
        <f aca="false">I980*IF(J953=1,1+$Q$14,1)-J982</f>
        <v>1875000</v>
      </c>
      <c r="K980" s="73" t="n">
        <f aca="false">J980*IF(K953=1,1+$Q$14,1)-K982</f>
        <v>1500000</v>
      </c>
      <c r="L980" s="73" t="n">
        <f aca="false">K980*IF(L953=1,1+$Q$14,1)-L982</f>
        <v>1125000</v>
      </c>
      <c r="M980" s="73" t="n">
        <f aca="false">L980*IF(M953=1,1+$Q$14,1)-M982</f>
        <v>750000</v>
      </c>
      <c r="N980" s="73" t="n">
        <f aca="false">M980*IF(N953=1,1+$Q$14,1)-N982</f>
        <v>375000</v>
      </c>
      <c r="O980" s="73" t="n">
        <f aca="false">N980*IF(O953=1,1+$Q$14,1)-O982</f>
        <v>0</v>
      </c>
    </row>
    <row r="981" customFormat="false" ht="15" hidden="false" customHeight="false" outlineLevel="0" collapsed="false">
      <c r="B981" s="65" t="s">
        <v>1044</v>
      </c>
      <c r="C981" s="73" t="n">
        <f aca="false">AN_cible*$Q$12*(1-Part_MAPIF_NA)</f>
        <v>3000000</v>
      </c>
      <c r="D981" s="73" t="n">
        <f aca="false">C981*IF(D953=1,1+MSIG_USD*$Q$14,1)-D983</f>
        <v>2750000</v>
      </c>
      <c r="E981" s="73" t="n">
        <f aca="false">D981*IF(E953=1,1+MSIG_USD*$Q$14,1)-E983</f>
        <v>2500000</v>
      </c>
      <c r="F981" s="73" t="n">
        <f aca="false">E981*IF(F953=1,1+MSIG_USD*$Q$14,1)-F983</f>
        <v>2250000</v>
      </c>
      <c r="G981" s="73" t="n">
        <f aca="false">F981*IF(G953=1,1+MSIG_USD*$Q$14,1)-G983</f>
        <v>2000000</v>
      </c>
      <c r="H981" s="73" t="n">
        <f aca="false">G981*IF(H953=1,1+MSIG_USD*$Q$14,1)-H983</f>
        <v>1750000</v>
      </c>
      <c r="I981" s="73" t="n">
        <f aca="false">H981*IF(I953=1,1+MSIG_USD*$Q$14,1)-I983</f>
        <v>1500000</v>
      </c>
      <c r="J981" s="73" t="n">
        <f aca="false">I981*IF(J953=1,1+MSIG_USD*$Q$14,1)-J983</f>
        <v>1250000</v>
      </c>
      <c r="K981" s="73" t="n">
        <f aca="false">J981*IF(K953=1,1+MSIG_USD*$Q$14,1)-K983</f>
        <v>1000000</v>
      </c>
      <c r="L981" s="73" t="n">
        <f aca="false">K981*IF(L953=1,1+MSIG_USD*$Q$14,1)-L983</f>
        <v>750000</v>
      </c>
      <c r="M981" s="73" t="n">
        <f aca="false">L981*IF(M953=1,1+MSIG_USD*$Q$14,1)-M983</f>
        <v>500000</v>
      </c>
      <c r="N981" s="73" t="n">
        <f aca="false">M981*IF(N953=1,1+MSIG_USD*$Q$14,1)-N983</f>
        <v>250000</v>
      </c>
      <c r="O981" s="73" t="n">
        <f aca="false">N981*IF(O953=1,1+MSIG_USD*$Q$14,1)-O983</f>
        <v>0</v>
      </c>
    </row>
    <row r="982" customFormat="false" ht="15" hidden="false" customHeight="false" outlineLevel="0" collapsed="false">
      <c r="B982" s="65" t="s">
        <v>1045</v>
      </c>
      <c r="C982" s="25"/>
      <c r="D982" s="73" t="n">
        <f aca="false">MIN(C980*IF(D953=1,1+$Q$14,1),$C980*(1+$Q$14)*IF(D953&lt;=4,$Q$13/4,Appels_base))</f>
        <v>375000</v>
      </c>
      <c r="E982" s="73" t="n">
        <f aca="false">MIN(D980*IF(E953=1,1+$Q$14,1),$C980*(1+$Q$14)*IF(E953&lt;=4,$Q$13/4,Appels_base))</f>
        <v>375000</v>
      </c>
      <c r="F982" s="73" t="n">
        <f aca="false">MIN(E980*IF(F953=1,1+$Q$14,1),$C980*(1+$Q$14)*IF(F953&lt;=4,$Q$13/4,Appels_base))</f>
        <v>375000</v>
      </c>
      <c r="G982" s="73" t="n">
        <f aca="false">MIN(F980*IF(G953=1,1+$Q$14,1),$C980*(1+$Q$14)*IF(G953&lt;=4,$Q$13/4,Appels_base))</f>
        <v>375000</v>
      </c>
      <c r="H982" s="73" t="n">
        <f aca="false">MIN(G980*IF(H953=1,1+$Q$14,1),$C980*(1+$Q$14)*IF(H953&lt;=4,$Q$13/4,Appels_base))</f>
        <v>375000</v>
      </c>
      <c r="I982" s="73" t="n">
        <f aca="false">MIN(H980*IF(I953=1,1+$Q$14,1),$C980*(1+$Q$14)*IF(I953&lt;=4,$Q$13/4,Appels_base))</f>
        <v>375000</v>
      </c>
      <c r="J982" s="73" t="n">
        <f aca="false">MIN(I980*IF(J953=1,1+$Q$14,1),$C980*(1+$Q$14)*IF(J953&lt;=4,$Q$13/4,Appels_base))</f>
        <v>375000</v>
      </c>
      <c r="K982" s="73" t="n">
        <f aca="false">MIN(J980*IF(K953=1,1+$Q$14,1),$C980*(1+$Q$14)*IF(K953&lt;=4,$Q$13/4,Appels_base))</f>
        <v>375000</v>
      </c>
      <c r="L982" s="73" t="n">
        <f aca="false">MIN(K980*IF(L953=1,1+$Q$14,1),$C980*(1+$Q$14)*IF(L953&lt;=4,$Q$13/4,Appels_base))</f>
        <v>375000</v>
      </c>
      <c r="M982" s="73" t="n">
        <f aca="false">MIN(L980*IF(M953=1,1+$Q$14,1),$C980*(1+$Q$14)*IF(M953&lt;=4,$Q$13/4,Appels_base))</f>
        <v>375000</v>
      </c>
      <c r="N982" s="73" t="n">
        <f aca="false">MIN(M980*IF(N953=1,1+$Q$14,1),$C980*(1+$Q$14)*IF(N953&lt;=4,$Q$13/4,Appels_base))</f>
        <v>375000</v>
      </c>
      <c r="O982" s="73" t="n">
        <f aca="false">MIN(N980*IF(O953=1,1+$Q$14,1),$C980*(1+$Q$14)*IF(O953&lt;=4,$Q$13/4,Appels_base))</f>
        <v>375000</v>
      </c>
    </row>
    <row r="983" customFormat="false" ht="15" hidden="false" customHeight="false" outlineLevel="0" collapsed="false">
      <c r="B983" s="65" t="s">
        <v>1046</v>
      </c>
      <c r="C983" s="25"/>
      <c r="D983" s="73" t="n">
        <f aca="false">MIN(C981*IF(D953=1,1+MSIG_USD*$Q$14,1),$C981*(1+MSIG_USD*$Q$14)*IF(D953&lt;=4,$Q$13/4,Appels_base))</f>
        <v>250000</v>
      </c>
      <c r="E983" s="73" t="n">
        <f aca="false">MIN(D981*IF(E953=1,1+MSIG_USD*$Q$14,1),$C981*(1+MSIG_USD*$Q$14)*IF(E953&lt;=4,$Q$13/4,Appels_base))</f>
        <v>250000</v>
      </c>
      <c r="F983" s="73" t="n">
        <f aca="false">MIN(E981*IF(F953=1,1+MSIG_USD*$Q$14,1),$C981*(1+MSIG_USD*$Q$14)*IF(F953&lt;=4,$Q$13/4,Appels_base))</f>
        <v>250000</v>
      </c>
      <c r="G983" s="73" t="n">
        <f aca="false">MIN(F981*IF(G953=1,1+MSIG_USD*$Q$14,1),$C981*(1+MSIG_USD*$Q$14)*IF(G953&lt;=4,$Q$13/4,Appels_base))</f>
        <v>250000</v>
      </c>
      <c r="H983" s="73" t="n">
        <f aca="false">MIN(G981*IF(H953=1,1+MSIG_USD*$Q$14,1),$C981*(1+MSIG_USD*$Q$14)*IF(H953&lt;=4,$Q$13/4,Appels_base))</f>
        <v>250000</v>
      </c>
      <c r="I983" s="73" t="n">
        <f aca="false">MIN(H981*IF(I953=1,1+MSIG_USD*$Q$14,1),$C981*(1+MSIG_USD*$Q$14)*IF(I953&lt;=4,$Q$13/4,Appels_base))</f>
        <v>250000</v>
      </c>
      <c r="J983" s="73" t="n">
        <f aca="false">MIN(I981*IF(J953=1,1+MSIG_USD*$Q$14,1),$C981*(1+MSIG_USD*$Q$14)*IF(J953&lt;=4,$Q$13/4,Appels_base))</f>
        <v>250000</v>
      </c>
      <c r="K983" s="73" t="n">
        <f aca="false">MIN(J981*IF(K953=1,1+MSIG_USD*$Q$14,1),$C981*(1+MSIG_USD*$Q$14)*IF(K953&lt;=4,$Q$13/4,Appels_base))</f>
        <v>250000</v>
      </c>
      <c r="L983" s="73" t="n">
        <f aca="false">MIN(K981*IF(L953=1,1+MSIG_USD*$Q$14,1),$C981*(1+MSIG_USD*$Q$14)*IF(L953&lt;=4,$Q$13/4,Appels_base))</f>
        <v>250000</v>
      </c>
      <c r="M983" s="73" t="n">
        <f aca="false">MIN(L981*IF(M953=1,1+MSIG_USD*$Q$14,1),$C981*(1+MSIG_USD*$Q$14)*IF(M953&lt;=4,$Q$13/4,Appels_base))</f>
        <v>250000</v>
      </c>
      <c r="N983" s="73" t="n">
        <f aca="false">MIN(M981*IF(N953=1,1+MSIG_USD*$Q$14,1),$C981*(1+MSIG_USD*$Q$14)*IF(N953&lt;=4,$Q$13/4,Appels_base))</f>
        <v>250000</v>
      </c>
      <c r="O983" s="73" t="n">
        <f aca="false">MIN(N981*IF(O953=1,1+MSIG_USD*$Q$14,1),$C981*(1+MSIG_USD*$Q$14)*IF(O953&lt;=4,$Q$13/4,Appels_base))</f>
        <v>250000</v>
      </c>
    </row>
    <row r="984" customFormat="false" ht="15" hidden="false" customHeight="false" outlineLevel="0" collapsed="false">
      <c r="B984" s="65" t="s">
        <v>1047</v>
      </c>
      <c r="C984" s="25"/>
      <c r="D984" s="73" t="n">
        <f aca="false">C974*Capacite_evg*IF(D953&lt;=4,$Q$17,$Q$18)</f>
        <v>612500</v>
      </c>
      <c r="E984" s="73" t="n">
        <f aca="false">D974*Capacite_evg*IF(E953&lt;=4,$Q$17,$Q$18)</f>
        <v>594446.5625</v>
      </c>
      <c r="F984" s="73" t="n">
        <f aca="false">E974*Capacite_evg*IF(F953&lt;=4,$Q$17,$Q$18)</f>
        <v>576925.250070313</v>
      </c>
      <c r="G984" s="73" t="n">
        <f aca="false">F974*Capacite_evg*IF(G953&lt;=4,$Q$17,$Q$18)</f>
        <v>559920.37832449</v>
      </c>
      <c r="H984" s="73" t="n">
        <f aca="false">G974*Capacite_evg*IF(H953&lt;=4,$Q$17,$Q$18)</f>
        <v>543416.725173376</v>
      </c>
      <c r="I984" s="73" t="n">
        <f aca="false">H974*Capacite_evg*IF(I953&lt;=4,$Q$17,$Q$18)</f>
        <v>527399.517198891</v>
      </c>
      <c r="J984" s="73" t="n">
        <f aca="false">I974*Capacite_evg*IF(J953&lt;=4,$Q$17,$Q$18)</f>
        <v>511854.416429453</v>
      </c>
      <c r="K984" s="73" t="n">
        <f aca="false">J974*Capacite_evg*IF(K953&lt;=4,$Q$17,$Q$18)</f>
        <v>496767.507505195</v>
      </c>
      <c r="L984" s="73" t="n">
        <f aca="false">K974*Capacite_evg*IF(L953&lt;=4,$Q$17,$Q$18)</f>
        <v>482125.28522148</v>
      </c>
      <c r="M984" s="73" t="n">
        <f aca="false">L974*Capacite_evg*IF(M953&lt;=4,$Q$17,$Q$18)</f>
        <v>467914.642439576</v>
      </c>
      <c r="N984" s="73" t="n">
        <f aca="false">M974*Capacite_evg*IF(N953&lt;=4,$Q$17,$Q$18)</f>
        <v>454122.85835367</v>
      </c>
      <c r="O984" s="73" t="n">
        <f aca="false">N974*Capacite_evg*IF(O953&lt;=4,$Q$17,$Q$18)</f>
        <v>440737.587103696</v>
      </c>
    </row>
    <row r="985" customFormat="false" ht="15" hidden="false" customHeight="false" outlineLevel="0" collapsed="false">
      <c r="B985" s="65" t="s">
        <v>1048</v>
      </c>
      <c r="C985" s="25"/>
      <c r="D985" s="73" t="n">
        <f aca="false">C975*Capacite_evg*IF(D953&lt;=4,$Q$17,$Q$19)*(1-IF(D953&lt;=Deduc_trim,Deduc_ares,0))</f>
        <v>581875</v>
      </c>
      <c r="E985" s="73" t="n">
        <f aca="false">D975*Capacite_evg*IF(E953&lt;=4,$Q$17,$Q$19)*(1-IF(E953&lt;=Deduc_trim,Deduc_ares,0))</f>
        <v>557058.03125</v>
      </c>
      <c r="F985" s="73" t="n">
        <f aca="false">E975*Capacite_evg*IF(F953&lt;=4,$Q$17,$Q$19)*(1-IF(F953&lt;=Deduc_trim,Deduc_ares,0))</f>
        <v>533299.506217187</v>
      </c>
      <c r="G985" s="73" t="n">
        <f aca="false">F975*Capacite_evg*IF(G953&lt;=4,$Q$17,$Q$19)*(1-IF(G953&lt;=Deduc_trim,Deduc_ares,0))</f>
        <v>510554.282277024</v>
      </c>
      <c r="H985" s="73" t="n">
        <f aca="false">G975*Capacite_evg*IF(H953&lt;=4,$Q$17,$Q$19)*(1-IF(H953&lt;=Deduc_trim,Deduc_ares,0))</f>
        <v>514504.360145168</v>
      </c>
      <c r="I985" s="73" t="n">
        <f aca="false">H975*Capacite_evg*IF(I953&lt;=4,$Q$17,$Q$19)*(1-IF(I953&lt;=Deduc_trim,Deduc_ares,0))</f>
        <v>492560.749184976</v>
      </c>
      <c r="J985" s="73" t="n">
        <f aca="false">I975*Capacite_evg*IF(J953&lt;=4,$Q$17,$Q$19)*(1-IF(J953&lt;=Deduc_trim,Deduc_ares,0))</f>
        <v>471553.033232237</v>
      </c>
      <c r="K985" s="73" t="n">
        <f aca="false">J975*Capacite_evg*IF(K953&lt;=4,$Q$17,$Q$19)*(1-IF(K953&lt;=Deduc_trim,Deduc_ares,0))</f>
        <v>451441.296364882</v>
      </c>
      <c r="L985" s="73" t="n">
        <f aca="false">K975*Capacite_evg*IF(L953&lt;=4,$Q$17,$Q$19)*(1-IF(L953&lt;=Deduc_trim,Deduc_ares,0))</f>
        <v>432187.32507492</v>
      </c>
      <c r="M985" s="73" t="n">
        <f aca="false">L975*Capacite_evg*IF(M953&lt;=4,$Q$17,$Q$19)*(1-IF(M953&lt;=Deduc_trim,Deduc_ares,0))</f>
        <v>413754.535660474</v>
      </c>
      <c r="N985" s="73" t="n">
        <f aca="false">M975*Capacite_evg*IF(N953&lt;=4,$Q$17,$Q$19)*(1-IF(N953&lt;=Deduc_trim,Deduc_ares,0))</f>
        <v>396107.904714555</v>
      </c>
      <c r="O985" s="73" t="n">
        <f aca="false">N975*Capacite_evg*IF(O953&lt;=4,$Q$17,$Q$19)*(1-IF(O953&lt;=Deduc_trim,Deduc_ares,0))</f>
        <v>379213.902578479</v>
      </c>
    </row>
    <row r="986" customFormat="false" ht="15" hidden="false" customHeight="false" outlineLevel="0" collapsed="false">
      <c r="B986" s="65" t="s">
        <v>1049</v>
      </c>
      <c r="C986" s="25"/>
      <c r="D986" s="73" t="n">
        <f aca="false">C1000</f>
        <v>7500000</v>
      </c>
      <c r="E986" s="73" t="n">
        <f aca="false">D1000</f>
        <v>5739375</v>
      </c>
      <c r="F986" s="73" t="n">
        <f aca="false">E1000</f>
        <v>6562891.4375</v>
      </c>
      <c r="G986" s="73" t="n">
        <f aca="false">F1000</f>
        <v>4909430.45367109</v>
      </c>
      <c r="H986" s="73" t="n">
        <f aca="false">G1000</f>
        <v>5659951.93568534</v>
      </c>
      <c r="I986" s="73" t="n">
        <f aca="false">H1000</f>
        <v>4012380.04095581</v>
      </c>
      <c r="J986" s="73" t="n">
        <f aca="false">I1000</f>
        <v>4721157.38504098</v>
      </c>
      <c r="K986" s="73" t="n">
        <f aca="false">J1000</f>
        <v>3052969.10864954</v>
      </c>
      <c r="L986" s="73" t="n">
        <f aca="false">K1000</f>
        <v>3699458.07298265</v>
      </c>
      <c r="M986" s="73" t="n">
        <f aca="false">L1000</f>
        <v>2014450.28730884</v>
      </c>
      <c r="N986" s="73" t="n">
        <f aca="false">M1000</f>
        <v>2604490.52869983</v>
      </c>
      <c r="O986" s="73" t="n">
        <f aca="false">N1000</f>
        <v>905934.533533687</v>
      </c>
    </row>
    <row r="987" customFormat="false" ht="15" hidden="false" customHeight="false" outlineLevel="0" collapsed="false">
      <c r="B987" s="65" t="s">
        <v>1050</v>
      </c>
      <c r="C987" s="25"/>
      <c r="D987" s="73" t="n">
        <f aca="false">D986*Taux_treso/4</f>
        <v>46875</v>
      </c>
      <c r="E987" s="73" t="n">
        <f aca="false">E986*Taux_treso/4</f>
        <v>35871.09375</v>
      </c>
      <c r="F987" s="73" t="n">
        <f aca="false">F986*Taux_treso/4</f>
        <v>41018.071484375</v>
      </c>
      <c r="G987" s="73" t="n">
        <f aca="false">G986*Taux_treso/4</f>
        <v>30683.9403354443</v>
      </c>
      <c r="H987" s="73" t="n">
        <f aca="false">H986*Taux_treso/4</f>
        <v>35374.6995980334</v>
      </c>
      <c r="I987" s="73" t="n">
        <f aca="false">I986*Taux_treso/4</f>
        <v>25077.3752559738</v>
      </c>
      <c r="J987" s="73" t="n">
        <f aca="false">J986*Taux_treso/4</f>
        <v>29507.2336565061</v>
      </c>
      <c r="K987" s="73" t="n">
        <f aca="false">K986*Taux_treso/4</f>
        <v>19081.0569290596</v>
      </c>
      <c r="L987" s="73" t="n">
        <f aca="false">L986*Taux_treso/4</f>
        <v>23121.6129561415</v>
      </c>
      <c r="M987" s="73" t="n">
        <f aca="false">M986*Taux_treso/4</f>
        <v>12590.3142956803</v>
      </c>
      <c r="N987" s="73" t="n">
        <f aca="false">N986*Taux_treso/4</f>
        <v>16278.0658043739</v>
      </c>
      <c r="O987" s="73" t="n">
        <f aca="false">O986*Taux_treso/4</f>
        <v>5662.09083458554</v>
      </c>
    </row>
    <row r="988" customFormat="false" ht="15" hidden="false" customHeight="false" outlineLevel="0" collapsed="false">
      <c r="B988" s="65" t="s">
        <v>1051</v>
      </c>
      <c r="C988" s="25"/>
      <c r="D988" s="73" t="n">
        <f aca="false">SUM(D976:D979)</f>
        <v>498125</v>
      </c>
      <c r="E988" s="73" t="n">
        <f aca="false">SUM(E976:E979)</f>
        <v>501643.96875</v>
      </c>
      <c r="F988" s="73" t="n">
        <f aca="false">SUM(F976:F979)</f>
        <v>505569.532629688</v>
      </c>
      <c r="G988" s="73" t="n">
        <f aca="false">SUM(G976:G979)</f>
        <v>509888.751029738</v>
      </c>
      <c r="H988" s="73" t="n">
        <f aca="false">SUM(H976:H979)</f>
        <v>514589.239858558</v>
      </c>
      <c r="I988" s="73" t="n">
        <f aca="false">SUM(I976:I979)</f>
        <v>519659.148597052</v>
      </c>
      <c r="J988" s="73" t="n">
        <f aca="false">SUM(J976:J979)</f>
        <v>525087.138315382</v>
      </c>
      <c r="K988" s="73" t="n">
        <f aca="false">SUM(K976:K979)</f>
        <v>530862.360611252</v>
      </c>
      <c r="L988" s="73" t="n">
        <f aca="false">SUM(L976:L979)</f>
        <v>536974.437430912</v>
      </c>
      <c r="M988" s="73" t="n">
        <f aca="false">SUM(M976:M979)</f>
        <v>543413.441735769</v>
      </c>
      <c r="N988" s="73" t="n">
        <f aca="false">SUM(N976:N979)</f>
        <v>550169.878979005</v>
      </c>
      <c r="O988" s="73" t="n">
        <f aca="false">SUM(O976:O979)</f>
        <v>557234.669358171</v>
      </c>
    </row>
    <row r="989" customFormat="false" ht="15" hidden="false" customHeight="false" outlineLevel="0" collapsed="false">
      <c r="B989" s="65" t="s">
        <v>1052</v>
      </c>
      <c r="C989" s="25"/>
      <c r="D989" s="73" t="n">
        <f aca="false">IF(AND(Distrib_tension=1,OR(D961&gt;0.000001,C1003&lt;Liq_min,C967=1)),0,MIN(Dist_porteurs/4*Part_d*D958,D988))</f>
        <v>125000</v>
      </c>
      <c r="E989" s="73" t="n">
        <f aca="false">IF(AND(Distrib_tension=1,OR(E961&gt;0.000001,D1003&lt;Liq_min,D967=1)),0,MIN(Dist_porteurs/4*Part_d*E958,E988))</f>
        <v>0</v>
      </c>
      <c r="F989" s="73" t="n">
        <f aca="false">IF(AND(Distrib_tension=1,OR(F961&gt;0.000001,E1003&lt;Liq_min,E967=1)),0,MIN(Dist_porteurs/4*Part_d*F958,F988))</f>
        <v>0</v>
      </c>
      <c r="G989" s="73" t="n">
        <f aca="false">IF(AND(Distrib_tension=1,OR(G961&gt;0.000001,F1003&lt;Liq_min,F967=1)),0,MIN(Dist_porteurs/4*Part_d*G958,G988))</f>
        <v>0</v>
      </c>
      <c r="H989" s="73" t="n">
        <f aca="false">IF(AND(Distrib_tension=1,OR(H961&gt;0.000001,G1003&lt;Liq_min,G967=1)),0,MIN(Dist_porteurs/4*Part_d*H958,H988))</f>
        <v>0</v>
      </c>
      <c r="I989" s="73" t="n">
        <f aca="false">IF(AND(Distrib_tension=1,OR(I961&gt;0.000001,H1003&lt;Liq_min,H967=1)),0,MIN(Dist_porteurs/4*Part_d*I958,I988))</f>
        <v>0</v>
      </c>
      <c r="J989" s="73" t="n">
        <f aca="false">IF(AND(Distrib_tension=1,OR(J961&gt;0.000001,I1003&lt;Liq_min,I967=1)),0,MIN(Dist_porteurs/4*Part_d*J958,J988))</f>
        <v>0</v>
      </c>
      <c r="K989" s="73" t="n">
        <f aca="false">IF(AND(Distrib_tension=1,OR(K961&gt;0.000001,J1003&lt;Liq_min,J967=1)),0,MIN(Dist_porteurs/4*Part_d*K958,K988))</f>
        <v>0</v>
      </c>
      <c r="L989" s="73" t="n">
        <f aca="false">IF(AND(Distrib_tension=1,OR(L961&gt;0.000001,K1003&lt;Liq_min,K967=1)),0,MIN(Dist_porteurs/4*Part_d*L958,L988))</f>
        <v>0</v>
      </c>
      <c r="M989" s="73" t="n">
        <f aca="false">IF(AND(Distrib_tension=1,OR(M961&gt;0.000001,L1003&lt;Liq_min,L967=1)),0,MIN(Dist_porteurs/4*Part_d*M958,M988))</f>
        <v>0</v>
      </c>
      <c r="N989" s="73" t="n">
        <f aca="false">IF(AND(Distrib_tension=1,OR(N961&gt;0.000001,M1003&lt;Liq_min,M967=1)),0,MIN(Dist_porteurs/4*Part_d*N958,N988))</f>
        <v>0</v>
      </c>
      <c r="O989" s="73" t="n">
        <f aca="false">IF(AND(Distrib_tension=1,OR(O961&gt;0.000001,N1003&lt;Liq_min,N967=1)),0,MIN(Dist_porteurs/4*Part_d*O958,O988))</f>
        <v>0</v>
      </c>
    </row>
    <row r="990" customFormat="false" ht="15" hidden="false" customHeight="false" outlineLevel="0" collapsed="false">
      <c r="B990" s="65" t="s">
        <v>1053</v>
      </c>
      <c r="C990" s="25"/>
      <c r="D990" s="73" t="n">
        <f aca="false">D982+D983</f>
        <v>625000</v>
      </c>
      <c r="E990" s="73" t="n">
        <f aca="false">E982+E983</f>
        <v>625000</v>
      </c>
      <c r="F990" s="73" t="n">
        <f aca="false">F982+F983</f>
        <v>625000</v>
      </c>
      <c r="G990" s="73" t="n">
        <f aca="false">G982+G983</f>
        <v>625000</v>
      </c>
      <c r="H990" s="73" t="n">
        <f aca="false">H982+H983</f>
        <v>625000</v>
      </c>
      <c r="I990" s="73" t="n">
        <f aca="false">I982+I983</f>
        <v>625000</v>
      </c>
      <c r="J990" s="73" t="n">
        <f aca="false">J982+J983</f>
        <v>625000</v>
      </c>
      <c r="K990" s="73" t="n">
        <f aca="false">K982+K983</f>
        <v>625000</v>
      </c>
      <c r="L990" s="73" t="n">
        <f aca="false">L982+L983</f>
        <v>625000</v>
      </c>
      <c r="M990" s="73" t="n">
        <f aca="false">M982+M983</f>
        <v>625000</v>
      </c>
      <c r="N990" s="73" t="n">
        <f aca="false">N982+N983</f>
        <v>625000</v>
      </c>
      <c r="O990" s="73" t="n">
        <f aca="false">O982+O983</f>
        <v>625000</v>
      </c>
    </row>
    <row r="991" customFormat="false" ht="15" hidden="false" customHeight="false" outlineLevel="0" collapsed="false">
      <c r="B991" s="65" t="s">
        <v>1054</v>
      </c>
      <c r="C991" s="25"/>
      <c r="D991" s="73" t="n">
        <f aca="false">D958*Frais_an/4</f>
        <v>250000</v>
      </c>
      <c r="E991" s="73" t="n">
        <f aca="false">E958*Frais_an/4</f>
        <v>240503.21875</v>
      </c>
      <c r="F991" s="73" t="n">
        <f aca="false">F958*Frais_an/4</f>
        <v>244115.758566406</v>
      </c>
      <c r="G991" s="73" t="n">
        <f aca="false">G958*Frais_an/4</f>
        <v>235525.86995245</v>
      </c>
      <c r="H991" s="73" t="n">
        <f aca="false">H958*Frais_an/4</f>
        <v>239132.447227697</v>
      </c>
      <c r="I991" s="73" t="n">
        <f aca="false">I958*Frais_an/4</f>
        <v>230919.446151722</v>
      </c>
      <c r="J991" s="73" t="n">
        <f aca="false">J958*Frais_an/4</f>
        <v>234653.645275002</v>
      </c>
      <c r="K991" s="73" t="n">
        <f aca="false">K958*Frais_an/4</f>
        <v>226663.257077278</v>
      </c>
      <c r="L991" s="73" t="n">
        <f aca="false">L958*Frais_an/4</f>
        <v>230401.495123387</v>
      </c>
      <c r="M991" s="73" t="n">
        <f aca="false">M958*Frais_an/4</f>
        <v>222632.692740514</v>
      </c>
      <c r="N991" s="73" t="n">
        <f aca="false">N958*Frais_an/4</f>
        <v>226384.973001613</v>
      </c>
      <c r="O991" s="73" t="n">
        <f aca="false">O958*Frais_an/4</f>
        <v>218835.701898796</v>
      </c>
    </row>
    <row r="992" customFormat="false" ht="15" hidden="false" customHeight="false" outlineLevel="0" collapsed="false">
      <c r="B992" s="65" t="s">
        <v>1055</v>
      </c>
      <c r="C992" s="25"/>
      <c r="D992" s="73" t="n">
        <f aca="false">C1001*Taux_emprunt/4</f>
        <v>0</v>
      </c>
      <c r="E992" s="73" t="n">
        <f aca="false">D1001*Taux_emprunt/4</f>
        <v>0</v>
      </c>
      <c r="F992" s="73" t="n">
        <f aca="false">E1001*Taux_emprunt/4</f>
        <v>0</v>
      </c>
      <c r="G992" s="73" t="n">
        <f aca="false">F1001*Taux_emprunt/4</f>
        <v>0</v>
      </c>
      <c r="H992" s="73" t="n">
        <f aca="false">G1001*Taux_emprunt/4</f>
        <v>0</v>
      </c>
      <c r="I992" s="73" t="n">
        <f aca="false">H1001*Taux_emprunt/4</f>
        <v>0</v>
      </c>
      <c r="J992" s="73" t="n">
        <f aca="false">I1001*Taux_emprunt/4</f>
        <v>0</v>
      </c>
      <c r="K992" s="73" t="n">
        <f aca="false">J1001*Taux_emprunt/4</f>
        <v>0</v>
      </c>
      <c r="L992" s="73" t="n">
        <f aca="false">K1001*Taux_emprunt/4</f>
        <v>0</v>
      </c>
      <c r="M992" s="73" t="n">
        <f aca="false">L1001*Taux_emprunt/4</f>
        <v>0</v>
      </c>
      <c r="N992" s="73" t="n">
        <f aca="false">M1001*Taux_emprunt/4</f>
        <v>0</v>
      </c>
      <c r="O992" s="73" t="n">
        <f aca="false">N1001*Taux_emprunt/4</f>
        <v>0</v>
      </c>
    </row>
    <row r="993" customFormat="false" ht="15" hidden="false" customHeight="false" outlineLevel="0" collapsed="false">
      <c r="B993" s="65" t="s">
        <v>1056</v>
      </c>
      <c r="C993" s="25"/>
      <c r="D993" s="73" t="n">
        <f aca="false">D986+D987+D988-D989+D959-D990-D991-D992</f>
        <v>7045000</v>
      </c>
      <c r="E993" s="73" t="n">
        <f aca="false">E986+E987+E988-E989+E959-E990-E991-E992</f>
        <v>5411386.84375</v>
      </c>
      <c r="F993" s="73" t="n">
        <f aca="false">F986+F987+F988-F989+F959-F990-F991-F992</f>
        <v>6240363.28304766</v>
      </c>
      <c r="G993" s="73" t="n">
        <f aca="false">G986+G987+G988-G989+G959-G990-G991-G992</f>
        <v>4589477.27508382</v>
      </c>
      <c r="H993" s="73" t="n">
        <f aca="false">H986+H987+H988-H989+H959-H990-H991-H992</f>
        <v>5345783.42791423</v>
      </c>
      <c r="I993" s="73" t="n">
        <f aca="false">I986+I987+I988-I989+I959-I990-I991-I992</f>
        <v>3701197.11865711</v>
      </c>
      <c r="J993" s="73" t="n">
        <f aca="false">J986+J987+J988-J989+J959-J990-J991-J992</f>
        <v>4416098.11173787</v>
      </c>
      <c r="K993" s="73" t="n">
        <f aca="false">K986+K987+K988-K989+K959-K990-K991-K992</f>
        <v>2751249.26911257</v>
      </c>
      <c r="L993" s="73" t="n">
        <f aca="false">L986+L987+L988-L989+L959-L990-L991-L992</f>
        <v>3404152.62824631</v>
      </c>
      <c r="M993" s="73" t="n">
        <f aca="false">M986+M987+M988-M989+M959-M990-M991-M992</f>
        <v>1722821.35059978</v>
      </c>
      <c r="N993" s="73" t="n">
        <f aca="false">N986+N987+N988-N989+N959-N990-N991-N992</f>
        <v>2319553.5004816</v>
      </c>
      <c r="O993" s="73" t="n">
        <f aca="false">O986+O987+O988-O989+O959-O990-O991-O992</f>
        <v>624995.591827647</v>
      </c>
    </row>
    <row r="994" customFormat="false" ht="15" hidden="false" customHeight="false" outlineLevel="0" collapsed="false">
      <c r="B994" s="65" t="s">
        <v>1057</v>
      </c>
      <c r="C994" s="25"/>
      <c r="D994" s="73" t="n">
        <f aca="false">MIN(D984+D985,MAX(0,Liq_cible*D958-(D993-D968)))</f>
        <v>1194375</v>
      </c>
      <c r="E994" s="73" t="n">
        <f aca="false">MIN(E984+E985,MAX(0,Liq_cible*E958-(E993-E968)))</f>
        <v>1151504.59375</v>
      </c>
      <c r="F994" s="73" t="n">
        <f aca="false">MIN(F984+F985,MAX(0,Liq_cible*F958-(F993-F968)))</f>
        <v>1110224.7562875</v>
      </c>
      <c r="G994" s="73" t="n">
        <f aca="false">MIN(G984+G985,MAX(0,Liq_cible*G958-(G993-G968)))</f>
        <v>1070474.66060151</v>
      </c>
      <c r="H994" s="73" t="n">
        <f aca="false">MIN(H984+H985,MAX(0,Liq_cible*H958-(H993-H968)))</f>
        <v>1057921.08531854</v>
      </c>
      <c r="I994" s="73" t="n">
        <f aca="false">MIN(I984+I985,MAX(0,Liq_cible*I958-(I993-I968)))</f>
        <v>1019960.26638387</v>
      </c>
      <c r="J994" s="73" t="n">
        <f aca="false">MIN(J984+J985,MAX(0,Liq_cible*J958-(J993-J968)))</f>
        <v>983407.44966169</v>
      </c>
      <c r="K994" s="73" t="n">
        <f aca="false">MIN(K984+K985,MAX(0,Liq_cible*K958-(K993-K968)))</f>
        <v>948208.803870077</v>
      </c>
      <c r="L994" s="73" t="n">
        <f aca="false">MIN(L984+L985,MAX(0,Liq_cible*L958-(L993-L968)))</f>
        <v>914312.610296399</v>
      </c>
      <c r="M994" s="73" t="n">
        <f aca="false">MIN(M984+M985,MAX(0,Liq_cible*M958-(M993-M968)))</f>
        <v>881669.178100051</v>
      </c>
      <c r="N994" s="73" t="n">
        <f aca="false">MIN(N984+N985,MAX(0,Liq_cible*N958-(N993-N968)))</f>
        <v>850230.763068225</v>
      </c>
      <c r="O994" s="73" t="n">
        <f aca="false">MIN(O984+O985,MAX(0,Liq_cible*O958-(O993-O968)))</f>
        <v>819951.489682175</v>
      </c>
    </row>
    <row r="995" customFormat="false" ht="15" hidden="false" customHeight="false" outlineLevel="0" collapsed="false">
      <c r="B995" s="65" t="s">
        <v>1058</v>
      </c>
      <c r="C995" s="25"/>
      <c r="D995" s="73" t="n">
        <f aca="false">D993-D968+D994</f>
        <v>5739375</v>
      </c>
      <c r="E995" s="73" t="n">
        <f aca="false">E993-E968+E994</f>
        <v>6562891.4375</v>
      </c>
      <c r="F995" s="73" t="n">
        <f aca="false">F993-F968+F994</f>
        <v>4909430.45367109</v>
      </c>
      <c r="G995" s="73" t="n">
        <f aca="false">G993-G968+G994</f>
        <v>5659951.93568534</v>
      </c>
      <c r="H995" s="73" t="n">
        <f aca="false">H993-H968+H994</f>
        <v>4012380.04095581</v>
      </c>
      <c r="I995" s="73" t="n">
        <f aca="false">I993-I968+I994</f>
        <v>4721157.38504098</v>
      </c>
      <c r="J995" s="73" t="n">
        <f aca="false">J993-J968+J994</f>
        <v>3052969.10864954</v>
      </c>
      <c r="K995" s="73" t="n">
        <f aca="false">K993-K968+K994</f>
        <v>3699458.07298265</v>
      </c>
      <c r="L995" s="73" t="n">
        <f aca="false">L993-L968+L994</f>
        <v>2014450.28730884</v>
      </c>
      <c r="M995" s="73" t="n">
        <f aca="false">M993-M968+M994</f>
        <v>2604490.52869983</v>
      </c>
      <c r="N995" s="73" t="n">
        <f aca="false">N993-N968+N994</f>
        <v>905934.533533687</v>
      </c>
      <c r="O995" s="73" t="n">
        <f aca="false">O993-O968+O994</f>
        <v>1444947.08150982</v>
      </c>
    </row>
    <row r="996" customFormat="false" ht="15" hidden="false" customHeight="false" outlineLevel="0" collapsed="false">
      <c r="B996" s="65" t="s">
        <v>1059</v>
      </c>
      <c r="C996" s="25"/>
      <c r="D996" s="73" t="n">
        <f aca="false">MIN(MAX(0,MIN($Q$20*AN_cible,Emprunt_max*D958)-C1001),MAX(0,IF($Q$20&gt;0,Poche_min_exec*D958,0)-D995))-IF(D995&gt;Liq_cible*D958,MIN(C1001,D995-Liq_cible*D958),0)</f>
        <v>0</v>
      </c>
      <c r="E996" s="73" t="n">
        <f aca="false">MIN(MAX(0,MIN($Q$20*AN_cible,Emprunt_max*E958)-D1001),MAX(0,IF($Q$20&gt;0,Poche_min_exec*E958,0)-E995))-IF(E995&gt;Liq_cible*E958,MIN(D1001,E995-Liq_cible*E958),0)</f>
        <v>0</v>
      </c>
      <c r="F996" s="73" t="n">
        <f aca="false">MIN(MAX(0,MIN($Q$20*AN_cible,Emprunt_max*F958)-E1001),MAX(0,IF($Q$20&gt;0,Poche_min_exec*F958,0)-F995))-IF(F995&gt;Liq_cible*F958,MIN(E1001,F995-Liq_cible*F958),0)</f>
        <v>0</v>
      </c>
      <c r="G996" s="73" t="n">
        <f aca="false">MIN(MAX(0,MIN($Q$20*AN_cible,Emprunt_max*G958)-F1001),MAX(0,IF($Q$20&gt;0,Poche_min_exec*G958,0)-G995))-IF(G995&gt;Liq_cible*G958,MIN(F1001,G995-Liq_cible*G958),0)</f>
        <v>0</v>
      </c>
      <c r="H996" s="73" t="n">
        <f aca="false">MIN(MAX(0,MIN($Q$20*AN_cible,Emprunt_max*H958)-G1001),MAX(0,IF($Q$20&gt;0,Poche_min_exec*H958,0)-H995))-IF(H995&gt;Liq_cible*H958,MIN(G1001,H995-Liq_cible*H958),0)</f>
        <v>0</v>
      </c>
      <c r="I996" s="73" t="n">
        <f aca="false">MIN(MAX(0,MIN($Q$20*AN_cible,Emprunt_max*I958)-H1001),MAX(0,IF($Q$20&gt;0,Poche_min_exec*I958,0)-I995))-IF(I995&gt;Liq_cible*I958,MIN(H1001,I995-Liq_cible*I958),0)</f>
        <v>0</v>
      </c>
      <c r="J996" s="73" t="n">
        <f aca="false">MIN(MAX(0,MIN($Q$20*AN_cible,Emprunt_max*J958)-I1001),MAX(0,IF($Q$20&gt;0,Poche_min_exec*J958,0)-J995))-IF(J995&gt;Liq_cible*J958,MIN(I1001,J995-Liq_cible*J958),0)</f>
        <v>0</v>
      </c>
      <c r="K996" s="73" t="n">
        <f aca="false">MIN(MAX(0,MIN($Q$20*AN_cible,Emprunt_max*K958)-J1001),MAX(0,IF($Q$20&gt;0,Poche_min_exec*K958,0)-K995))-IF(K995&gt;Liq_cible*K958,MIN(J1001,K995-Liq_cible*K958),0)</f>
        <v>0</v>
      </c>
      <c r="L996" s="73" t="n">
        <f aca="false">MIN(MAX(0,MIN($Q$20*AN_cible,Emprunt_max*L958)-K1001),MAX(0,IF($Q$20&gt;0,Poche_min_exec*L958,0)-L995))-IF(L995&gt;Liq_cible*L958,MIN(K1001,L995-Liq_cible*L958),0)</f>
        <v>0</v>
      </c>
      <c r="M996" s="73" t="n">
        <f aca="false">MIN(MAX(0,MIN($Q$20*AN_cible,Emprunt_max*M958)-L1001),MAX(0,IF($Q$20&gt;0,Poche_min_exec*M958,0)-M995))-IF(M995&gt;Liq_cible*M958,MIN(L1001,M995-Liq_cible*M958),0)</f>
        <v>0</v>
      </c>
      <c r="N996" s="73" t="n">
        <f aca="false">MIN(MAX(0,MIN($Q$20*AN_cible,Emprunt_max*N958)-M1001),MAX(0,IF($Q$20&gt;0,Poche_min_exec*N958,0)-N995))-IF(N995&gt;Liq_cible*N958,MIN(M1001,N995-Liq_cible*N958),0)</f>
        <v>0</v>
      </c>
      <c r="O996" s="73" t="n">
        <f aca="false">MIN(MAX(0,MIN($Q$20*AN_cible,Emprunt_max*O958)-N1001),MAX(0,IF($Q$20&gt;0,Poche_min_exec*O958,0)-O995))-IF(O995&gt;Liq_cible*O958,MIN(N1001,O995-Liq_cible*O958),0)</f>
        <v>0</v>
      </c>
    </row>
    <row r="997" customFormat="false" ht="15" hidden="false" customHeight="false" outlineLevel="0" collapsed="false">
      <c r="B997" s="65" t="s">
        <v>1060</v>
      </c>
      <c r="C997" s="25"/>
      <c r="D997" s="73" t="n">
        <f aca="false">MIN((C972+C973+C974+C975),MAX(0,-(D995+D996))/(1-Decote))</f>
        <v>0</v>
      </c>
      <c r="E997" s="73" t="n">
        <f aca="false">MIN((D972+D973+D974+D975),MAX(0,-(E995+E996))/(1-Decote))</f>
        <v>0</v>
      </c>
      <c r="F997" s="73" t="n">
        <f aca="false">MIN((E972+E973+E974+E975),MAX(0,-(F995+F996))/(1-Decote))</f>
        <v>0</v>
      </c>
      <c r="G997" s="73" t="n">
        <f aca="false">MIN((F972+F973+F974+F975),MAX(0,-(G995+G996))/(1-Decote))</f>
        <v>0</v>
      </c>
      <c r="H997" s="73" t="n">
        <f aca="false">MIN((G972+G973+G974+G975),MAX(0,-(H995+H996))/(1-Decote))</f>
        <v>0</v>
      </c>
      <c r="I997" s="73" t="n">
        <f aca="false">MIN((H972+H973+H974+H975),MAX(0,-(I995+I996))/(1-Decote))</f>
        <v>0</v>
      </c>
      <c r="J997" s="73" t="n">
        <f aca="false">MIN((I972+I973+I974+I975),MAX(0,-(J995+J996))/(1-Decote))</f>
        <v>0</v>
      </c>
      <c r="K997" s="73" t="n">
        <f aca="false">MIN((J972+J973+J974+J975),MAX(0,-(K995+K996))/(1-Decote))</f>
        <v>0</v>
      </c>
      <c r="L997" s="73" t="n">
        <f aca="false">MIN((K972+K973+K974+K975),MAX(0,-(L995+L996))/(1-Decote))</f>
        <v>0</v>
      </c>
      <c r="M997" s="73" t="n">
        <f aca="false">MIN((L972+L973+L974+L975),MAX(0,-(M995+M996))/(1-Decote))</f>
        <v>0</v>
      </c>
      <c r="N997" s="73" t="n">
        <f aca="false">MIN((M972+M973+M974+M975),MAX(0,-(N995+N996))/(1-Decote))</f>
        <v>0</v>
      </c>
      <c r="O997" s="73" t="n">
        <f aca="false">MIN((N972+N973+N974+N975),MAX(0,-(O995+O996))/(1-Decote))</f>
        <v>0</v>
      </c>
    </row>
    <row r="998" customFormat="false" ht="15" hidden="false" customHeight="false" outlineLevel="0" collapsed="false">
      <c r="B998" s="65" t="s">
        <v>1061</v>
      </c>
      <c r="C998" s="25"/>
      <c r="D998" s="73" t="n">
        <f aca="false">D997*Decote</f>
        <v>0</v>
      </c>
      <c r="E998" s="73" t="n">
        <f aca="false">E997*Decote</f>
        <v>0</v>
      </c>
      <c r="F998" s="73" t="n">
        <f aca="false">F997*Decote</f>
        <v>0</v>
      </c>
      <c r="G998" s="73" t="n">
        <f aca="false">G997*Decote</f>
        <v>0</v>
      </c>
      <c r="H998" s="73" t="n">
        <f aca="false">H997*Decote</f>
        <v>0</v>
      </c>
      <c r="I998" s="73" t="n">
        <f aca="false">I997*Decote</f>
        <v>0</v>
      </c>
      <c r="J998" s="73" t="n">
        <f aca="false">J997*Decote</f>
        <v>0</v>
      </c>
      <c r="K998" s="73" t="n">
        <f aca="false">K997*Decote</f>
        <v>0</v>
      </c>
      <c r="L998" s="73" t="n">
        <f aca="false">L997*Decote</f>
        <v>0</v>
      </c>
      <c r="M998" s="73" t="n">
        <f aca="false">M997*Decote</f>
        <v>0</v>
      </c>
      <c r="N998" s="73" t="n">
        <f aca="false">N997*Decote</f>
        <v>0</v>
      </c>
      <c r="O998" s="73" t="n">
        <f aca="false">O997*Decote</f>
        <v>0</v>
      </c>
    </row>
    <row r="999" customFormat="false" ht="15" hidden="false" customHeight="false" outlineLevel="0" collapsed="false">
      <c r="B999" s="65" t="s">
        <v>1062</v>
      </c>
      <c r="C999" s="25"/>
      <c r="D999" s="73" t="n">
        <f aca="false">IF(AND(D969&lt;0.000001,C1001+D996&lt;0.000001),MAX(0,D995+D996-Seuil_reinv*D958),0)</f>
        <v>0</v>
      </c>
      <c r="E999" s="73" t="n">
        <f aca="false">IF(AND(E969&lt;0.000001,D1001+E996&lt;0.000001),MAX(0,E995+E996-Seuil_reinv*E958),0)</f>
        <v>0</v>
      </c>
      <c r="F999" s="73" t="n">
        <f aca="false">IF(AND(F969&lt;0.000001,E1001+F996&lt;0.000001),MAX(0,F995+F996-Seuil_reinv*F958),0)</f>
        <v>0</v>
      </c>
      <c r="G999" s="73" t="n">
        <f aca="false">IF(AND(G969&lt;0.000001,F1001+G996&lt;0.000001),MAX(0,G995+G996-Seuil_reinv*G958),0)</f>
        <v>0</v>
      </c>
      <c r="H999" s="73" t="n">
        <f aca="false">IF(AND(H969&lt;0.000001,G1001+H996&lt;0.000001),MAX(0,H995+H996-Seuil_reinv*H958),0)</f>
        <v>0</v>
      </c>
      <c r="I999" s="73" t="n">
        <f aca="false">IF(AND(I969&lt;0.000001,H1001+I996&lt;0.000001),MAX(0,I995+I996-Seuil_reinv*I958),0)</f>
        <v>0</v>
      </c>
      <c r="J999" s="73" t="n">
        <f aca="false">IF(AND(J969&lt;0.000001,I1001+J996&lt;0.000001),MAX(0,J995+J996-Seuil_reinv*J958),0)</f>
        <v>0</v>
      </c>
      <c r="K999" s="73" t="n">
        <f aca="false">IF(AND(K969&lt;0.000001,J1001+K996&lt;0.000001),MAX(0,K995+K996-Seuil_reinv*K958),0)</f>
        <v>0</v>
      </c>
      <c r="L999" s="73" t="n">
        <f aca="false">IF(AND(L969&lt;0.000001,K1001+L996&lt;0.000001),MAX(0,L995+L996-Seuil_reinv*L958),0)</f>
        <v>0</v>
      </c>
      <c r="M999" s="73" t="n">
        <f aca="false">IF(AND(M969&lt;0.000001,L1001+M996&lt;0.000001),MAX(0,M995+M996-Seuil_reinv*M958),0)</f>
        <v>0</v>
      </c>
      <c r="N999" s="73" t="n">
        <f aca="false">IF(AND(N969&lt;0.000001,M1001+N996&lt;0.000001),MAX(0,N995+N996-Seuil_reinv*N958),0)</f>
        <v>0</v>
      </c>
      <c r="O999" s="73" t="n">
        <f aca="false">IF(AND(O969&lt;0.000001,N1001+O996&lt;0.000001),MAX(0,O995+O996-Seuil_reinv*O958),0)</f>
        <v>0</v>
      </c>
    </row>
    <row r="1000" customFormat="false" ht="15" hidden="false" customHeight="false" outlineLevel="0" collapsed="false">
      <c r="B1000" s="65" t="s">
        <v>1063</v>
      </c>
      <c r="C1000" s="73" t="n">
        <f aca="false">AN_cible*Ws_LIQ</f>
        <v>7500000</v>
      </c>
      <c r="D1000" s="73" t="n">
        <f aca="false">D995+D996+D997-D998-D999</f>
        <v>5739375</v>
      </c>
      <c r="E1000" s="73" t="n">
        <f aca="false">E995+E996+E997-E998-E999</f>
        <v>6562891.4375</v>
      </c>
      <c r="F1000" s="73" t="n">
        <f aca="false">F995+F996+F997-F998-F999</f>
        <v>4909430.45367109</v>
      </c>
      <c r="G1000" s="73" t="n">
        <f aca="false">G995+G996+G997-G998-G999</f>
        <v>5659951.93568534</v>
      </c>
      <c r="H1000" s="73" t="n">
        <f aca="false">H995+H996+H997-H998-H999</f>
        <v>4012380.04095581</v>
      </c>
      <c r="I1000" s="73" t="n">
        <f aca="false">I995+I996+I997-I998-I999</f>
        <v>4721157.38504098</v>
      </c>
      <c r="J1000" s="73" t="n">
        <f aca="false">J995+J996+J997-J998-J999</f>
        <v>3052969.10864954</v>
      </c>
      <c r="K1000" s="73" t="n">
        <f aca="false">K995+K996+K997-K998-K999</f>
        <v>3699458.07298265</v>
      </c>
      <c r="L1000" s="73" t="n">
        <f aca="false">L995+L996+L997-L998-L999</f>
        <v>2014450.28730884</v>
      </c>
      <c r="M1000" s="73" t="n">
        <f aca="false">M995+M996+M997-M998-M999</f>
        <v>2604490.52869983</v>
      </c>
      <c r="N1000" s="73" t="n">
        <f aca="false">N995+N996+N997-N998-N999</f>
        <v>905934.533533687</v>
      </c>
      <c r="O1000" s="73" t="n">
        <f aca="false">O995+O996+O997-O998-O999</f>
        <v>1444947.08150982</v>
      </c>
    </row>
    <row r="1001" customFormat="false" ht="15" hidden="false" customHeight="false" outlineLevel="0" collapsed="false">
      <c r="B1001" s="65" t="s">
        <v>1064</v>
      </c>
      <c r="C1001" s="73" t="n">
        <v>0</v>
      </c>
      <c r="D1001" s="73" t="n">
        <f aca="false">C1001+D996</f>
        <v>0</v>
      </c>
      <c r="E1001" s="73" t="n">
        <f aca="false">D1001+E996</f>
        <v>0</v>
      </c>
      <c r="F1001" s="73" t="n">
        <f aca="false">E1001+F996</f>
        <v>0</v>
      </c>
      <c r="G1001" s="73" t="n">
        <f aca="false">F1001+G996</f>
        <v>0</v>
      </c>
      <c r="H1001" s="73" t="n">
        <f aca="false">G1001+H996</f>
        <v>0</v>
      </c>
      <c r="I1001" s="73" t="n">
        <f aca="false">H1001+I996</f>
        <v>0</v>
      </c>
      <c r="J1001" s="73" t="n">
        <f aca="false">I1001+J996</f>
        <v>0</v>
      </c>
      <c r="K1001" s="73" t="n">
        <f aca="false">J1001+K996</f>
        <v>0</v>
      </c>
      <c r="L1001" s="73" t="n">
        <f aca="false">K1001+L996</f>
        <v>0</v>
      </c>
      <c r="M1001" s="73" t="n">
        <f aca="false">L1001+M996</f>
        <v>0</v>
      </c>
      <c r="N1001" s="73" t="n">
        <f aca="false">M1001+N996</f>
        <v>0</v>
      </c>
      <c r="O1001" s="73" t="n">
        <f aca="false">N1001+O996</f>
        <v>0</v>
      </c>
    </row>
    <row r="1002" customFormat="false" ht="15" hidden="false" customHeight="false" outlineLevel="0" collapsed="false">
      <c r="B1002" s="74" t="s">
        <v>1065</v>
      </c>
      <c r="C1002" s="73" t="n">
        <f aca="false">C972+C973+C974+C975+C1000-C1001</f>
        <v>50000000</v>
      </c>
      <c r="D1002" s="73" t="n">
        <f aca="false">D972+D973+D974+D975+D1000-D1001</f>
        <v>48100643.75</v>
      </c>
      <c r="E1002" s="73" t="n">
        <f aca="false">E972+E973+E974+E975+E1000-E1001</f>
        <v>48823151.7132813</v>
      </c>
      <c r="F1002" s="73" t="n">
        <f aca="false">F972+F973+F974+F975+F1000-F1001</f>
        <v>47105173.9904901</v>
      </c>
      <c r="G1002" s="73" t="n">
        <f aca="false">G972+G973+G974+G975+G1000-G1001</f>
        <v>47826489.4455393</v>
      </c>
      <c r="H1002" s="73" t="n">
        <f aca="false">H972+H973+H974+H975+H1000-H1001</f>
        <v>46183889.2303444</v>
      </c>
      <c r="I1002" s="73" t="n">
        <f aca="false">I972+I973+I974+I975+I1000-I1001</f>
        <v>46930729.0550004</v>
      </c>
      <c r="J1002" s="73" t="n">
        <f aca="false">J972+J973+J974+J975+J1000-J1001</f>
        <v>45332651.4154555</v>
      </c>
      <c r="K1002" s="73" t="n">
        <f aca="false">K972+K973+K974+K975+K1000-K1001</f>
        <v>46080299.0246774</v>
      </c>
      <c r="L1002" s="73" t="n">
        <f aca="false">L972+L973+L974+L975+L1000-L1001</f>
        <v>44526538.5481027</v>
      </c>
      <c r="M1002" s="73" t="n">
        <f aca="false">M972+M973+M974+M975+M1000-M1001</f>
        <v>45276994.6003227</v>
      </c>
      <c r="N1002" s="73" t="n">
        <f aca="false">N972+N973+N974+N975+N1000-N1001</f>
        <v>43767140.3797592</v>
      </c>
      <c r="O1002" s="73" t="n">
        <f aca="false">O972+O973+O974+O975+O1000-O1001</f>
        <v>44522294.2593442</v>
      </c>
    </row>
    <row r="1003" customFormat="false" ht="15" hidden="false" customHeight="false" outlineLevel="0" collapsed="false">
      <c r="B1003" s="65" t="s">
        <v>1066</v>
      </c>
      <c r="C1003" s="72" t="n">
        <f aca="false">IF((C1002+C1001)&gt;0,C1000/(C1002+C1001),0)</f>
        <v>0.15</v>
      </c>
      <c r="D1003" s="72" t="n">
        <f aca="false">IF((D1002+D1001)&gt;0,D1000/(D1002+D1001),0)</f>
        <v>0.119320128641729</v>
      </c>
      <c r="E1003" s="72" t="n">
        <f aca="false">IF((E1002+E1001)&gt;0,E1000/(E1002+E1001),0)</f>
        <v>0.134421707882384</v>
      </c>
      <c r="F1003" s="72" t="n">
        <f aca="false">IF((F1002+F1001)&gt;0,F1000/(F1002+F1001),0)</f>
        <v>0.104222743231184</v>
      </c>
      <c r="G1003" s="72" t="n">
        <f aca="false">IF((G1002+G1001)&gt;0,G1000/(G1002+G1001),0)</f>
        <v>0.118343453623758</v>
      </c>
      <c r="H1003" s="72" t="n">
        <f aca="false">IF((H1002+H1001)&gt;0,H1000/(H1002+H1001),0)</f>
        <v>0.0868783488749479</v>
      </c>
      <c r="I1003" s="72" t="n">
        <f aca="false">IF((I1002+I1001)&gt;0,I1000/(I1002+I1001),0)</f>
        <v>0.100598424105196</v>
      </c>
      <c r="J1003" s="72" t="n">
        <f aca="false">IF((J1002+J1001)&gt;0,J1000/(J1002+J1001),0)</f>
        <v>0.0673459198463885</v>
      </c>
      <c r="K1003" s="72" t="n">
        <f aca="false">IF((K1002+K1001)&gt;0,K1000/(K1002+K1001),0)</f>
        <v>0.0802828573443387</v>
      </c>
      <c r="L1003" s="72" t="n">
        <f aca="false">IF((L1002+L1001)&gt;0,L1000/(L1002+L1001),0)</f>
        <v>0.0452415649856231</v>
      </c>
      <c r="M1003" s="72" t="n">
        <f aca="false">IF((M1002+M1001)&gt;0,M1000/(M1002+M1001),0)</f>
        <v>0.0575234851979612</v>
      </c>
      <c r="N1003" s="72" t="n">
        <f aca="false">IF((N1002+N1001)&gt;0,N1000/(N1002+N1001),0)</f>
        <v>0.0206989656092005</v>
      </c>
      <c r="O1003" s="72" t="n">
        <f aca="false">IF((O1002+O1001)&gt;0,O1000/(O1002+O1001),0)</f>
        <v>0.0324544614231456</v>
      </c>
    </row>
    <row r="1004" customFormat="false" ht="15" hidden="false" customHeight="false" outlineLevel="0" collapsed="false">
      <c r="B1004" s="65" t="s">
        <v>1067</v>
      </c>
      <c r="C1004" s="72" t="n">
        <f aca="false">0</f>
        <v>0</v>
      </c>
      <c r="D1004" s="72" t="n">
        <f aca="false">IF(D1002&gt;0,D969/D1002,0)</f>
        <v>0</v>
      </c>
      <c r="E1004" s="72" t="n">
        <f aca="false">IF(E1002&gt;0,E969/E1002,0)</f>
        <v>0</v>
      </c>
      <c r="F1004" s="72" t="n">
        <f aca="false">IF(F1002&gt;0,F969/F1002,0)</f>
        <v>0</v>
      </c>
      <c r="G1004" s="72" t="n">
        <f aca="false">IF(G1002&gt;0,G969/G1002,0)</f>
        <v>0</v>
      </c>
      <c r="H1004" s="72" t="n">
        <f aca="false">IF(H1002&gt;0,H969/H1002,0)</f>
        <v>0</v>
      </c>
      <c r="I1004" s="72" t="n">
        <f aca="false">IF(I1002&gt;0,I969/I1002,0)</f>
        <v>0</v>
      </c>
      <c r="J1004" s="72" t="n">
        <f aca="false">IF(J1002&gt;0,J969/J1002,0)</f>
        <v>0</v>
      </c>
      <c r="K1004" s="72" t="n">
        <f aca="false">IF(K1002&gt;0,K969/K1002,0)</f>
        <v>0</v>
      </c>
      <c r="L1004" s="72" t="n">
        <f aca="false">IF(L1002&gt;0,L969/L1002,0)</f>
        <v>0</v>
      </c>
      <c r="M1004" s="72" t="n">
        <f aca="false">IF(M1002&gt;0,M969/M1002,0)</f>
        <v>0</v>
      </c>
      <c r="N1004" s="72" t="n">
        <f aca="false">IF(N1002&gt;0,N969/N1002,0)</f>
        <v>0</v>
      </c>
      <c r="O1004" s="72" t="n">
        <f aca="false">IF(O1002&gt;0,O969/O1002,0)</f>
        <v>0</v>
      </c>
    </row>
    <row r="1005" customFormat="false" ht="15" hidden="false" customHeight="false" outlineLevel="0" collapsed="false">
      <c r="B1005" s="65" t="s">
        <v>1068</v>
      </c>
      <c r="C1005" s="75" t="n">
        <f aca="false">IF((C969+SUM(D960:G960)+SUM(D990:G990)+SUM(D991:G991)+SUM(D989:G989))&lt;=0,9.99,MIN(9.99,(C1000+SUM(D988:G988)+SUM(D984:G985)+MAX(0,MIN($Q$20*AN_cible,Emprunt_max*C1002)-C1001))/(C969+SUM(D960:G960)+SUM(D990:G990)+SUM(D991:G991)+SUM(D989:G989))))</f>
        <v>1.64495182467708</v>
      </c>
      <c r="D1005" s="73" t="n">
        <f aca="false">IF((D969+SUM(E960:H960)+SUM(E990:H990)+SUM(E991:H991)+SUM(E989:H989))&lt;=0,9.99,MIN(9.99,(D1000+SUM(E988:H988)+SUM(E984:H985)+MAX(0,MIN($Q$20*AN_cible,Emprunt_max*D1002)-D1001))/(D969+SUM(E960:H960)+SUM(E990:H990)+SUM(E991:H991)+SUM(E989:H989))))</f>
        <v>1.46665997785505</v>
      </c>
      <c r="E1005" s="73" t="n">
        <f aca="false">IF((E969+SUM(F960:I960)+SUM(F990:I990)+SUM(F991:I991)+SUM(F989:I989))&lt;=0,9.99,MIN(9.99,(E1000+SUM(F988:I988)+SUM(F984:I985)+MAX(0,MIN($Q$20*AN_cible,Emprunt_max*E1002)-E1001))/(E969+SUM(F960:I960)+SUM(F990:I990)+SUM(F991:I991)+SUM(F989:I989))))</f>
        <v>1.55408186582495</v>
      </c>
      <c r="F1005" s="73" t="n">
        <f aca="false">IF((F969+SUM(G960:J960)+SUM(G990:J990)+SUM(G991:J991)+SUM(G989:J989))&lt;=0,9.99,MIN(9.99,(F1000+SUM(G988:J988)+SUM(G984:J985)+MAX(0,MIN($Q$20*AN_cible,Emprunt_max*F1002)-F1001))/(F969+SUM(G960:J960)+SUM(G990:J990)+SUM(G991:J991)+SUM(G989:J989))))</f>
        <v>1.35855866382724</v>
      </c>
      <c r="G1005" s="73" t="n">
        <f aca="false">IF((G969+SUM(H960:K960)+SUM(H990:K990)+SUM(H991:K991)+SUM(H989:K989))&lt;=0,9.99,MIN(9.99,(G1000+SUM(H988:K988)+SUM(H984:K985)+MAX(0,MIN($Q$20*AN_cible,Emprunt_max*G1002)-G1001))/(G969+SUM(H960:K960)+SUM(H990:K990)+SUM(H991:K991)+SUM(H989:K989))))</f>
        <v>1.43950504885663</v>
      </c>
      <c r="H1005" s="73" t="n">
        <f aca="false">IF((H969+SUM(I960:L960)+SUM(I990:L990)+SUM(I991:L991)+SUM(I989:L989))&lt;=0,9.99,MIN(9.99,(H1000+SUM(I988:L988)+SUM(I984:L985)+MAX(0,MIN($Q$20*AN_cible,Emprunt_max*H1002)-H1001))/(H969+SUM(I960:L960)+SUM(I990:L990)+SUM(I991:L991)+SUM(I989:L989))))</f>
        <v>1.23753475233825</v>
      </c>
      <c r="I1005" s="73" t="n">
        <f aca="false">IF((I969+SUM(J960:M960)+SUM(J990:M990)+SUM(J991:M991)+SUM(J989:M989))&lt;=0,9.99,MIN(9.99,(I1000+SUM(J988:M988)+SUM(J984:M985)+MAX(0,MIN($Q$20*AN_cible,Emprunt_max*I1002)-I1001))/(I969+SUM(J960:M960)+SUM(J990:M990)+SUM(J991:M991)+SUM(J989:M989))))</f>
        <v>1.31248862744154</v>
      </c>
      <c r="J1005" s="73" t="n">
        <f aca="false">IF((J969+SUM(K960:N960)+SUM(K990:N990)+SUM(K991:N991)+SUM(K989:N989))&lt;=0,9.99,MIN(9.99,(J1000+SUM(K988:N988)+SUM(K984:N985)+MAX(0,MIN($Q$20*AN_cible,Emprunt_max*J1002)-J1001))/(J969+SUM(K960:N960)+SUM(K990:N990)+SUM(K991:N991)+SUM(K989:N989))))</f>
        <v>1.10469889919798</v>
      </c>
      <c r="K1005" s="73" t="n">
        <f aca="false">IF((K969+SUM(L960:O960)+SUM(L990:O990)+SUM(L991:O991)+SUM(L989:O989))&lt;=0,9.99,MIN(9.99,(K1000+SUM(L988:O988)+SUM(L984:O985)+MAX(0,MIN($Q$20*AN_cible,Emprunt_max*K1002)-K1001))/(K969+SUM(L960:O960)+SUM(L990:O990)+SUM(L991:O991)+SUM(L989:O989))))</f>
        <v>1.17414940736879</v>
      </c>
      <c r="L1005" s="73" t="n">
        <f aca="false">IF((L969+SUM(M960:O960)+SUM(M990:O990)+SUM(M991:O991)+SUM(M989:O989))&lt;=0,9.99,MIN(9.99,(L1000+SUM(M988:O988)+SUM(M984:O985)+MAX(0,MIN($Q$20*AN_cible,Emprunt_max*L1002)-L1001))/(L969+SUM(M960:O960)+SUM(M990:O990)+SUM(M991:O991)+SUM(M989:O989))))</f>
        <v>1.29342702927973</v>
      </c>
      <c r="M1005" s="73" t="n">
        <f aca="false">IF((M969+SUM(N960:O960)+SUM(N990:O990)+SUM(N991:O991)+SUM(N989:O989))&lt;=0,9.99,MIN(9.99,(M1000+SUM(N988:O988)+SUM(N984:O985)+MAX(0,MIN($Q$20*AN_cible,Emprunt_max*M1002)-M1001))/(M969+SUM(N960:O960)+SUM(N990:O990)+SUM(N991:O991)+SUM(N989:O989))))</f>
        <v>1.35942955778299</v>
      </c>
      <c r="N1005" s="73" t="n">
        <f aca="false">IF((N969+SUM(O960:O960)+SUM(O990:O990)+SUM(O991:O991)+SUM(O989:O989))&lt;=0,9.99,MIN(9.99,(N1000+SUM(O988:O988)+SUM(O984:O985)+MAX(0,MIN($Q$20*AN_cible,Emprunt_max*N1002)-N1001))/(N969+SUM(O960:O960)+SUM(O990:O990)+SUM(O991:O991)+SUM(O989:O989))))</f>
        <v>2.70564600127319</v>
      </c>
      <c r="O1005" s="73" t="n">
        <f aca="false">9.99</f>
        <v>9.99</v>
      </c>
    </row>
    <row r="1006" customFormat="false" ht="15" hidden="false" customHeight="false" outlineLevel="0" collapsed="false">
      <c r="B1006" s="65" t="s">
        <v>1069</v>
      </c>
      <c r="C1006" s="72" t="n">
        <f aca="false">(C972+C973+C974+C975+C980+C981)/C1002</f>
        <v>1</v>
      </c>
      <c r="D1006" s="72" t="n">
        <f aca="false">(D972+D973+D974+D975+D980+D981)/D1002</f>
        <v>1.02360935138212</v>
      </c>
      <c r="E1006" s="72" t="n">
        <f aca="false">(E972+E973+E974+E975+E980+E981)/E1002</f>
        <v>0.993591330618362</v>
      </c>
      <c r="F1006" s="72" t="n">
        <f aca="false">(F972+F973+F974+F975+F980+F981)/F1002</f>
        <v>1.01519089063281</v>
      </c>
      <c r="G1006" s="72" t="n">
        <f aca="false">(G972+G973+G974+G975+G980+G981)/G1002</f>
        <v>0.986201121108067</v>
      </c>
      <c r="H1006" s="72" t="n">
        <f aca="false">(H972+H973+H974+H975+H980+H981)/H1002</f>
        <v>1.00785165487548</v>
      </c>
      <c r="I1006" s="72" t="n">
        <f aca="false">(I972+I973+I974+I975+I980+I981)/I1002</f>
        <v>0.979306577916085</v>
      </c>
      <c r="J1006" s="72" t="n">
        <f aca="false">(J972+J973+J974+J975+J980+J981)/J1002</f>
        <v>1.0015889406223</v>
      </c>
      <c r="K1006" s="72" t="n">
        <f aca="false">(K972+K973+K974+K975+K980+K981)/K1002</f>
        <v>0.97397026281578</v>
      </c>
      <c r="L1006" s="72" t="n">
        <f aca="false">(L972+L973+L974+L975+L980+L981)/L1002</f>
        <v>0.996868153423644</v>
      </c>
      <c r="M1006" s="72" t="n">
        <f aca="false">(M972+M973+M974+M975+M980+M981)/M1002</f>
        <v>0.970084354302744</v>
      </c>
      <c r="N1006" s="72" t="n">
        <f aca="false">(N972+N973+N974+N975+N980+N981)/N1002</f>
        <v>0.993581154009696</v>
      </c>
      <c r="O1006" s="72" t="n">
        <f aca="false">(O972+O973+O974+O975+O980+O981)/O1002</f>
        <v>0.967545538576854</v>
      </c>
    </row>
    <row r="1007" customFormat="false" ht="15" hidden="false" customHeight="false" outlineLevel="0" collapsed="false">
      <c r="B1007" s="65" t="s">
        <v>849</v>
      </c>
      <c r="C1007" s="72" t="n">
        <f aca="false">(C1002+C1001)/C1002</f>
        <v>1</v>
      </c>
      <c r="D1007" s="72" t="n">
        <f aca="false">(D1002+D1001)/D1002</f>
        <v>1</v>
      </c>
      <c r="E1007" s="72" t="n">
        <f aca="false">(E1002+E1001)/E1002</f>
        <v>1</v>
      </c>
      <c r="F1007" s="72" t="n">
        <f aca="false">(F1002+F1001)/F1002</f>
        <v>1</v>
      </c>
      <c r="G1007" s="72" t="n">
        <f aca="false">(G1002+G1001)/G1002</f>
        <v>1</v>
      </c>
      <c r="H1007" s="72" t="n">
        <f aca="false">(H1002+H1001)/H1002</f>
        <v>1</v>
      </c>
      <c r="I1007" s="72" t="n">
        <f aca="false">(I1002+I1001)/I1002</f>
        <v>1</v>
      </c>
      <c r="J1007" s="72" t="n">
        <f aca="false">(J1002+J1001)/J1002</f>
        <v>1</v>
      </c>
      <c r="K1007" s="72" t="n">
        <f aca="false">(K1002+K1001)/K1002</f>
        <v>1</v>
      </c>
      <c r="L1007" s="72" t="n">
        <f aca="false">(L1002+L1001)/L1002</f>
        <v>1</v>
      </c>
      <c r="M1007" s="72" t="n">
        <f aca="false">(M1002+M1001)/M1002</f>
        <v>1</v>
      </c>
      <c r="N1007" s="72" t="n">
        <f aca="false">(N1002+N1001)/N1002</f>
        <v>1</v>
      </c>
      <c r="O1007" s="72" t="n">
        <f aca="false">(O1002+O1001)/O1002</f>
        <v>1</v>
      </c>
    </row>
    <row r="1008" customFormat="false" ht="15" hidden="false" customHeight="false" outlineLevel="0" collapsed="false">
      <c r="B1008" s="65" t="s">
        <v>1070</v>
      </c>
      <c r="C1008" s="72" t="n">
        <f aca="false">(C972+C973*MSIG_USD)/C1002</f>
        <v>0.25</v>
      </c>
      <c r="D1008" s="72" t="n">
        <f aca="false">(D972+D973*MSIG_USD)/D1002</f>
        <v>0.269675444832274</v>
      </c>
      <c r="E1008" s="72" t="n">
        <f aca="false">(E972+E973*MSIG_USD)/E1002</f>
        <v>0.27541785707076</v>
      </c>
      <c r="F1008" s="72" t="n">
        <f aca="false">(F972+F973*MSIG_USD)/F1002</f>
        <v>0.295628758414858</v>
      </c>
      <c r="G1008" s="72" t="n">
        <f aca="false">(G972+G973*MSIG_USD)/G1002</f>
        <v>0.301260240286235</v>
      </c>
      <c r="H1008" s="72" t="n">
        <f aca="false">(H972+H973*MSIG_USD)/H1002</f>
        <v>0.3225047402423</v>
      </c>
      <c r="I1008" s="72" t="n">
        <f aca="false">(I972+I973*MSIG_USD)/I1002</f>
        <v>0.327814711194842</v>
      </c>
      <c r="J1008" s="72" t="n">
        <f aca="false">(J972+J973*MSIG_USD)/J1002</f>
        <v>0.350264738598829</v>
      </c>
      <c r="K1008" s="72" t="n">
        <f aca="false">(K972+K973*MSIG_USD)/K1002</f>
        <v>0.355381594975843</v>
      </c>
      <c r="L1008" s="72" t="n">
        <f aca="false">(L972+L973*MSIG_USD)/L1002</f>
        <v>0.379045755884216</v>
      </c>
      <c r="M1008" s="72" t="n">
        <f aca="false">(M972+M973*MSIG_USD)/M1002</f>
        <v>0.383925104553751</v>
      </c>
      <c r="N1008" s="72" t="n">
        <f aca="false">(N972+N973*MSIG_USD)/N1002</f>
        <v>0.408805743568203</v>
      </c>
      <c r="O1008" s="72" t="n">
        <f aca="false">(O972+O973*MSIG_USD)/O1002</f>
        <v>0.413399092945935</v>
      </c>
    </row>
    <row r="1009" customFormat="false" ht="15" hidden="false" customHeight="false" outlineLevel="0" collapsed="false">
      <c r="B1009" s="65" t="s">
        <v>1071</v>
      </c>
      <c r="C1009" s="25"/>
      <c r="D1009" s="65" t="n">
        <f aca="false">IF(AND($Q$9&lt;0.5*Collecte_norm,IF(D953&lt;=$Q$11,0,$Q$10)&lt;0.5,IF(D953&lt;=4,$Q$17,($Q$18+$Q$19)/2)&lt;0.7),1,0)</f>
        <v>0</v>
      </c>
      <c r="E1009" s="65" t="n">
        <f aca="false">IF(AND($Q$9&lt;0.5*Collecte_norm,IF(E953&lt;=$Q$11,0,$Q$10)&lt;0.5,IF(E953&lt;=4,$Q$17,($Q$18+$Q$19)/2)&lt;0.7),1,0)</f>
        <v>0</v>
      </c>
      <c r="F1009" s="65" t="n">
        <f aca="false">IF(AND($Q$9&lt;0.5*Collecte_norm,IF(F953&lt;=$Q$11,0,$Q$10)&lt;0.5,IF(F953&lt;=4,$Q$17,($Q$18+$Q$19)/2)&lt;0.7),1,0)</f>
        <v>0</v>
      </c>
      <c r="G1009" s="65" t="n">
        <f aca="false">IF(AND($Q$9&lt;0.5*Collecte_norm,IF(G953&lt;=$Q$11,0,$Q$10)&lt;0.5,IF(G953&lt;=4,$Q$17,($Q$18+$Q$19)/2)&lt;0.7),1,0)</f>
        <v>0</v>
      </c>
      <c r="H1009" s="65" t="n">
        <f aca="false">IF(AND($Q$9&lt;0.5*Collecte_norm,IF(H953&lt;=$Q$11,0,$Q$10)&lt;0.5,IF(H953&lt;=4,$Q$17,($Q$18+$Q$19)/2)&lt;0.7),1,0)</f>
        <v>0</v>
      </c>
      <c r="I1009" s="65" t="n">
        <f aca="false">IF(AND($Q$9&lt;0.5*Collecte_norm,IF(I953&lt;=$Q$11,0,$Q$10)&lt;0.5,IF(I953&lt;=4,$Q$17,($Q$18+$Q$19)/2)&lt;0.7),1,0)</f>
        <v>0</v>
      </c>
      <c r="J1009" s="65" t="n">
        <f aca="false">IF(AND($Q$9&lt;0.5*Collecte_norm,IF(J953&lt;=$Q$11,0,$Q$10)&lt;0.5,IF(J953&lt;=4,$Q$17,($Q$18+$Q$19)/2)&lt;0.7),1,0)</f>
        <v>0</v>
      </c>
      <c r="K1009" s="65" t="n">
        <f aca="false">IF(AND($Q$9&lt;0.5*Collecte_norm,IF(K953&lt;=$Q$11,0,$Q$10)&lt;0.5,IF(K953&lt;=4,$Q$17,($Q$18+$Q$19)/2)&lt;0.7),1,0)</f>
        <v>0</v>
      </c>
      <c r="L1009" s="65" t="n">
        <f aca="false">IF(AND($Q$9&lt;0.5*Collecte_norm,IF(L953&lt;=$Q$11,0,$Q$10)&lt;0.5,IF(L953&lt;=4,$Q$17,($Q$18+$Q$19)/2)&lt;0.7),1,0)</f>
        <v>0</v>
      </c>
      <c r="M1009" s="65" t="n">
        <f aca="false">IF(AND($Q$9&lt;0.5*Collecte_norm,IF(M953&lt;=$Q$11,0,$Q$10)&lt;0.5,IF(M953&lt;=4,$Q$17,($Q$18+$Q$19)/2)&lt;0.7),1,0)</f>
        <v>0</v>
      </c>
      <c r="N1009" s="65" t="n">
        <f aca="false">IF(AND($Q$9&lt;0.5*Collecte_norm,IF(N953&lt;=$Q$11,0,$Q$10)&lt;0.5,IF(N953&lt;=4,$Q$17,($Q$18+$Q$19)/2)&lt;0.7),1,0)</f>
        <v>0</v>
      </c>
      <c r="O1009" s="65" t="n">
        <f aca="false">IF(AND($Q$9&lt;0.5*Collecte_norm,IF(O953&lt;=$Q$11,0,$Q$10)&lt;0.5,IF(O953&lt;=4,$Q$17,($Q$18+$Q$19)/2)&lt;0.7),1,0)</f>
        <v>0</v>
      </c>
    </row>
    <row r="1010" customFormat="false" ht="15" hidden="false" customHeight="false" outlineLevel="0" collapsed="false">
      <c r="B1010" s="76" t="s">
        <v>1072</v>
      </c>
      <c r="C1010" s="76" t="n">
        <v>99</v>
      </c>
      <c r="D1010" s="76" t="n">
        <f aca="false">IF(D970=1,D956,99)</f>
        <v>99</v>
      </c>
      <c r="E1010" s="76" t="n">
        <f aca="false">IF(E970=1,E956,99)</f>
        <v>99</v>
      </c>
      <c r="F1010" s="76" t="n">
        <f aca="false">IF(F970=1,F956,99)</f>
        <v>99</v>
      </c>
      <c r="G1010" s="76" t="n">
        <f aca="false">IF(G970=1,G956,99)</f>
        <v>99</v>
      </c>
      <c r="H1010" s="76" t="n">
        <f aca="false">IF(H970=1,H956,99)</f>
        <v>99</v>
      </c>
      <c r="I1010" s="76" t="n">
        <f aca="false">IF(I970=1,I956,99)</f>
        <v>99</v>
      </c>
      <c r="J1010" s="76" t="n">
        <f aca="false">IF(J970=1,J956,99)</f>
        <v>99</v>
      </c>
      <c r="K1010" s="76" t="n">
        <f aca="false">IF(K970=1,K956,99)</f>
        <v>99</v>
      </c>
      <c r="L1010" s="76" t="n">
        <f aca="false">IF(L970=1,L956,99)</f>
        <v>99</v>
      </c>
      <c r="M1010" s="76" t="n">
        <f aca="false">IF(M970=1,M956,99)</f>
        <v>99</v>
      </c>
      <c r="N1010" s="76" t="n">
        <f aca="false">IF(N970=1,N956,99)</f>
        <v>99</v>
      </c>
      <c r="O1010" s="76" t="n">
        <f aca="false">IF(O970=1,O956,99)</f>
        <v>99</v>
      </c>
    </row>
    <row r="1011" customFormat="false" ht="15" hidden="false" customHeight="false" outlineLevel="0" collapsed="false">
      <c r="B1011" s="76" t="s">
        <v>1073</v>
      </c>
      <c r="C1011" s="76" t="n">
        <v>99</v>
      </c>
      <c r="D1011" s="76" t="n">
        <f aca="false">IF(AND(D955=1,D956&gt;MIN($D1010:$O1010),D969&lt;=0.000001),D956,99)</f>
        <v>99</v>
      </c>
      <c r="E1011" s="76" t="n">
        <f aca="false">IF(AND(E955=1,E956&gt;MIN($D1010:$O1010),E969&lt;=0.000001),E956,99)</f>
        <v>99</v>
      </c>
      <c r="F1011" s="76" t="n">
        <f aca="false">IF(AND(F955=1,F956&gt;MIN($D1010:$O1010),F969&lt;=0.000001),F956,99)</f>
        <v>99</v>
      </c>
      <c r="G1011" s="76" t="n">
        <f aca="false">IF(AND(G955=1,G956&gt;MIN($D1010:$O1010),G969&lt;=0.000001),G956,99)</f>
        <v>99</v>
      </c>
      <c r="H1011" s="76" t="n">
        <f aca="false">IF(AND(H955=1,H956&gt;MIN($D1010:$O1010),H969&lt;=0.000001),H956,99)</f>
        <v>99</v>
      </c>
      <c r="I1011" s="76" t="n">
        <f aca="false">IF(AND(I955=1,I956&gt;MIN($D1010:$O1010),I969&lt;=0.000001),I956,99)</f>
        <v>99</v>
      </c>
      <c r="J1011" s="76" t="n">
        <f aca="false">IF(AND(J955=1,J956&gt;MIN($D1010:$O1010),J969&lt;=0.000001),J956,99)</f>
        <v>99</v>
      </c>
      <c r="K1011" s="76" t="n">
        <f aca="false">IF(AND(K955=1,K956&gt;MIN($D1010:$O1010),K969&lt;=0.000001),K956,99)</f>
        <v>99</v>
      </c>
      <c r="L1011" s="76" t="n">
        <f aca="false">IF(AND(L955=1,L956&gt;MIN($D1010:$O1010),L969&lt;=0.000001),L956,99)</f>
        <v>99</v>
      </c>
      <c r="M1011" s="76" t="n">
        <f aca="false">IF(AND(M955=1,M956&gt;MIN($D1010:$O1010),M969&lt;=0.000001),M956,99)</f>
        <v>99</v>
      </c>
      <c r="N1011" s="76" t="n">
        <f aca="false">IF(AND(N955=1,N956&gt;MIN($D1010:$O1010),N969&lt;=0.000001),N956,99)</f>
        <v>99</v>
      </c>
      <c r="O1011" s="76" t="n">
        <f aca="false">IF(AND(O955=1,O956&gt;MIN($D1010:$O1010),O969&lt;=0.000001),O956,99)</f>
        <v>99</v>
      </c>
    </row>
    <row r="1012" customFormat="false" ht="15" hidden="false" customHeight="false" outlineLevel="0" collapsed="false">
      <c r="B1012" s="76" t="s">
        <v>1074</v>
      </c>
      <c r="C1012" s="76" t="n">
        <v>9999999</v>
      </c>
      <c r="D1012" s="76" t="n">
        <f aca="false">IF(D967=1,D954,9999999)</f>
        <v>9999999</v>
      </c>
      <c r="E1012" s="76" t="n">
        <f aca="false">IF(E967=1,E954,9999999)</f>
        <v>9999999</v>
      </c>
      <c r="F1012" s="76" t="n">
        <f aca="false">IF(F967=1,F954,9999999)</f>
        <v>9999999</v>
      </c>
      <c r="G1012" s="76" t="n">
        <f aca="false">IF(G967=1,G954,9999999)</f>
        <v>9999999</v>
      </c>
      <c r="H1012" s="76" t="n">
        <f aca="false">IF(H967=1,H954,9999999)</f>
        <v>9999999</v>
      </c>
      <c r="I1012" s="76" t="n">
        <f aca="false">IF(I967=1,I954,9999999)</f>
        <v>9999999</v>
      </c>
      <c r="J1012" s="76" t="n">
        <f aca="false">IF(J967=1,J954,9999999)</f>
        <v>9999999</v>
      </c>
      <c r="K1012" s="76" t="n">
        <f aca="false">IF(K967=1,K954,9999999)</f>
        <v>9999999</v>
      </c>
      <c r="L1012" s="76" t="n">
        <f aca="false">IF(L967=1,L954,9999999)</f>
        <v>9999999</v>
      </c>
      <c r="M1012" s="76" t="n">
        <f aca="false">IF(M967=1,M954,9999999)</f>
        <v>9999999</v>
      </c>
      <c r="N1012" s="76" t="n">
        <f aca="false">IF(N967=1,N954,9999999)</f>
        <v>9999999</v>
      </c>
      <c r="O1012" s="76" t="n">
        <f aca="false">IF(O967=1,O954,9999999)</f>
        <v>9999999</v>
      </c>
    </row>
    <row r="1013" customFormat="false" ht="15" hidden="false" customHeight="false" outlineLevel="0" collapsed="false">
      <c r="B1013" s="76" t="s">
        <v>1075</v>
      </c>
      <c r="C1013" s="76" t="n">
        <v>9999999</v>
      </c>
      <c r="D1013" s="76" t="n">
        <f aca="false">IF(D1009=1,D954,9999999)</f>
        <v>9999999</v>
      </c>
      <c r="E1013" s="76" t="n">
        <f aca="false">IF(E1009=1,E954,9999999)</f>
        <v>9999999</v>
      </c>
      <c r="F1013" s="76" t="n">
        <f aca="false">IF(F1009=1,F954,9999999)</f>
        <v>9999999</v>
      </c>
      <c r="G1013" s="76" t="n">
        <f aca="false">IF(G1009=1,G954,9999999)</f>
        <v>9999999</v>
      </c>
      <c r="H1013" s="76" t="n">
        <f aca="false">IF(H1009=1,H954,9999999)</f>
        <v>9999999</v>
      </c>
      <c r="I1013" s="76" t="n">
        <f aca="false">IF(I1009=1,I954,9999999)</f>
        <v>9999999</v>
      </c>
      <c r="J1013" s="76" t="n">
        <f aca="false">IF(J1009=1,J954,9999999)</f>
        <v>9999999</v>
      </c>
      <c r="K1013" s="76" t="n">
        <f aca="false">IF(K1009=1,K954,9999999)</f>
        <v>9999999</v>
      </c>
      <c r="L1013" s="76" t="n">
        <f aca="false">IF(L1009=1,L954,9999999)</f>
        <v>9999999</v>
      </c>
      <c r="M1013" s="76" t="n">
        <f aca="false">IF(M1009=1,M954,9999999)</f>
        <v>9999999</v>
      </c>
      <c r="N1013" s="76" t="n">
        <f aca="false">IF(N1009=1,N954,9999999)</f>
        <v>9999999</v>
      </c>
      <c r="O1013" s="76" t="n">
        <f aca="false">IF(O1009=1,O954,9999999)</f>
        <v>9999999</v>
      </c>
    </row>
    <row r="1018" customFormat="false" ht="15" hidden="false" customHeight="false" outlineLevel="0" collapsed="false">
      <c r="B1018" s="45" t="str">
        <f aca="false">R$5</f>
        <v>Sans plafonnement 7.5 % par date</v>
      </c>
      <c r="C1018" s="45" t="s">
        <v>55</v>
      </c>
      <c r="D1018" s="45" t="n">
        <v>16</v>
      </c>
      <c r="E1018" s="2"/>
      <c r="F1018" s="2"/>
      <c r="G1018" s="2"/>
      <c r="H1018" s="2"/>
      <c r="I1018" s="2"/>
      <c r="J1018" s="2"/>
      <c r="K1018" s="2"/>
      <c r="L1018" s="2"/>
      <c r="M1018" s="2"/>
      <c r="N1018" s="2"/>
      <c r="O1018" s="2"/>
    </row>
    <row r="1019" customFormat="false" ht="15" hidden="false" customHeight="false" outlineLevel="0" collapsed="false">
      <c r="B1019" s="65" t="s">
        <v>1019</v>
      </c>
      <c r="C1019" s="65" t="n">
        <v>0</v>
      </c>
      <c r="D1019" s="65" t="n">
        <v>1</v>
      </c>
      <c r="E1019" s="65" t="n">
        <v>2</v>
      </c>
      <c r="F1019" s="65" t="n">
        <v>3</v>
      </c>
      <c r="G1019" s="65" t="n">
        <v>4</v>
      </c>
      <c r="H1019" s="65" t="n">
        <v>5</v>
      </c>
      <c r="I1019" s="65" t="n">
        <v>6</v>
      </c>
      <c r="J1019" s="65" t="n">
        <v>7</v>
      </c>
      <c r="K1019" s="65" t="n">
        <v>8</v>
      </c>
      <c r="L1019" s="65" t="n">
        <v>9</v>
      </c>
      <c r="M1019" s="65" t="n">
        <v>10</v>
      </c>
      <c r="N1019" s="65" t="n">
        <v>11</v>
      </c>
      <c r="O1019" s="65" t="n">
        <v>12</v>
      </c>
    </row>
    <row r="1020" customFormat="false" ht="15" hidden="false" customHeight="false" outlineLevel="0" collapsed="false">
      <c r="B1020" s="65" t="s">
        <v>209</v>
      </c>
      <c r="C1020" s="71" t="n">
        <f aca="false">Date_depart</f>
        <v>47026</v>
      </c>
      <c r="D1020" s="71" t="n">
        <f aca="false">EOMONTH(Date_depart,3*D1019)</f>
        <v>47118</v>
      </c>
      <c r="E1020" s="71" t="n">
        <f aca="false">EOMONTH(Date_depart,3*E1019)</f>
        <v>47208</v>
      </c>
      <c r="F1020" s="71" t="n">
        <f aca="false">EOMONTH(Date_depart,3*F1019)</f>
        <v>47299</v>
      </c>
      <c r="G1020" s="71" t="n">
        <f aca="false">EOMONTH(Date_depart,3*G1019)</f>
        <v>47391</v>
      </c>
      <c r="H1020" s="71" t="n">
        <f aca="false">EOMONTH(Date_depart,3*H1019)</f>
        <v>47483</v>
      </c>
      <c r="I1020" s="71" t="n">
        <f aca="false">EOMONTH(Date_depart,3*I1019)</f>
        <v>47573</v>
      </c>
      <c r="J1020" s="71" t="n">
        <f aca="false">EOMONTH(Date_depart,3*J1019)</f>
        <v>47664</v>
      </c>
      <c r="K1020" s="71" t="n">
        <f aca="false">EOMONTH(Date_depart,3*K1019)</f>
        <v>47756</v>
      </c>
      <c r="L1020" s="71" t="n">
        <f aca="false">EOMONTH(Date_depart,3*L1019)</f>
        <v>47848</v>
      </c>
      <c r="M1020" s="71" t="n">
        <f aca="false">EOMONTH(Date_depart,3*M1019)</f>
        <v>47938</v>
      </c>
      <c r="N1020" s="71" t="n">
        <f aca="false">EOMONTH(Date_depart,3*N1019)</f>
        <v>48029</v>
      </c>
      <c r="O1020" s="71" t="n">
        <f aca="false">EOMONTH(Date_depart,3*O1019)</f>
        <v>48121</v>
      </c>
    </row>
    <row r="1021" customFormat="false" ht="15" hidden="false" customHeight="false" outlineLevel="0" collapsed="false">
      <c r="B1021" s="65" t="s">
        <v>1020</v>
      </c>
      <c r="C1021" s="65" t="n">
        <v>0</v>
      </c>
      <c r="D1021" s="65" t="n">
        <f aca="false">IF(OR(MONTH(D1020)=6,MONTH(D1020)=12),1,0)</f>
        <v>1</v>
      </c>
      <c r="E1021" s="65" t="n">
        <f aca="false">IF(OR(MONTH(E1020)=6,MONTH(E1020)=12),1,0)</f>
        <v>0</v>
      </c>
      <c r="F1021" s="65" t="n">
        <f aca="false">IF(OR(MONTH(F1020)=6,MONTH(F1020)=12),1,0)</f>
        <v>1</v>
      </c>
      <c r="G1021" s="65" t="n">
        <f aca="false">IF(OR(MONTH(G1020)=6,MONTH(G1020)=12),1,0)</f>
        <v>0</v>
      </c>
      <c r="H1021" s="65" t="n">
        <f aca="false">IF(OR(MONTH(H1020)=6,MONTH(H1020)=12),1,0)</f>
        <v>1</v>
      </c>
      <c r="I1021" s="65" t="n">
        <f aca="false">IF(OR(MONTH(I1020)=6,MONTH(I1020)=12),1,0)</f>
        <v>0</v>
      </c>
      <c r="J1021" s="65" t="n">
        <f aca="false">IF(OR(MONTH(J1020)=6,MONTH(J1020)=12),1,0)</f>
        <v>1</v>
      </c>
      <c r="K1021" s="65" t="n">
        <f aca="false">IF(OR(MONTH(K1020)=6,MONTH(K1020)=12),1,0)</f>
        <v>0</v>
      </c>
      <c r="L1021" s="65" t="n">
        <f aca="false">IF(OR(MONTH(L1020)=6,MONTH(L1020)=12),1,0)</f>
        <v>1</v>
      </c>
      <c r="M1021" s="65" t="n">
        <f aca="false">IF(OR(MONTH(M1020)=6,MONTH(M1020)=12),1,0)</f>
        <v>0</v>
      </c>
      <c r="N1021" s="65" t="n">
        <f aca="false">IF(OR(MONTH(N1020)=6,MONTH(N1020)=12),1,0)</f>
        <v>1</v>
      </c>
      <c r="O1021" s="65" t="n">
        <f aca="false">IF(OR(MONTH(O1020)=6,MONTH(O1020)=12),1,0)</f>
        <v>0</v>
      </c>
    </row>
    <row r="1022" customFormat="false" ht="15" hidden="false" customHeight="false" outlineLevel="0" collapsed="false">
      <c r="B1022" s="65" t="s">
        <v>1021</v>
      </c>
      <c r="C1022" s="65" t="n">
        <v>0</v>
      </c>
      <c r="D1022" s="65" t="n">
        <f aca="false">C1022+D1021</f>
        <v>1</v>
      </c>
      <c r="E1022" s="65" t="n">
        <f aca="false">D1022+E1021</f>
        <v>1</v>
      </c>
      <c r="F1022" s="65" t="n">
        <f aca="false">E1022+F1021</f>
        <v>2</v>
      </c>
      <c r="G1022" s="65" t="n">
        <f aca="false">F1022+G1021</f>
        <v>2</v>
      </c>
      <c r="H1022" s="65" t="n">
        <f aca="false">G1022+H1021</f>
        <v>3</v>
      </c>
      <c r="I1022" s="65" t="n">
        <f aca="false">H1022+I1021</f>
        <v>3</v>
      </c>
      <c r="J1022" s="65" t="n">
        <f aca="false">I1022+J1021</f>
        <v>4</v>
      </c>
      <c r="K1022" s="65" t="n">
        <f aca="false">J1022+K1021</f>
        <v>4</v>
      </c>
      <c r="L1022" s="65" t="n">
        <f aca="false">K1022+L1021</f>
        <v>5</v>
      </c>
      <c r="M1022" s="65" t="n">
        <f aca="false">L1022+M1021</f>
        <v>5</v>
      </c>
      <c r="N1022" s="65" t="n">
        <f aca="false">M1022+N1021</f>
        <v>6</v>
      </c>
      <c r="O1022" s="65" t="n">
        <f aca="false">N1022+O1021</f>
        <v>6</v>
      </c>
    </row>
    <row r="1023" customFormat="false" ht="15" hidden="false" customHeight="false" outlineLevel="0" collapsed="false">
      <c r="B1023" s="65" t="s">
        <v>1022</v>
      </c>
      <c r="C1023" s="25"/>
      <c r="D1023" s="72" t="n">
        <f aca="false">IF(D1021=1,IF(C1033=1,0,IF(D1022=1,$R$6,IF(D1022=2,$R$7,$R$8))),0)</f>
        <v>0.075</v>
      </c>
      <c r="E1023" s="72" t="n">
        <f aca="false">IF(E1021=1,IF(D1033=1,0,IF(E1022=1,$R$6,IF(E1022=2,$R$7,$R$8))),0)</f>
        <v>0</v>
      </c>
      <c r="F1023" s="72" t="n">
        <f aca="false">IF(F1021=1,IF(E1033=1,0,IF(F1022=1,$R$6,IF(F1022=2,$R$7,$R$8))),0)</f>
        <v>0.075</v>
      </c>
      <c r="G1023" s="72" t="n">
        <f aca="false">IF(G1021=1,IF(F1033=1,0,IF(G1022=1,$R$6,IF(G1022=2,$R$7,$R$8))),0)</f>
        <v>0</v>
      </c>
      <c r="H1023" s="72" t="n">
        <f aca="false">IF(H1021=1,IF(G1033=1,0,IF(H1022=1,$R$6,IF(H1022=2,$R$7,$R$8))),0)</f>
        <v>0.075</v>
      </c>
      <c r="I1023" s="72" t="n">
        <f aca="false">IF(I1021=1,IF(H1033=1,0,IF(I1022=1,$R$6,IF(I1022=2,$R$7,$R$8))),0)</f>
        <v>0</v>
      </c>
      <c r="J1023" s="72" t="n">
        <f aca="false">IF(J1021=1,IF(I1033=1,0,IF(J1022=1,$R$6,IF(J1022=2,$R$7,$R$8))),0)</f>
        <v>0.075</v>
      </c>
      <c r="K1023" s="72" t="n">
        <f aca="false">IF(K1021=1,IF(J1033=1,0,IF(K1022=1,$R$6,IF(K1022=2,$R$7,$R$8))),0)</f>
        <v>0</v>
      </c>
      <c r="L1023" s="72" t="n">
        <f aca="false">IF(L1021=1,IF(K1033=1,0,IF(L1022=1,$R$6,IF(L1022=2,$R$7,$R$8))),0)</f>
        <v>0.075</v>
      </c>
      <c r="M1023" s="72" t="n">
        <f aca="false">IF(M1021=1,IF(L1033=1,0,IF(M1022=1,$R$6,IF(M1022=2,$R$7,$R$8))),0)</f>
        <v>0</v>
      </c>
      <c r="N1023" s="72" t="n">
        <f aca="false">IF(N1021=1,IF(M1033=1,0,IF(N1022=1,$R$6,IF(N1022=2,$R$7,$R$8))),0)</f>
        <v>0.075</v>
      </c>
      <c r="O1023" s="72" t="n">
        <f aca="false">IF(O1021=1,IF(N1033=1,0,IF(O1022=1,$R$6,IF(O1022=2,$R$7,$R$8))),0)</f>
        <v>0</v>
      </c>
    </row>
    <row r="1024" customFormat="false" ht="15" hidden="false" customHeight="false" outlineLevel="0" collapsed="false">
      <c r="B1024" s="65" t="s">
        <v>1023</v>
      </c>
      <c r="C1024" s="25"/>
      <c r="D1024" s="73" t="n">
        <f aca="false">C1068</f>
        <v>50000000</v>
      </c>
      <c r="E1024" s="73" t="n">
        <f aca="false">D1068</f>
        <v>46850643.75</v>
      </c>
      <c r="F1024" s="73" t="n">
        <f aca="false">E1068</f>
        <v>47571589.2132813</v>
      </c>
      <c r="G1024" s="73" t="n">
        <f aca="false">F1068</f>
        <v>44725335.432033</v>
      </c>
      <c r="H1024" s="73" t="n">
        <f aca="false">G1068</f>
        <v>45443676.0888842</v>
      </c>
      <c r="I1024" s="73" t="n">
        <f aca="false">H1068</f>
        <v>42781146.1226041</v>
      </c>
      <c r="J1024" s="73" t="n">
        <f aca="false">I1068</f>
        <v>43523732.5183755</v>
      </c>
      <c r="K1024" s="73" t="n">
        <f aca="false">J1068</f>
        <v>40861871.5737234</v>
      </c>
      <c r="L1024" s="73" t="n">
        <f aca="false">K1068</f>
        <v>41580760.6240666</v>
      </c>
      <c r="M1024" s="73" t="n">
        <f aca="false">L1068</f>
        <v>38967663.0014525</v>
      </c>
      <c r="N1024" s="73" t="n">
        <f aca="false">M1068</f>
        <v>39653230.8780725</v>
      </c>
      <c r="O1024" s="73" t="n">
        <f aca="false">N1068</f>
        <v>37143418.3310397</v>
      </c>
    </row>
    <row r="1025" customFormat="false" ht="15" hidden="false" customHeight="false" outlineLevel="0" collapsed="false">
      <c r="B1025" s="65" t="s">
        <v>177</v>
      </c>
      <c r="C1025" s="25"/>
      <c r="D1025" s="73" t="n">
        <f aca="false">IF(C1033=1,0,$R$9*D1024)</f>
        <v>0</v>
      </c>
      <c r="E1025" s="73" t="n">
        <f aca="false">IF(D1033=1,0,$R$9*E1024)</f>
        <v>0</v>
      </c>
      <c r="F1025" s="73" t="n">
        <f aca="false">IF(E1033=1,0,$R$9*F1024)</f>
        <v>0</v>
      </c>
      <c r="G1025" s="73" t="n">
        <f aca="false">IF(F1033=1,0,$R$9*G1024)</f>
        <v>0</v>
      </c>
      <c r="H1025" s="73" t="n">
        <f aca="false">IF(G1033=1,0,$R$9*H1024)</f>
        <v>0</v>
      </c>
      <c r="I1025" s="73" t="n">
        <f aca="false">IF(H1033=1,0,$R$9*I1024)</f>
        <v>0</v>
      </c>
      <c r="J1025" s="73" t="n">
        <f aca="false">IF(I1033=1,0,$R$9*J1024)</f>
        <v>0</v>
      </c>
      <c r="K1025" s="73" t="n">
        <f aca="false">IF(J1033=1,0,$R$9*K1024)</f>
        <v>0</v>
      </c>
      <c r="L1025" s="73" t="n">
        <f aca="false">IF(K1033=1,0,$R$9*L1024)</f>
        <v>0</v>
      </c>
      <c r="M1025" s="73" t="n">
        <f aca="false">IF(L1033=1,0,$R$9*M1024)</f>
        <v>0</v>
      </c>
      <c r="N1025" s="73" t="n">
        <f aca="false">IF(M1033=1,0,$R$9*N1024)</f>
        <v>0</v>
      </c>
      <c r="O1025" s="73" t="n">
        <f aca="false">IF(N1033=1,0,$R$9*O1024)</f>
        <v>0</v>
      </c>
    </row>
    <row r="1026" customFormat="false" ht="15" hidden="false" customHeight="false" outlineLevel="0" collapsed="false">
      <c r="B1026" s="65" t="s">
        <v>1024</v>
      </c>
      <c r="C1026" s="25"/>
      <c r="D1026" s="73" t="n">
        <f aca="false">D1023*D1024</f>
        <v>3750000</v>
      </c>
      <c r="E1026" s="73" t="n">
        <f aca="false">E1023*E1024</f>
        <v>0</v>
      </c>
      <c r="F1026" s="73" t="n">
        <f aca="false">F1023*F1024</f>
        <v>3567869.19099609</v>
      </c>
      <c r="G1026" s="73" t="n">
        <f aca="false">G1023*G1024</f>
        <v>0</v>
      </c>
      <c r="H1026" s="73" t="n">
        <f aca="false">H1023*H1024</f>
        <v>3408275.70666632</v>
      </c>
      <c r="I1026" s="73" t="n">
        <f aca="false">I1023*I1024</f>
        <v>0</v>
      </c>
      <c r="J1026" s="73" t="n">
        <f aca="false">J1023*J1024</f>
        <v>3264279.93887816</v>
      </c>
      <c r="K1026" s="73" t="n">
        <f aca="false">K1023*K1024</f>
        <v>0</v>
      </c>
      <c r="L1026" s="73" t="n">
        <f aca="false">L1023*L1024</f>
        <v>3118557.046805</v>
      </c>
      <c r="M1026" s="73" t="n">
        <f aca="false">M1023*M1024</f>
        <v>0</v>
      </c>
      <c r="N1026" s="73" t="n">
        <f aca="false">N1023*N1024</f>
        <v>2973992.31585544</v>
      </c>
      <c r="O1026" s="73" t="n">
        <f aca="false">O1023*O1024</f>
        <v>0</v>
      </c>
    </row>
    <row r="1027" customFormat="false" ht="15" hidden="false" customHeight="false" outlineLevel="0" collapsed="false">
      <c r="B1027" s="65" t="s">
        <v>1025</v>
      </c>
      <c r="C1027" s="25"/>
      <c r="D1027" s="73" t="n">
        <f aca="false">C1035</f>
        <v>0</v>
      </c>
      <c r="E1027" s="73" t="n">
        <f aca="false">D1035</f>
        <v>0</v>
      </c>
      <c r="F1027" s="73" t="n">
        <f aca="false">E1035</f>
        <v>0</v>
      </c>
      <c r="G1027" s="73" t="n">
        <f aca="false">F1035</f>
        <v>0</v>
      </c>
      <c r="H1027" s="73" t="n">
        <f aca="false">G1035</f>
        <v>0</v>
      </c>
      <c r="I1027" s="73" t="n">
        <f aca="false">H1035</f>
        <v>0</v>
      </c>
      <c r="J1027" s="73" t="n">
        <f aca="false">I1035</f>
        <v>0</v>
      </c>
      <c r="K1027" s="73" t="n">
        <f aca="false">J1035</f>
        <v>0</v>
      </c>
      <c r="L1027" s="73" t="n">
        <f aca="false">K1035</f>
        <v>0</v>
      </c>
      <c r="M1027" s="73" t="n">
        <f aca="false">L1035</f>
        <v>0</v>
      </c>
      <c r="N1027" s="73" t="n">
        <f aca="false">M1035</f>
        <v>0</v>
      </c>
      <c r="O1027" s="73" t="n">
        <f aca="false">N1035</f>
        <v>0</v>
      </c>
    </row>
    <row r="1028" customFormat="false" ht="15" hidden="false" customHeight="false" outlineLevel="0" collapsed="false">
      <c r="B1028" s="65" t="s">
        <v>1026</v>
      </c>
      <c r="C1028" s="25"/>
      <c r="D1028" s="73" t="n">
        <f aca="false">D1026+D1027</f>
        <v>3750000</v>
      </c>
      <c r="E1028" s="73" t="n">
        <f aca="false">E1026+E1027</f>
        <v>0</v>
      </c>
      <c r="F1028" s="73" t="n">
        <f aca="false">F1026+F1027</f>
        <v>3567869.19099609</v>
      </c>
      <c r="G1028" s="73" t="n">
        <f aca="false">G1026+G1027</f>
        <v>0</v>
      </c>
      <c r="H1028" s="73" t="n">
        <f aca="false">H1026+H1027</f>
        <v>3408275.70666632</v>
      </c>
      <c r="I1028" s="73" t="n">
        <f aca="false">I1026+I1027</f>
        <v>0</v>
      </c>
      <c r="J1028" s="73" t="n">
        <f aca="false">J1026+J1027</f>
        <v>3264279.93887816</v>
      </c>
      <c r="K1028" s="73" t="n">
        <f aca="false">K1026+K1027</f>
        <v>0</v>
      </c>
      <c r="L1028" s="73" t="n">
        <f aca="false">L1026+L1027</f>
        <v>3118557.046805</v>
      </c>
      <c r="M1028" s="73" t="n">
        <f aca="false">M1026+M1027</f>
        <v>0</v>
      </c>
      <c r="N1028" s="73" t="n">
        <f aca="false">N1026+N1027</f>
        <v>2973992.31585544</v>
      </c>
      <c r="O1028" s="73" t="n">
        <f aca="false">O1026+O1027</f>
        <v>0</v>
      </c>
    </row>
    <row r="1029" customFormat="false" ht="15" hidden="false" customHeight="false" outlineLevel="0" collapsed="false">
      <c r="B1029" s="65" t="s">
        <v>1027</v>
      </c>
      <c r="C1029" s="25"/>
      <c r="D1029" s="73" t="n">
        <f aca="false">IF($R$21=1,Gate*D1024+D1025,D1028)</f>
        <v>3750000</v>
      </c>
      <c r="E1029" s="73" t="n">
        <f aca="false">IF($R$21=1,Gate*E1024+E1025,E1028)</f>
        <v>0</v>
      </c>
      <c r="F1029" s="73" t="n">
        <f aca="false">IF($R$21=1,Gate*F1024+F1025,F1028)</f>
        <v>3567869.19099609</v>
      </c>
      <c r="G1029" s="73" t="n">
        <f aca="false">IF($R$21=1,Gate*G1024+G1025,G1028)</f>
        <v>0</v>
      </c>
      <c r="H1029" s="73" t="n">
        <f aca="false">IF($R$21=1,Gate*H1024+H1025,H1028)</f>
        <v>3408275.70666632</v>
      </c>
      <c r="I1029" s="73" t="n">
        <f aca="false">IF($R$21=1,Gate*I1024+I1025,I1028)</f>
        <v>0</v>
      </c>
      <c r="J1029" s="73" t="n">
        <f aca="false">IF($R$21=1,Gate*J1024+J1025,J1028)</f>
        <v>3264279.93887816</v>
      </c>
      <c r="K1029" s="73" t="n">
        <f aca="false">IF($R$21=1,Gate*K1024+K1025,K1028)</f>
        <v>0</v>
      </c>
      <c r="L1029" s="73" t="n">
        <f aca="false">IF($R$21=1,Gate*L1024+L1025,L1028)</f>
        <v>3118557.046805</v>
      </c>
      <c r="M1029" s="73" t="n">
        <f aca="false">IF($R$21=1,Gate*M1024+M1025,M1028)</f>
        <v>0</v>
      </c>
      <c r="N1029" s="73" t="n">
        <f aca="false">IF($R$21=1,Gate*N1024+N1025,N1028)</f>
        <v>2973992.31585544</v>
      </c>
      <c r="O1029" s="73" t="n">
        <f aca="false">IF($R$21=1,Gate*O1024+O1025,O1028)</f>
        <v>0</v>
      </c>
    </row>
    <row r="1030" customFormat="false" ht="15" hidden="false" customHeight="false" outlineLevel="0" collapsed="false">
      <c r="B1030" s="65" t="s">
        <v>1028</v>
      </c>
      <c r="C1030" s="25"/>
      <c r="D1030" s="73" t="n">
        <f aca="false">IF(D1021=1,MIN(D1028,D1029),0)</f>
        <v>3750000</v>
      </c>
      <c r="E1030" s="73" t="n">
        <f aca="false">IF(E1021=1,MIN(E1028,E1029),0)</f>
        <v>0</v>
      </c>
      <c r="F1030" s="73" t="n">
        <f aca="false">IF(F1021=1,MIN(F1028,F1029),0)</f>
        <v>3567869.19099609</v>
      </c>
      <c r="G1030" s="73" t="n">
        <f aca="false">IF(G1021=1,MIN(G1028,G1029),0)</f>
        <v>0</v>
      </c>
      <c r="H1030" s="73" t="n">
        <f aca="false">IF(H1021=1,MIN(H1028,H1029),0)</f>
        <v>3408275.70666632</v>
      </c>
      <c r="I1030" s="73" t="n">
        <f aca="false">IF(I1021=1,MIN(I1028,I1029),0)</f>
        <v>0</v>
      </c>
      <c r="J1030" s="73" t="n">
        <f aca="false">IF(J1021=1,MIN(J1028,J1029),0)</f>
        <v>3264279.93887816</v>
      </c>
      <c r="K1030" s="73" t="n">
        <f aca="false">IF(K1021=1,MIN(K1028,K1029),0)</f>
        <v>0</v>
      </c>
      <c r="L1030" s="73" t="n">
        <f aca="false">IF(L1021=1,MIN(L1028,L1029),0)</f>
        <v>3118557.046805</v>
      </c>
      <c r="M1030" s="73" t="n">
        <f aca="false">IF(M1021=1,MIN(M1028,M1029),0)</f>
        <v>0</v>
      </c>
      <c r="N1030" s="73" t="n">
        <f aca="false">IF(N1021=1,MIN(N1028,N1029),0)</f>
        <v>2973992.31585544</v>
      </c>
      <c r="O1030" s="73" t="n">
        <f aca="false">IF(O1021=1,MIN(O1028,O1029),0)</f>
        <v>0</v>
      </c>
    </row>
    <row r="1031" customFormat="false" ht="15" hidden="false" customHeight="false" outlineLevel="0" collapsed="false">
      <c r="B1031" s="65" t="s">
        <v>1029</v>
      </c>
      <c r="C1031" s="25"/>
      <c r="D1031" s="73" t="n">
        <f aca="false">MAX(0,D1059+D1050+D1051-Poche_min_exec*D1024-D1030-SUM(E1056:F1056)+MAX(0,MIN($R$20*AN_cible,Emprunt_max*D1024)-C1067))</f>
        <v>0</v>
      </c>
      <c r="E1031" s="73" t="n">
        <f aca="false">MAX(0,E1059+E1050+E1051-Poche_min_exec*E1024-E1030-SUM(F1056:G1056)+MAX(0,MIN($R$20*AN_cible,Emprunt_max*E1024)-D1067))</f>
        <v>0</v>
      </c>
      <c r="F1031" s="73" t="n">
        <f aca="false">MAX(0,F1059+F1050+F1051-Poche_min_exec*F1024-F1030-SUM(G1056:H1056)+MAX(0,MIN($R$20*AN_cible,Emprunt_max*F1024)-E1067))</f>
        <v>0</v>
      </c>
      <c r="G1031" s="73" t="n">
        <f aca="false">MAX(0,G1059+G1050+G1051-Poche_min_exec*G1024-G1030-SUM(H1056:I1056)+MAX(0,MIN($R$20*AN_cible,Emprunt_max*G1024)-F1067))</f>
        <v>0</v>
      </c>
      <c r="H1031" s="73" t="n">
        <f aca="false">MAX(0,H1059+H1050+H1051-Poche_min_exec*H1024-H1030-SUM(I1056:J1056)+MAX(0,MIN($R$20*AN_cible,Emprunt_max*H1024)-G1067))</f>
        <v>0</v>
      </c>
      <c r="I1031" s="73" t="n">
        <f aca="false">MAX(0,I1059+I1050+I1051-Poche_min_exec*I1024-I1030-SUM(J1056:K1056)+MAX(0,MIN($R$20*AN_cible,Emprunt_max*I1024)-H1067))</f>
        <v>0</v>
      </c>
      <c r="J1031" s="73" t="n">
        <f aca="false">MAX(0,J1059+J1050+J1051-Poche_min_exec*J1024-J1030-SUM(K1056:L1056)+MAX(0,MIN($R$20*AN_cible,Emprunt_max*J1024)-I1067))</f>
        <v>0</v>
      </c>
      <c r="K1031" s="73" t="n">
        <f aca="false">MAX(0,K1059+K1050+K1051-Poche_min_exec*K1024-K1030-SUM(L1056:M1056)+MAX(0,MIN($R$20*AN_cible,Emprunt_max*K1024)-J1067))</f>
        <v>0</v>
      </c>
      <c r="L1031" s="73" t="n">
        <f aca="false">MAX(0,L1059+L1050+L1051-Poche_min_exec*L1024-L1030-SUM(M1056:N1056)+MAX(0,MIN($R$20*AN_cible,Emprunt_max*L1024)-K1067))</f>
        <v>0</v>
      </c>
      <c r="M1031" s="73" t="n">
        <f aca="false">MAX(0,M1059+M1050+M1051-Poche_min_exec*M1024-M1030-SUM(N1056:O1056)+MAX(0,MIN($R$20*AN_cible,Emprunt_max*M1024)-L1067))</f>
        <v>0</v>
      </c>
      <c r="N1031" s="73" t="n">
        <f aca="false">MAX(0,N1059+N1050+N1051-Poche_min_exec*N1024-N1030-SUM(O1056:O1056)+MAX(0,MIN($R$20*AN_cible,Emprunt_max*N1024)-M1067))</f>
        <v>0</v>
      </c>
      <c r="O1031" s="73" t="n">
        <f aca="false">MAX(0,O1059+O1050+O1051-Poche_min_exec*O1024-O1030-0+MAX(0,MIN($R$20*AN_cible,Emprunt_max*O1024)-N1067))</f>
        <v>0</v>
      </c>
    </row>
    <row r="1032" customFormat="false" ht="15" hidden="false" customHeight="false" outlineLevel="0" collapsed="false">
      <c r="B1032" s="65" t="s">
        <v>1030</v>
      </c>
      <c r="C1032" s="25"/>
      <c r="D1032" s="73" t="n">
        <f aca="false">IF(AND(D1021=1,$R$21=1,$R$22=1),MIN(D1028-D1030,D1031),0)</f>
        <v>0</v>
      </c>
      <c r="E1032" s="73" t="n">
        <f aca="false">IF(AND(E1021=1,$R$21=1,$R$22=1),MIN(E1028-E1030,E1031),0)</f>
        <v>0</v>
      </c>
      <c r="F1032" s="73" t="n">
        <f aca="false">IF(AND(F1021=1,$R$21=1,$R$22=1),MIN(F1028-F1030,F1031),0)</f>
        <v>0</v>
      </c>
      <c r="G1032" s="73" t="n">
        <f aca="false">IF(AND(G1021=1,$R$21=1,$R$22=1),MIN(G1028-G1030,G1031),0)</f>
        <v>0</v>
      </c>
      <c r="H1032" s="73" t="n">
        <f aca="false">IF(AND(H1021=1,$R$21=1,$R$22=1),MIN(H1028-H1030,H1031),0)</f>
        <v>0</v>
      </c>
      <c r="I1032" s="73" t="n">
        <f aca="false">IF(AND(I1021=1,$R$21=1,$R$22=1),MIN(I1028-I1030,I1031),0)</f>
        <v>0</v>
      </c>
      <c r="J1032" s="73" t="n">
        <f aca="false">IF(AND(J1021=1,$R$21=1,$R$22=1),MIN(J1028-J1030,J1031),0)</f>
        <v>0</v>
      </c>
      <c r="K1032" s="73" t="n">
        <f aca="false">IF(AND(K1021=1,$R$21=1,$R$22=1),MIN(K1028-K1030,K1031),0)</f>
        <v>0</v>
      </c>
      <c r="L1032" s="73" t="n">
        <f aca="false">IF(AND(L1021=1,$R$21=1,$R$22=1),MIN(L1028-L1030,L1031),0)</f>
        <v>0</v>
      </c>
      <c r="M1032" s="73" t="n">
        <f aca="false">IF(AND(M1021=1,$R$21=1,$R$22=1),MIN(M1028-M1030,M1031),0)</f>
        <v>0</v>
      </c>
      <c r="N1032" s="73" t="n">
        <f aca="false">IF(AND(N1021=1,$R$21=1,$R$22=1),MIN(N1028-N1030,N1031),0)</f>
        <v>0</v>
      </c>
      <c r="O1032" s="73" t="n">
        <f aca="false">IF(AND(O1021=1,$R$21=1,$R$22=1),MIN(O1028-O1030,O1031),0)</f>
        <v>0</v>
      </c>
    </row>
    <row r="1033" customFormat="false" ht="15" hidden="false" customHeight="false" outlineLevel="0" collapsed="false">
      <c r="B1033" s="65" t="s">
        <v>1031</v>
      </c>
      <c r="C1033" s="65" t="n">
        <v>0</v>
      </c>
      <c r="D1033" s="65" t="n">
        <f aca="false">IF(C1033=1,1,IF(AND(D1021=1,$R$21=1,C1037&gt;=Gate_dates,D1028-D1030-D1032&gt;0.000001),1,0))</f>
        <v>0</v>
      </c>
      <c r="E1033" s="65" t="n">
        <f aca="false">IF(D1033=1,1,IF(AND(E1021=1,$R$21=1,D1037&gt;=Gate_dates,E1028-E1030-E1032&gt;0.000001),1,0))</f>
        <v>0</v>
      </c>
      <c r="F1033" s="65" t="n">
        <f aca="false">IF(E1033=1,1,IF(AND(F1021=1,$R$21=1,E1037&gt;=Gate_dates,F1028-F1030-F1032&gt;0.000001),1,0))</f>
        <v>0</v>
      </c>
      <c r="G1033" s="65" t="n">
        <f aca="false">IF(F1033=1,1,IF(AND(G1021=1,$R$21=1,F1037&gt;=Gate_dates,G1028-G1030-G1032&gt;0.000001),1,0))</f>
        <v>0</v>
      </c>
      <c r="H1033" s="65" t="n">
        <f aca="false">IF(G1033=1,1,IF(AND(H1021=1,$R$21=1,G1037&gt;=Gate_dates,H1028-H1030-H1032&gt;0.000001),1,0))</f>
        <v>0</v>
      </c>
      <c r="I1033" s="65" t="n">
        <f aca="false">IF(H1033=1,1,IF(AND(I1021=1,$R$21=1,H1037&gt;=Gate_dates,I1028-I1030-I1032&gt;0.000001),1,0))</f>
        <v>0</v>
      </c>
      <c r="J1033" s="65" t="n">
        <f aca="false">IF(I1033=1,1,IF(AND(J1021=1,$R$21=1,I1037&gt;=Gate_dates,J1028-J1030-J1032&gt;0.000001),1,0))</f>
        <v>0</v>
      </c>
      <c r="K1033" s="65" t="n">
        <f aca="false">IF(J1033=1,1,IF(AND(K1021=1,$R$21=1,J1037&gt;=Gate_dates,K1028-K1030-K1032&gt;0.000001),1,0))</f>
        <v>0</v>
      </c>
      <c r="L1033" s="65" t="n">
        <f aca="false">IF(K1033=1,1,IF(AND(L1021=1,$R$21=1,K1037&gt;=Gate_dates,L1028-L1030-L1032&gt;0.000001),1,0))</f>
        <v>0</v>
      </c>
      <c r="M1033" s="65" t="n">
        <f aca="false">IF(L1033=1,1,IF(AND(M1021=1,$R$21=1,L1037&gt;=Gate_dates,M1028-M1030-M1032&gt;0.000001),1,0))</f>
        <v>0</v>
      </c>
      <c r="N1033" s="65" t="n">
        <f aca="false">IF(M1033=1,1,IF(AND(N1021=1,$R$21=1,M1037&gt;=Gate_dates,N1028-N1030-N1032&gt;0.000001),1,0))</f>
        <v>0</v>
      </c>
      <c r="O1033" s="65" t="n">
        <f aca="false">IF(N1033=1,1,IF(AND(O1021=1,$R$21=1,N1037&gt;=Gate_dates,O1028-O1030-O1032&gt;0.000001),1,0))</f>
        <v>0</v>
      </c>
    </row>
    <row r="1034" customFormat="false" ht="15" hidden="false" customHeight="false" outlineLevel="0" collapsed="false">
      <c r="B1034" s="65" t="s">
        <v>1032</v>
      </c>
      <c r="C1034" s="25"/>
      <c r="D1034" s="73" t="n">
        <f aca="false">IF(D1033=1,0,D1030+D1032)</f>
        <v>3750000</v>
      </c>
      <c r="E1034" s="73" t="n">
        <f aca="false">IF(E1033=1,0,E1030+E1032)</f>
        <v>0</v>
      </c>
      <c r="F1034" s="73" t="n">
        <f aca="false">IF(F1033=1,0,F1030+F1032)</f>
        <v>3567869.19099609</v>
      </c>
      <c r="G1034" s="73" t="n">
        <f aca="false">IF(G1033=1,0,G1030+G1032)</f>
        <v>0</v>
      </c>
      <c r="H1034" s="73" t="n">
        <f aca="false">IF(H1033=1,0,H1030+H1032)</f>
        <v>3408275.70666632</v>
      </c>
      <c r="I1034" s="73" t="n">
        <f aca="false">IF(I1033=1,0,I1030+I1032)</f>
        <v>0</v>
      </c>
      <c r="J1034" s="73" t="n">
        <f aca="false">IF(J1033=1,0,J1030+J1032)</f>
        <v>3264279.93887816</v>
      </c>
      <c r="K1034" s="73" t="n">
        <f aca="false">IF(K1033=1,0,K1030+K1032)</f>
        <v>0</v>
      </c>
      <c r="L1034" s="73" t="n">
        <f aca="false">IF(L1033=1,0,L1030+L1032)</f>
        <v>3118557.046805</v>
      </c>
      <c r="M1034" s="73" t="n">
        <f aca="false">IF(M1033=1,0,M1030+M1032)</f>
        <v>0</v>
      </c>
      <c r="N1034" s="73" t="n">
        <f aca="false">IF(N1033=1,0,N1030+N1032)</f>
        <v>2973992.31585544</v>
      </c>
      <c r="O1034" s="73" t="n">
        <f aca="false">IF(O1033=1,0,O1030+O1032)</f>
        <v>0</v>
      </c>
    </row>
    <row r="1035" customFormat="false" ht="15" hidden="false" customHeight="false" outlineLevel="0" collapsed="false">
      <c r="B1035" s="65" t="s">
        <v>1033</v>
      </c>
      <c r="C1035" s="73" t="n">
        <v>0</v>
      </c>
      <c r="D1035" s="73" t="n">
        <f aca="false">D1028-D1034</f>
        <v>0</v>
      </c>
      <c r="E1035" s="73" t="n">
        <f aca="false">E1028-E1034</f>
        <v>0</v>
      </c>
      <c r="F1035" s="73" t="n">
        <f aca="false">F1028-F1034</f>
        <v>0</v>
      </c>
      <c r="G1035" s="73" t="n">
        <f aca="false">G1028-G1034</f>
        <v>0</v>
      </c>
      <c r="H1035" s="73" t="n">
        <f aca="false">H1028-H1034</f>
        <v>0</v>
      </c>
      <c r="I1035" s="73" t="n">
        <f aca="false">I1028-I1034</f>
        <v>0</v>
      </c>
      <c r="J1035" s="73" t="n">
        <f aca="false">J1028-J1034</f>
        <v>0</v>
      </c>
      <c r="K1035" s="73" t="n">
        <f aca="false">K1028-K1034</f>
        <v>0</v>
      </c>
      <c r="L1035" s="73" t="n">
        <f aca="false">L1028-L1034</f>
        <v>0</v>
      </c>
      <c r="M1035" s="73" t="n">
        <f aca="false">M1028-M1034</f>
        <v>0</v>
      </c>
      <c r="N1035" s="73" t="n">
        <f aca="false">N1028-N1034</f>
        <v>0</v>
      </c>
      <c r="O1035" s="73" t="n">
        <f aca="false">O1028-O1034</f>
        <v>0</v>
      </c>
    </row>
    <row r="1036" customFormat="false" ht="15" hidden="false" customHeight="false" outlineLevel="0" collapsed="false">
      <c r="B1036" s="65" t="s">
        <v>1034</v>
      </c>
      <c r="C1036" s="25"/>
      <c r="D1036" s="65" t="n">
        <f aca="false">IF(AND(D1021=1,D1033=0,D1035&gt;0.000001),1,0)</f>
        <v>0</v>
      </c>
      <c r="E1036" s="65" t="n">
        <f aca="false">IF(AND(E1021=1,E1033=0,E1035&gt;0.000001),1,0)</f>
        <v>0</v>
      </c>
      <c r="F1036" s="65" t="n">
        <f aca="false">IF(AND(F1021=1,F1033=0,F1035&gt;0.000001),1,0)</f>
        <v>0</v>
      </c>
      <c r="G1036" s="65" t="n">
        <f aca="false">IF(AND(G1021=1,G1033=0,G1035&gt;0.000001),1,0)</f>
        <v>0</v>
      </c>
      <c r="H1036" s="65" t="n">
        <f aca="false">IF(AND(H1021=1,H1033=0,H1035&gt;0.000001),1,0)</f>
        <v>0</v>
      </c>
      <c r="I1036" s="65" t="n">
        <f aca="false">IF(AND(I1021=1,I1033=0,I1035&gt;0.000001),1,0)</f>
        <v>0</v>
      </c>
      <c r="J1036" s="65" t="n">
        <f aca="false">IF(AND(J1021=1,J1033=0,J1035&gt;0.000001),1,0)</f>
        <v>0</v>
      </c>
      <c r="K1036" s="65" t="n">
        <f aca="false">IF(AND(K1021=1,K1033=0,K1035&gt;0.000001),1,0)</f>
        <v>0</v>
      </c>
      <c r="L1036" s="65" t="n">
        <f aca="false">IF(AND(L1021=1,L1033=0,L1035&gt;0.000001),1,0)</f>
        <v>0</v>
      </c>
      <c r="M1036" s="65" t="n">
        <f aca="false">IF(AND(M1021=1,M1033=0,M1035&gt;0.000001),1,0)</f>
        <v>0</v>
      </c>
      <c r="N1036" s="65" t="n">
        <f aca="false">IF(AND(N1021=1,N1033=0,N1035&gt;0.000001),1,0)</f>
        <v>0</v>
      </c>
      <c r="O1036" s="65" t="n">
        <f aca="false">IF(AND(O1021=1,O1033=0,O1035&gt;0.000001),1,0)</f>
        <v>0</v>
      </c>
    </row>
    <row r="1037" customFormat="false" ht="15" hidden="false" customHeight="false" outlineLevel="0" collapsed="false">
      <c r="B1037" s="65" t="s">
        <v>843</v>
      </c>
      <c r="C1037" s="65" t="n">
        <v>0</v>
      </c>
      <c r="D1037" s="65" t="n">
        <f aca="false">IF(D1021=1,IF(D1036=1,C1037+1,0),C1037)</f>
        <v>0</v>
      </c>
      <c r="E1037" s="65" t="n">
        <f aca="false">IF(E1021=1,IF(E1036=1,D1037+1,0),D1037)</f>
        <v>0</v>
      </c>
      <c r="F1037" s="65" t="n">
        <f aca="false">IF(F1021=1,IF(F1036=1,E1037+1,0),E1037)</f>
        <v>0</v>
      </c>
      <c r="G1037" s="65" t="n">
        <f aca="false">IF(G1021=1,IF(G1036=1,F1037+1,0),F1037)</f>
        <v>0</v>
      </c>
      <c r="H1037" s="65" t="n">
        <f aca="false">IF(H1021=1,IF(H1036=1,G1037+1,0),G1037)</f>
        <v>0</v>
      </c>
      <c r="I1037" s="65" t="n">
        <f aca="false">IF(I1021=1,IF(I1036=1,H1037+1,0),H1037)</f>
        <v>0</v>
      </c>
      <c r="J1037" s="65" t="n">
        <f aca="false">IF(J1021=1,IF(J1036=1,I1037+1,0),I1037)</f>
        <v>0</v>
      </c>
      <c r="K1037" s="65" t="n">
        <f aca="false">IF(K1021=1,IF(K1036=1,J1037+1,0),J1037)</f>
        <v>0</v>
      </c>
      <c r="L1037" s="65" t="n">
        <f aca="false">IF(L1021=1,IF(L1036=1,K1037+1,0),K1037)</f>
        <v>0</v>
      </c>
      <c r="M1037" s="65" t="n">
        <f aca="false">IF(M1021=1,IF(M1036=1,L1037+1,0),L1037)</f>
        <v>0</v>
      </c>
      <c r="N1037" s="65" t="n">
        <f aca="false">IF(N1021=1,IF(N1036=1,M1037+1,0),M1037)</f>
        <v>0</v>
      </c>
      <c r="O1037" s="65" t="n">
        <f aca="false">IF(O1021=1,IF(O1036=1,N1037+1,0),N1037)</f>
        <v>0</v>
      </c>
    </row>
    <row r="1038" customFormat="false" ht="15" hidden="false" customHeight="false" outlineLevel="0" collapsed="false">
      <c r="B1038" s="65" t="s">
        <v>1035</v>
      </c>
      <c r="C1038" s="73" t="n">
        <f aca="false">AN_cible*Ws_MAPIF</f>
        <v>12500000</v>
      </c>
      <c r="D1038" s="73" t="n">
        <f aca="false">C1038*(1+Rend_MAPIF/4)*IF(D1019=1,(1-(Cap_MAPIF*$R$15+(1-Cap_MAPIF)*$R$16))*(1+1*$R$14),1)+D1048-D1042-D1063*IF((C1038+C1039+C1040+C1041)&gt;0,C1038/(C1038+C1039+C1040+C1041),0)</f>
        <v>12971562.5</v>
      </c>
      <c r="E1038" s="73" t="n">
        <f aca="false">D1038*(1+Rend_MAPIF/4)*IF(E1019=1,(1-(Cap_MAPIF*$R$15+(1-Cap_MAPIF)*$R$16))*(1+1*$R$14),1)+E1048-E1042-E1063*IF((D1038+D1039+D1040+D1041)&gt;0,D1038/(D1038+D1039+D1040+D1041),0)</f>
        <v>13446767.8203125</v>
      </c>
      <c r="F1038" s="73" t="n">
        <f aca="false">E1038*(1+Rend_MAPIF/4)*IF(F1019=1,(1-(Cap_MAPIF*$R$15+(1-Cap_MAPIF)*$R$16))*(1+1*$R$14),1)+F1048-F1042-F1063*IF((E1038+E1039+E1040+E1041)&gt;0,E1038/(E1038+E1039+E1040+E1041),0)</f>
        <v>13925644.1017244</v>
      </c>
      <c r="G1038" s="73" t="n">
        <f aca="false">F1038*(1+Rend_MAPIF/4)*IF(G1019=1,(1-(Cap_MAPIF*$R$15+(1-Cap_MAPIF)*$R$16))*(1+1*$R$14),1)+G1048-G1042-G1063*IF((F1038+F1039+F1040+F1041)&gt;0,F1038/(F1038+F1039+F1040+F1041),0)</f>
        <v>14408219.7024102</v>
      </c>
      <c r="H1038" s="73" t="n">
        <f aca="false">G1038*(1+Rend_MAPIF/4)*IF(H1019=1,(1-(Cap_MAPIF*$R$15+(1-Cap_MAPIF)*$R$16))*(1+1*$R$14),1)+H1048-H1042-H1063*IF((G1038+G1039+G1040+G1041)&gt;0,G1038/(G1038+G1039+G1040+G1041),0)</f>
        <v>14894523.1996114</v>
      </c>
      <c r="I1038" s="73" t="n">
        <f aca="false">H1038*(1+Rend_MAPIF/4)*IF(I1019=1,(1-(Cap_MAPIF*$R$15+(1-Cap_MAPIF)*$R$16))*(1+1*$R$14),1)+I1048-I1042-I1063*IF((H1038+H1039+H1040+H1041)&gt;0,H1038/(H1038+H1039+H1040+H1041),0)</f>
        <v>15384583.3913284</v>
      </c>
      <c r="J1038" s="73" t="n">
        <f aca="false">I1038*(1+Rend_MAPIF/4)*IF(J1019=1,(1-(Cap_MAPIF*$R$15+(1-Cap_MAPIF)*$R$16))*(1+1*$R$14),1)+J1048-J1042-J1063*IF((I1038+I1039+I1040+I1041)&gt;0,I1038/(I1038+I1039+I1040+I1041),0)</f>
        <v>15361664.3418031</v>
      </c>
      <c r="K1038" s="73" t="n">
        <f aca="false">J1038*(1+Rend_MAPIF/4)*IF(K1019=1,(1-(Cap_MAPIF*$R$15+(1-Cap_MAPIF)*$R$16))*(1+1*$R$14),1)+K1048-K1042-K1063*IF((J1038+J1039+J1040+J1041)&gt;0,J1038/(J1038+J1039+J1040+J1041),0)</f>
        <v>15855333.1988435</v>
      </c>
      <c r="L1038" s="73" t="n">
        <f aca="false">K1038*(1+Rend_MAPIF/4)*IF(L1019=1,(1-(Cap_MAPIF*$R$15+(1-Cap_MAPIF)*$R$16))*(1+1*$R$14),1)+L1048-L1042-L1063*IF((K1038+K1039+K1040+K1041)&gt;0,K1038/(K1038+K1039+K1040+K1041),0)</f>
        <v>15515983.0892813</v>
      </c>
      <c r="M1038" s="73" t="n">
        <f aca="false">L1038*(1+Rend_MAPIF/4)*IF(M1019=1,(1-(Cap_MAPIF*$R$15+(1-Cap_MAPIF)*$R$16))*(1+1*$R$14),1)+M1048-M1042-M1063*IF((L1038+L1039+L1040+L1041)&gt;0,L1038/(L1038+L1039+L1040+L1041),0)</f>
        <v>16010844.058646</v>
      </c>
      <c r="N1038" s="73" t="n">
        <f aca="false">M1038*(1+Rend_MAPIF/4)*IF(N1019=1,(1-(Cap_MAPIF*$R$15+(1-Cap_MAPIF)*$R$16))*(1+1*$R$14),1)+N1048-N1042-N1063*IF((M1038+M1039+M1040+M1041)&gt;0,M1038/(M1038+M1039+M1040+M1041),0)</f>
        <v>15587716.5324047</v>
      </c>
      <c r="O1038" s="73" t="n">
        <f aca="false">N1038*(1+Rend_MAPIF/4)*IF(O1019=1,(1-(Cap_MAPIF*$R$15+(1-Cap_MAPIF)*$R$16))*(1+1*$R$14),1)+O1048-O1042-O1063*IF((N1038+N1039+N1040+N1041)&gt;0,N1038/(N1038+N1039+N1040+N1041),0)</f>
        <v>16083131.6426176</v>
      </c>
    </row>
    <row r="1039" customFormat="false" ht="15" hidden="false" customHeight="false" outlineLevel="0" collapsed="false">
      <c r="B1039" s="65" t="s">
        <v>1036</v>
      </c>
      <c r="C1039" s="73" t="n">
        <f aca="false">AN_cible*Ws_MSIG</f>
        <v>5500000</v>
      </c>
      <c r="D1039" s="73" t="n">
        <f aca="false">C1039*(1+Rend_MSIG/4)*IF(D1019=1,(1-(Cap_MSIG*$R$15+(1-Cap_MSIG)*$R$16))*(1+MSIG_USD*$R$14),1)+D1049-D1043-D1063*IF((C1038+C1039+C1040+C1041)&gt;0,C1039/(C1038+C1039+C1040+C1041),0)</f>
        <v>5773237.5</v>
      </c>
      <c r="E1039" s="73" t="n">
        <f aca="false">D1039*(1+Rend_MSIG/4)*IF(E1019=1,(1-(Cap_MSIG*$R$15+(1-Cap_MSIG)*$R$16))*(1+MSIG_USD*$R$14),1)+E1049-E1043-E1063*IF((D1038+D1039+D1040+D1041)&gt;0,D1039/(D1038+D1039+D1040+D1041),0)</f>
        <v>6047629.4284375</v>
      </c>
      <c r="F1039" s="73" t="n">
        <f aca="false">E1039*(1+Rend_MSIG/4)*IF(F1019=1,(1-(Cap_MSIG*$R$15+(1-Cap_MSIG)*$R$16))*(1+MSIG_USD*$R$14),1)+F1049-F1043-F1063*IF((E1038+E1039+E1040+E1041)&gt;0,E1039/(E1038+E1039+E1040+E1041),0)</f>
        <v>6323180.66277265</v>
      </c>
      <c r="G1039" s="73" t="n">
        <f aca="false">F1039*(1+Rend_MSIG/4)*IF(G1019=1,(1-(Cap_MSIG*$R$15+(1-Cap_MSIG)*$R$16))*(1+MSIG_USD*$R$14),1)+G1049-G1043-G1063*IF((F1038+F1039+F1040+F1041)&gt;0,F1039/(F1038+F1039+F1040+F1041),0)</f>
        <v>6599896.10107286</v>
      </c>
      <c r="H1039" s="73" t="n">
        <f aca="false">G1039*(1+Rend_MSIG/4)*IF(H1019=1,(1-(Cap_MSIG*$R$15+(1-Cap_MSIG)*$R$16))*(1+MSIG_USD*$R$14),1)+H1049-H1043-H1063*IF((G1038+G1039+G1040+G1041)&gt;0,G1039/(G1038+G1039+G1040+G1041),0)</f>
        <v>6877780.6620999</v>
      </c>
      <c r="I1039" s="73" t="n">
        <f aca="false">H1039*(1+Rend_MSIG/4)*IF(I1019=1,(1-(Cap_MSIG*$R$15+(1-Cap_MSIG)*$R$16))*(1+MSIG_USD*$R$14),1)+I1049-I1043-I1063*IF((H1038+H1039+H1040+H1041)&gt;0,H1039/(H1038+H1039+H1040+H1041),0)</f>
        <v>7156839.28539727</v>
      </c>
      <c r="J1039" s="73" t="n">
        <f aca="false">I1039*(1+Rend_MSIG/4)*IF(J1019=1,(1-(Cap_MSIG*$R$15+(1-Cap_MSIG)*$R$16))*(1+MSIG_USD*$R$14),1)+J1049-J1043-J1063*IF((I1038+I1039+I1040+I1041)&gt;0,I1039/(I1038+I1039+I1040+I1041),0)</f>
        <v>7196680.18835675</v>
      </c>
      <c r="K1039" s="73" t="n">
        <f aca="false">J1039*(1+Rend_MSIG/4)*IF(K1019=1,(1-(Cap_MSIG*$R$15+(1-Cap_MSIG)*$R$16))*(1+MSIG_USD*$R$14),1)+K1049-K1043-K1063*IF((J1038+J1039+J1040+J1041)&gt;0,J1039/(J1038+J1039+J1040+J1041),0)</f>
        <v>7477086.16215256</v>
      </c>
      <c r="L1039" s="73" t="n">
        <f aca="false">K1039*(1+Rend_MSIG/4)*IF(L1019=1,(1-(Cap_MSIG*$R$15+(1-Cap_MSIG)*$R$16))*(1+MSIG_USD*$R$14),1)+L1049-L1043-L1063*IF((K1038+K1039+K1040+K1041)&gt;0,K1039/(K1038+K1039+K1040+K1041),0)</f>
        <v>7364041.86844065</v>
      </c>
      <c r="M1039" s="73" t="n">
        <f aca="false">L1039*(1+Rend_MSIG/4)*IF(M1019=1,(1-(Cap_MSIG*$R$15+(1-Cap_MSIG)*$R$16))*(1+MSIG_USD*$R$14),1)+M1049-M1043-M1063*IF((L1038+L1039+L1040+L1041)&gt;0,L1039/(L1038+L1039+L1040+L1041),0)</f>
        <v>7645154.94533482</v>
      </c>
      <c r="N1039" s="73" t="n">
        <f aca="false">M1039*(1+Rend_MSIG/4)*IF(N1019=1,(1-(Cap_MSIG*$R$15+(1-Cap_MSIG)*$R$16))*(1+MSIG_USD*$R$14),1)+N1049-N1043-N1063*IF((M1038+M1039+M1040+M1041)&gt;0,M1039/(M1038+M1039+M1040+M1041),0)</f>
        <v>7487292.16039666</v>
      </c>
      <c r="O1039" s="73" t="n">
        <f aca="false">N1039*(1+Rend_MSIG/4)*IF(O1019=1,(1-(Cap_MSIG*$R$15+(1-Cap_MSIG)*$R$16))*(1+MSIG_USD*$R$14),1)+O1049-O1043-O1063*IF((N1038+N1039+N1040+N1041)&gt;0,N1039/(N1038+N1039+N1040+N1041),0)</f>
        <v>7768925.96977434</v>
      </c>
    </row>
    <row r="1040" customFormat="false" ht="15" hidden="false" customHeight="false" outlineLevel="0" collapsed="false">
      <c r="B1040" s="65" t="s">
        <v>1037</v>
      </c>
      <c r="C1040" s="73" t="n">
        <f aca="false">AN_cible*Ws_PG</f>
        <v>12250000</v>
      </c>
      <c r="D1040" s="73" t="n">
        <f aca="false">C1040*(1+Rend_PG/4)*IF(D1019=1,(1-(Cap_PG*$R$15+(1-Cap_PG)*$R$16))*(1+0*$R$14),1)-D1044-D1060*IF((D1050+D1051)&gt;0,D1050/(D1050+D1051),0)+D1065/2-D1063*IF((C1038+C1039+C1040+C1041)&gt;0,C1040/(C1038+C1039+C1040+C1041),0)</f>
        <v>11888931.25</v>
      </c>
      <c r="E1040" s="73" t="n">
        <f aca="false">D1040*(1+Rend_PG/4)*IF(E1019=1,(1-(Cap_PG*$R$15+(1-Cap_PG)*$R$16))*(1+0*$R$14),1)-E1044-E1060*IF((E1050+E1051)&gt;0,E1050/(E1050+E1051),0)+E1065/2-E1063*IF((D1038+D1039+D1040+D1041)&gt;0,D1040/(D1038+D1039+D1040+D1041),0)</f>
        <v>11538505.0014063</v>
      </c>
      <c r="F1040" s="73" t="n">
        <f aca="false">E1040*(1+Rend_PG/4)*IF(F1019=1,(1-(Cap_PG*$R$15+(1-Cap_PG)*$R$16))*(1+0*$R$14),1)-F1044-F1060*IF((F1050+F1051)&gt;0,F1050/(F1050+F1051),0)+F1065/2-F1063*IF((E1038+E1039+E1040+E1041)&gt;0,E1040/(E1038+E1039+E1040+E1041),0)</f>
        <v>11198407.5664898</v>
      </c>
      <c r="G1040" s="73" t="n">
        <f aca="false">F1040*(1+Rend_PG/4)*IF(G1019=1,(1-(Cap_PG*$R$15+(1-Cap_PG)*$R$16))*(1+0*$R$14),1)-G1044-G1060*IF((G1050+G1051)&gt;0,G1050/(G1050+G1051),0)+G1065/2-G1063*IF((F1038+F1039+F1040+F1041)&gt;0,F1040/(F1038+F1039+F1040+F1041),0)</f>
        <v>10868334.5034675</v>
      </c>
      <c r="H1040" s="73" t="n">
        <f aca="false">G1040*(1+Rend_PG/4)*IF(H1019=1,(1-(Cap_PG*$R$15+(1-Cap_PG)*$R$16))*(1+0*$R$14),1)-H1044-H1060*IF((H1050+H1051)&gt;0,H1050/(H1050+H1051),0)+H1065/2-H1063*IF((G1038+G1039+G1040+G1041)&gt;0,G1040/(G1038+G1039+G1040+G1041),0)</f>
        <v>10547990.3439778</v>
      </c>
      <c r="I1040" s="73" t="n">
        <f aca="false">H1040*(1+Rend_PG/4)*IF(I1019=1,(1-(Cap_PG*$R$15+(1-Cap_PG)*$R$16))*(1+0*$R$14),1)-I1044-I1060*IF((I1050+I1051)&gt;0,I1050/(I1050+I1051),0)+I1065/2-I1063*IF((H1038+H1039+H1040+H1041)&gt;0,H1040/(H1038+H1039+H1040+H1041),0)</f>
        <v>10237088.3285891</v>
      </c>
      <c r="J1040" s="73" t="n">
        <f aca="false">I1040*(1+Rend_PG/4)*IF(J1019=1,(1-(Cap_PG*$R$15+(1-Cap_PG)*$R$16))*(1+0*$R$14),1)-J1044-J1060*IF((J1050+J1051)&gt;0,J1050/(J1050+J1051),0)+J1065/2-J1063*IF((I1038+I1039+I1040+I1041)&gt;0,I1040/(I1038+I1039+I1040+I1041),0)</f>
        <v>9591488.48239317</v>
      </c>
      <c r="K1040" s="73" t="n">
        <f aca="false">J1040*(1+Rend_PG/4)*IF(K1019=1,(1-(Cap_PG*$R$15+(1-Cap_PG)*$R$16))*(1+0*$R$14),1)-K1044-K1060*IF((K1050+K1051)&gt;0,K1050/(K1050+K1051),0)+K1065/2-K1063*IF((J1038+J1039+J1040+J1041)&gt;0,J1040/(J1038+J1039+J1040+J1041),0)</f>
        <v>9308779.35937463</v>
      </c>
      <c r="L1040" s="73" t="n">
        <f aca="false">K1040*(1+Rend_PG/4)*IF(L1019=1,(1-(Cap_PG*$R$15+(1-Cap_PG)*$R$16))*(1+0*$R$14),1)-L1044-L1060*IF((L1050+L1051)&gt;0,L1050/(L1050+L1051),0)+L1065/2-L1063*IF((K1038+K1039+K1040+K1041)&gt;0,K1040/(K1038+K1039+K1040+K1041),0)</f>
        <v>8543092.71601395</v>
      </c>
      <c r="M1040" s="73" t="n">
        <f aca="false">L1040*(1+Rend_PG/4)*IF(M1019=1,(1-(Cap_PG*$R$15+(1-Cap_PG)*$R$16))*(1+0*$R$14),1)-M1044-M1060*IF((M1050+M1051)&gt;0,M1050/(M1050+M1051),0)+M1065/2-M1063*IF((L1038+L1039+L1040+L1041)&gt;0,L1040/(L1038+L1039+L1040+L1041),0)</f>
        <v>8291285.05820944</v>
      </c>
      <c r="N1040" s="73" t="n">
        <f aca="false">M1040*(1+Rend_PG/4)*IF(N1019=1,(1-(Cap_PG*$R$15+(1-Cap_PG)*$R$16))*(1+0*$R$14),1)-N1044-N1060*IF((N1050+N1051)&gt;0,N1050/(N1050+N1051),0)+N1065/2-N1063*IF((M1038+M1039+M1040+M1041)&gt;0,M1040/(M1038+M1039+M1040+M1041),0)</f>
        <v>7569535.45193403</v>
      </c>
      <c r="O1040" s="73" t="n">
        <f aca="false">N1040*(1+Rend_PG/4)*IF(O1019=1,(1-(Cap_PG*$R$15+(1-Cap_PG)*$R$16))*(1+0*$R$14),1)-O1044-O1060*IF((O1050+O1051)&gt;0,O1050/(O1050+O1051),0)+O1065/2-O1063*IF((N1038+N1039+N1040+N1041)&gt;0,N1040/(N1038+N1039+N1040+N1041),0)</f>
        <v>7346423.39448827</v>
      </c>
    </row>
    <row r="1041" customFormat="false" ht="15" hidden="false" customHeight="false" outlineLevel="0" collapsed="false">
      <c r="B1041" s="65" t="s">
        <v>1038</v>
      </c>
      <c r="C1041" s="73" t="n">
        <f aca="false">AN_cible*Ws_ARES</f>
        <v>12250000</v>
      </c>
      <c r="D1041" s="73" t="n">
        <f aca="false">C1041*(1+Rend_ARES/4)*IF(D1019=1,(1-(Cap_ARES*$R$15+(1-Cap_ARES)*$R$16))*(1+0*$R$14),1)-D1045-D1060*IF((D1050+D1051)&gt;0,D1051/(D1050+D1051),0)/(1-IF(D1019&lt;=Deduc_trim,Deduc_ares,0))+D1065/2-D1063*IF((C1038+C1039+C1040+C1041)&gt;0,C1041/(C1038+C1039+C1040+C1041),0)</f>
        <v>11727537.5</v>
      </c>
      <c r="E1041" s="73" t="n">
        <f aca="false">D1041*(1+Rend_ARES/4)*IF(E1019=1,(1-(Cap_ARES*$R$15+(1-Cap_ARES)*$R$16))*(1+0*$R$14),1)-E1045-E1060*IF((E1050+E1051)&gt;0,E1051/(E1050+E1051),0)/(1-IF(E1019&lt;=Deduc_trim,Deduc_ares,0))+E1065/2-E1063*IF((D1038+D1039+D1040+D1041)&gt;0,D1041/(D1038+D1039+D1040+D1041),0)</f>
        <v>11227358.025625</v>
      </c>
      <c r="F1041" s="73" t="n">
        <f aca="false">E1041*(1+Rend_ARES/4)*IF(F1019=1,(1-(Cap_ARES*$R$15+(1-Cap_ARES)*$R$16))*(1+0*$R$14),1)-F1045-F1060*IF((F1050+F1051)&gt;0,F1051/(F1050+F1051),0)/(1-IF(F1019&lt;=Deduc_trim,Deduc_ares,0))+F1065/2-F1063*IF((E1038+E1039+E1040+E1041)&gt;0,E1041/(E1038+E1039+E1040+E1041),0)</f>
        <v>10748511.2058321</v>
      </c>
      <c r="G1041" s="73" t="n">
        <f aca="false">F1041*(1+Rend_ARES/4)*IF(G1019=1,(1-(Cap_ARES*$R$15+(1-Cap_ARES)*$R$16))*(1+0*$R$14),1)-G1045-G1060*IF((G1050+G1051)&gt;0,G1051/(G1050+G1051),0)/(1-IF(G1019&lt;=Deduc_trim,Deduc_ares,0))+G1065/2-G1063*IF((F1038+F1039+F1040+F1041)&gt;0,F1041/(F1038+F1039+F1040+F1041),0)</f>
        <v>10290087.2029034</v>
      </c>
      <c r="H1041" s="73" t="n">
        <f aca="false">G1041*(1+Rend_ARES/4)*IF(H1019=1,(1-(Cap_ARES*$R$15+(1-Cap_ARES)*$R$16))*(1+0*$R$14),1)-H1045-H1060*IF((H1050+H1051)&gt;0,H1051/(H1050+H1051),0)/(1-IF(H1019&lt;=Deduc_trim,Deduc_ares,0))+H1065/2-H1063*IF((G1038+G1039+G1040+G1041)&gt;0,G1041/(G1038+G1039+G1040+G1041),0)</f>
        <v>9851214.98369952</v>
      </c>
      <c r="I1041" s="73" t="n">
        <f aca="false">H1041*(1+Rend_ARES/4)*IF(I1019=1,(1-(Cap_ARES*$R$15+(1-Cap_ARES)*$R$16))*(1+0*$R$14),1)-I1045-I1060*IF((I1050+I1051)&gt;0,I1051/(I1050+I1051),0)/(1-IF(I1019&lt;=Deduc_trim,Deduc_ares,0))+I1065/2-I1063*IF((H1038+H1039+H1040+H1041)&gt;0,H1041/(H1038+H1039+H1040+H1041),0)</f>
        <v>9431060.66464474</v>
      </c>
      <c r="J1041" s="73" t="n">
        <f aca="false">I1041*(1+Rend_ARES/4)*IF(J1019=1,(1-(Cap_ARES*$R$15+(1-Cap_ARES)*$R$16))*(1+0*$R$14),1)-J1045-J1060*IF((J1050+J1051)&gt;0,J1051/(J1050+J1051),0)/(1-IF(J1019&lt;=Deduc_trim,Deduc_ares,0))+J1065/2-J1063*IF((I1038+I1039+I1040+I1041)&gt;0,I1041/(I1038+I1039+I1040+I1041),0)</f>
        <v>8712038.56117038</v>
      </c>
      <c r="K1041" s="73" t="n">
        <f aca="false">J1041*(1+Rend_ARES/4)*IF(K1019=1,(1-(Cap_ARES*$R$15+(1-Cap_ARES)*$R$16))*(1+0*$R$14),1)-K1045-K1060*IF((K1050+K1051)&gt;0,K1051/(K1050+K1051),0)/(1-IF(K1019&lt;=Deduc_trim,Deduc_ares,0))+K1065/2-K1063*IF((J1038+J1039+J1040+J1041)&gt;0,J1041/(J1038+J1039+J1040+J1041),0)</f>
        <v>8340470.11653646</v>
      </c>
      <c r="L1041" s="73" t="n">
        <f aca="false">K1041*(1+Rend_ARES/4)*IF(L1019=1,(1-(Cap_ARES*$R$15+(1-Cap_ARES)*$R$16))*(1+0*$R$14),1)-L1045-L1060*IF((L1050+L1051)&gt;0,L1051/(L1050+L1051),0)/(1-IF(L1019&lt;=Deduc_trim,Deduc_ares,0))+L1065/2-L1063*IF((K1038+K1039+K1040+K1041)&gt;0,K1041/(K1038+K1039+K1040+K1041),0)</f>
        <v>7544545.32771663</v>
      </c>
      <c r="M1041" s="73" t="n">
        <f aca="false">L1041*(1+Rend_ARES/4)*IF(M1019=1,(1-(Cap_ARES*$R$15+(1-Cap_ARES)*$R$16))*(1+0*$R$14),1)-M1045-M1060*IF((M1050+M1051)&gt;0,M1051/(M1050+M1051),0)/(1-IF(M1019&lt;=Deduc_trim,Deduc_ares,0))+M1065/2-M1063*IF((L1038+L1039+L1040+L1041)&gt;0,L1041/(L1038+L1039+L1040+L1041),0)</f>
        <v>7222770.46948952</v>
      </c>
      <c r="N1041" s="73" t="n">
        <f aca="false">M1041*(1+Rend_ARES/4)*IF(N1019=1,(1-(Cap_ARES*$R$15+(1-Cap_ARES)*$R$16))*(1+0*$R$14),1)-N1045-N1060*IF((N1050+N1051)&gt;0,N1051/(N1050+N1051),0)/(1-IF(N1019&lt;=Deduc_trim,Deduc_ares,0))+N1065/2-N1063*IF((M1038+M1039+M1040+M1041)&gt;0,M1041/(M1038+M1039+M1040+M1041),0)</f>
        <v>6498874.18630422</v>
      </c>
      <c r="O1041" s="73" t="n">
        <f aca="false">N1041*(1+Rend_ARES/4)*IF(O1019=1,(1-(Cap_ARES*$R$15+(1-Cap_ARES)*$R$16))*(1+0*$R$14),1)-O1045-O1060*IF((O1050+O1051)&gt;0,O1051/(O1050+O1051),0)/(1-IF(O1019&lt;=Deduc_trim,Deduc_ares,0))+O1065/2-O1063*IF((N1038+N1039+N1040+N1041)&gt;0,N1041/(N1038+N1039+N1040+N1041),0)</f>
        <v>6221697.20225834</v>
      </c>
    </row>
    <row r="1042" customFormat="false" ht="15" hidden="false" customHeight="false" outlineLevel="0" collapsed="false">
      <c r="B1042" s="65" t="s">
        <v>1039</v>
      </c>
      <c r="C1042" s="25"/>
      <c r="D1042" s="73" t="n">
        <f aca="false">C1038*Dist_MAPIF/4*IF(D1019&lt;=$R$11,0,$R$10)</f>
        <v>187500</v>
      </c>
      <c r="E1042" s="73" t="n">
        <f aca="false">D1038*Dist_MAPIF/4*IF(E1019&lt;=$R$11,0,$R$10)</f>
        <v>194573.4375</v>
      </c>
      <c r="F1042" s="73" t="n">
        <f aca="false">E1038*Dist_MAPIF/4*IF(F1019&lt;=$R$11,0,$R$10)</f>
        <v>201701.517304688</v>
      </c>
      <c r="G1042" s="73" t="n">
        <f aca="false">F1038*Dist_MAPIF/4*IF(G1019&lt;=$R$11,0,$R$10)</f>
        <v>208884.661525866</v>
      </c>
      <c r="H1042" s="73" t="n">
        <f aca="false">G1038*Dist_MAPIF/4*IF(H1019&lt;=$R$11,0,$R$10)</f>
        <v>216123.295536154</v>
      </c>
      <c r="I1042" s="73" t="n">
        <f aca="false">H1038*Dist_MAPIF/4*IF(I1019&lt;=$R$11,0,$R$10)</f>
        <v>223417.84799417</v>
      </c>
      <c r="J1042" s="73" t="n">
        <f aca="false">I1038*Dist_MAPIF/4*IF(J1019&lt;=$R$11,0,$R$10)</f>
        <v>230768.750869925</v>
      </c>
      <c r="K1042" s="73" t="n">
        <f aca="false">J1038*Dist_MAPIF/4*IF(K1019&lt;=$R$11,0,$R$10)</f>
        <v>230424.965127047</v>
      </c>
      <c r="L1042" s="73" t="n">
        <f aca="false">K1038*Dist_MAPIF/4*IF(L1019&lt;=$R$11,0,$R$10)</f>
        <v>237829.997982653</v>
      </c>
      <c r="M1042" s="73" t="n">
        <f aca="false">L1038*Dist_MAPIF/4*IF(M1019&lt;=$R$11,0,$R$10)</f>
        <v>232739.746339219</v>
      </c>
      <c r="N1042" s="73" t="n">
        <f aca="false">M1038*Dist_MAPIF/4*IF(N1019&lt;=$R$11,0,$R$10)</f>
        <v>240162.66087969</v>
      </c>
      <c r="O1042" s="73" t="n">
        <f aca="false">N1038*Dist_MAPIF/4*IF(O1019&lt;=$R$11,0,$R$10)</f>
        <v>233815.747986071</v>
      </c>
    </row>
    <row r="1043" customFormat="false" ht="15" hidden="false" customHeight="false" outlineLevel="0" collapsed="false">
      <c r="B1043" s="65" t="s">
        <v>1040</v>
      </c>
      <c r="C1043" s="25"/>
      <c r="D1043" s="73" t="n">
        <f aca="false">C1039*Dist_MSIG/4*IF(D1019&lt;=$R$11,0,$R$10)</f>
        <v>96250</v>
      </c>
      <c r="E1043" s="73" t="n">
        <f aca="false">D1039*Dist_MSIG/4*IF(E1019&lt;=$R$11,0,$R$10)</f>
        <v>101031.65625</v>
      </c>
      <c r="F1043" s="73" t="n">
        <f aca="false">E1039*Dist_MSIG/4*IF(F1019&lt;=$R$11,0,$R$10)</f>
        <v>105833.514997656</v>
      </c>
      <c r="G1043" s="73" t="n">
        <f aca="false">F1039*Dist_MSIG/4*IF(G1019&lt;=$R$11,0,$R$10)</f>
        <v>110655.661598521</v>
      </c>
      <c r="H1043" s="73" t="n">
        <f aca="false">G1039*Dist_MSIG/4*IF(H1019&lt;=$R$11,0,$R$10)</f>
        <v>115498.181768775</v>
      </c>
      <c r="I1043" s="73" t="n">
        <f aca="false">H1039*Dist_MSIG/4*IF(I1019&lt;=$R$11,0,$R$10)</f>
        <v>120361.161586748</v>
      </c>
      <c r="J1043" s="73" t="n">
        <f aca="false">I1039*Dist_MSIG/4*IF(J1019&lt;=$R$11,0,$R$10)</f>
        <v>125244.687494452</v>
      </c>
      <c r="K1043" s="73" t="n">
        <f aca="false">J1039*Dist_MSIG/4*IF(K1019&lt;=$R$11,0,$R$10)</f>
        <v>125941.903296243</v>
      </c>
      <c r="L1043" s="73" t="n">
        <f aca="false">K1039*Dist_MSIG/4*IF(L1019&lt;=$R$11,0,$R$10)</f>
        <v>130849.00783767</v>
      </c>
      <c r="M1043" s="73" t="n">
        <f aca="false">L1039*Dist_MSIG/4*IF(M1019&lt;=$R$11,0,$R$10)</f>
        <v>128870.732697711</v>
      </c>
      <c r="N1043" s="73" t="n">
        <f aca="false">M1039*Dist_MSIG/4*IF(N1019&lt;=$R$11,0,$R$10)</f>
        <v>133790.211543359</v>
      </c>
      <c r="O1043" s="73" t="n">
        <f aca="false">N1039*Dist_MSIG/4*IF(O1019&lt;=$R$11,0,$R$10)</f>
        <v>131027.612806942</v>
      </c>
    </row>
    <row r="1044" customFormat="false" ht="15" hidden="false" customHeight="false" outlineLevel="0" collapsed="false">
      <c r="B1044" s="65" t="s">
        <v>1041</v>
      </c>
      <c r="C1044" s="25"/>
      <c r="D1044" s="73" t="n">
        <f aca="false">C1040*Dist_PG/4*IF(D1019&lt;=$R$11,0,$R$10)</f>
        <v>61250</v>
      </c>
      <c r="E1044" s="73" t="n">
        <f aca="false">D1040*Dist_PG/4*IF(E1019&lt;=$R$11,0,$R$10)</f>
        <v>59444.65625</v>
      </c>
      <c r="F1044" s="73" t="n">
        <f aca="false">E1040*Dist_PG/4*IF(F1019&lt;=$R$11,0,$R$10)</f>
        <v>57692.5250070313</v>
      </c>
      <c r="G1044" s="73" t="n">
        <f aca="false">F1040*Dist_PG/4*IF(G1019&lt;=$R$11,0,$R$10)</f>
        <v>55992.037832449</v>
      </c>
      <c r="H1044" s="73" t="n">
        <f aca="false">G1040*Dist_PG/4*IF(H1019&lt;=$R$11,0,$R$10)</f>
        <v>54341.6725173376</v>
      </c>
      <c r="I1044" s="73" t="n">
        <f aca="false">H1040*Dist_PG/4*IF(I1019&lt;=$R$11,0,$R$10)</f>
        <v>52739.9517198891</v>
      </c>
      <c r="J1044" s="73" t="n">
        <f aca="false">I1040*Dist_PG/4*IF(J1019&lt;=$R$11,0,$R$10)</f>
        <v>51185.4416429453</v>
      </c>
      <c r="K1044" s="73" t="n">
        <f aca="false">J1040*Dist_PG/4*IF(K1019&lt;=$R$11,0,$R$10)</f>
        <v>47957.4424119658</v>
      </c>
      <c r="L1044" s="73" t="n">
        <f aca="false">K1040*Dist_PG/4*IF(L1019&lt;=$R$11,0,$R$10)</f>
        <v>46543.8967968731</v>
      </c>
      <c r="M1044" s="73" t="n">
        <f aca="false">L1040*Dist_PG/4*IF(M1019&lt;=$R$11,0,$R$10)</f>
        <v>42715.4635800698</v>
      </c>
      <c r="N1044" s="73" t="n">
        <f aca="false">M1040*Dist_PG/4*IF(N1019&lt;=$R$11,0,$R$10)</f>
        <v>41456.4252910472</v>
      </c>
      <c r="O1044" s="73" t="n">
        <f aca="false">N1040*Dist_PG/4*IF(O1019&lt;=$R$11,0,$R$10)</f>
        <v>37847.6772596701</v>
      </c>
    </row>
    <row r="1045" customFormat="false" ht="15" hidden="false" customHeight="false" outlineLevel="0" collapsed="false">
      <c r="B1045" s="65" t="s">
        <v>1042</v>
      </c>
      <c r="C1045" s="25"/>
      <c r="D1045" s="73" t="n">
        <f aca="false">C1041*Dist_ARES/4*IF(D1019&lt;=$R$11,0,$R$10)</f>
        <v>153125</v>
      </c>
      <c r="E1045" s="73" t="n">
        <f aca="false">D1041*Dist_ARES/4*IF(E1019&lt;=$R$11,0,$R$10)</f>
        <v>146594.21875</v>
      </c>
      <c r="F1045" s="73" t="n">
        <f aca="false">E1041*Dist_ARES/4*IF(F1019&lt;=$R$11,0,$R$10)</f>
        <v>140341.975320313</v>
      </c>
      <c r="G1045" s="73" t="n">
        <f aca="false">F1041*Dist_ARES/4*IF(G1019&lt;=$R$11,0,$R$10)</f>
        <v>134356.390072901</v>
      </c>
      <c r="H1045" s="73" t="n">
        <f aca="false">G1041*Dist_ARES/4*IF(H1019&lt;=$R$11,0,$R$10)</f>
        <v>128626.090036292</v>
      </c>
      <c r="I1045" s="73" t="n">
        <f aca="false">H1041*Dist_ARES/4*IF(I1019&lt;=$R$11,0,$R$10)</f>
        <v>123140.187296244</v>
      </c>
      <c r="J1045" s="73" t="n">
        <f aca="false">I1041*Dist_ARES/4*IF(J1019&lt;=$R$11,0,$R$10)</f>
        <v>117888.258308059</v>
      </c>
      <c r="K1045" s="73" t="n">
        <f aca="false">J1041*Dist_ARES/4*IF(K1019&lt;=$R$11,0,$R$10)</f>
        <v>108900.48201463</v>
      </c>
      <c r="L1045" s="73" t="n">
        <f aca="false">K1041*Dist_ARES/4*IF(L1019&lt;=$R$11,0,$R$10)</f>
        <v>104255.876456706</v>
      </c>
      <c r="M1045" s="73" t="n">
        <f aca="false">L1041*Dist_ARES/4*IF(M1019&lt;=$R$11,0,$R$10)</f>
        <v>94306.8165964579</v>
      </c>
      <c r="N1045" s="73" t="n">
        <f aca="false">M1041*Dist_ARES/4*IF(N1019&lt;=$R$11,0,$R$10)</f>
        <v>90284.630868619</v>
      </c>
      <c r="O1045" s="73" t="n">
        <f aca="false">N1041*Dist_ARES/4*IF(O1019&lt;=$R$11,0,$R$10)</f>
        <v>81235.9273288027</v>
      </c>
    </row>
    <row r="1046" customFormat="false" ht="15" hidden="false" customHeight="false" outlineLevel="0" collapsed="false">
      <c r="B1046" s="65" t="s">
        <v>1043</v>
      </c>
      <c r="C1046" s="73" t="n">
        <f aca="false">AN_cible*$R$12*Part_MAPIF_NA</f>
        <v>4500000</v>
      </c>
      <c r="D1046" s="73" t="n">
        <f aca="false">C1046*IF(D1019=1,1+$R$14,1)-D1048</f>
        <v>4125000</v>
      </c>
      <c r="E1046" s="73" t="n">
        <f aca="false">D1046*IF(E1019=1,1+$R$14,1)-E1048</f>
        <v>3750000</v>
      </c>
      <c r="F1046" s="73" t="n">
        <f aca="false">E1046*IF(F1019=1,1+$R$14,1)-F1048</f>
        <v>3375000</v>
      </c>
      <c r="G1046" s="73" t="n">
        <f aca="false">F1046*IF(G1019=1,1+$R$14,1)-G1048</f>
        <v>3000000</v>
      </c>
      <c r="H1046" s="73" t="n">
        <f aca="false">G1046*IF(H1019=1,1+$R$14,1)-H1048</f>
        <v>2625000</v>
      </c>
      <c r="I1046" s="73" t="n">
        <f aca="false">H1046*IF(I1019=1,1+$R$14,1)-I1048</f>
        <v>2250000</v>
      </c>
      <c r="J1046" s="73" t="n">
        <f aca="false">I1046*IF(J1019=1,1+$R$14,1)-J1048</f>
        <v>1875000</v>
      </c>
      <c r="K1046" s="73" t="n">
        <f aca="false">J1046*IF(K1019=1,1+$R$14,1)-K1048</f>
        <v>1500000</v>
      </c>
      <c r="L1046" s="73" t="n">
        <f aca="false">K1046*IF(L1019=1,1+$R$14,1)-L1048</f>
        <v>1125000</v>
      </c>
      <c r="M1046" s="73" t="n">
        <f aca="false">L1046*IF(M1019=1,1+$R$14,1)-M1048</f>
        <v>750000</v>
      </c>
      <c r="N1046" s="73" t="n">
        <f aca="false">M1046*IF(N1019=1,1+$R$14,1)-N1048</f>
        <v>375000</v>
      </c>
      <c r="O1046" s="73" t="n">
        <f aca="false">N1046*IF(O1019=1,1+$R$14,1)-O1048</f>
        <v>0</v>
      </c>
    </row>
    <row r="1047" customFormat="false" ht="15" hidden="false" customHeight="false" outlineLevel="0" collapsed="false">
      <c r="B1047" s="65" t="s">
        <v>1044</v>
      </c>
      <c r="C1047" s="73" t="n">
        <f aca="false">AN_cible*$R$12*(1-Part_MAPIF_NA)</f>
        <v>3000000</v>
      </c>
      <c r="D1047" s="73" t="n">
        <f aca="false">C1047*IF(D1019=1,1+MSIG_USD*$R$14,1)-D1049</f>
        <v>2750000</v>
      </c>
      <c r="E1047" s="73" t="n">
        <f aca="false">D1047*IF(E1019=1,1+MSIG_USD*$R$14,1)-E1049</f>
        <v>2500000</v>
      </c>
      <c r="F1047" s="73" t="n">
        <f aca="false">E1047*IF(F1019=1,1+MSIG_USD*$R$14,1)-F1049</f>
        <v>2250000</v>
      </c>
      <c r="G1047" s="73" t="n">
        <f aca="false">F1047*IF(G1019=1,1+MSIG_USD*$R$14,1)-G1049</f>
        <v>2000000</v>
      </c>
      <c r="H1047" s="73" t="n">
        <f aca="false">G1047*IF(H1019=1,1+MSIG_USD*$R$14,1)-H1049</f>
        <v>1750000</v>
      </c>
      <c r="I1047" s="73" t="n">
        <f aca="false">H1047*IF(I1019=1,1+MSIG_USD*$R$14,1)-I1049</f>
        <v>1500000</v>
      </c>
      <c r="J1047" s="73" t="n">
        <f aca="false">I1047*IF(J1019=1,1+MSIG_USD*$R$14,1)-J1049</f>
        <v>1250000</v>
      </c>
      <c r="K1047" s="73" t="n">
        <f aca="false">J1047*IF(K1019=1,1+MSIG_USD*$R$14,1)-K1049</f>
        <v>1000000</v>
      </c>
      <c r="L1047" s="73" t="n">
        <f aca="false">K1047*IF(L1019=1,1+MSIG_USD*$R$14,1)-L1049</f>
        <v>750000</v>
      </c>
      <c r="M1047" s="73" t="n">
        <f aca="false">L1047*IF(M1019=1,1+MSIG_USD*$R$14,1)-M1049</f>
        <v>500000</v>
      </c>
      <c r="N1047" s="73" t="n">
        <f aca="false">M1047*IF(N1019=1,1+MSIG_USD*$R$14,1)-N1049</f>
        <v>250000</v>
      </c>
      <c r="O1047" s="73" t="n">
        <f aca="false">N1047*IF(O1019=1,1+MSIG_USD*$R$14,1)-O1049</f>
        <v>0</v>
      </c>
    </row>
    <row r="1048" customFormat="false" ht="15" hidden="false" customHeight="false" outlineLevel="0" collapsed="false">
      <c r="B1048" s="65" t="s">
        <v>1045</v>
      </c>
      <c r="C1048" s="25"/>
      <c r="D1048" s="73" t="n">
        <f aca="false">MIN(C1046*IF(D1019=1,1+$R$14,1),$C1046*(1+$R$14)*IF(D1019&lt;=4,$R$13/4,Appels_base))</f>
        <v>375000</v>
      </c>
      <c r="E1048" s="73" t="n">
        <f aca="false">MIN(D1046*IF(E1019=1,1+$R$14,1),$C1046*(1+$R$14)*IF(E1019&lt;=4,$R$13/4,Appels_base))</f>
        <v>375000</v>
      </c>
      <c r="F1048" s="73" t="n">
        <f aca="false">MIN(E1046*IF(F1019=1,1+$R$14,1),$C1046*(1+$R$14)*IF(F1019&lt;=4,$R$13/4,Appels_base))</f>
        <v>375000</v>
      </c>
      <c r="G1048" s="73" t="n">
        <f aca="false">MIN(F1046*IF(G1019=1,1+$R$14,1),$C1046*(1+$R$14)*IF(G1019&lt;=4,$R$13/4,Appels_base))</f>
        <v>375000</v>
      </c>
      <c r="H1048" s="73" t="n">
        <f aca="false">MIN(G1046*IF(H1019=1,1+$R$14,1),$C1046*(1+$R$14)*IF(H1019&lt;=4,$R$13/4,Appels_base))</f>
        <v>375000</v>
      </c>
      <c r="I1048" s="73" t="n">
        <f aca="false">MIN(H1046*IF(I1019=1,1+$R$14,1),$C1046*(1+$R$14)*IF(I1019&lt;=4,$R$13/4,Appels_base))</f>
        <v>375000</v>
      </c>
      <c r="J1048" s="73" t="n">
        <f aca="false">MIN(I1046*IF(J1019=1,1+$R$14,1),$C1046*(1+$R$14)*IF(J1019&lt;=4,$R$13/4,Appels_base))</f>
        <v>375000</v>
      </c>
      <c r="K1048" s="73" t="n">
        <f aca="false">MIN(J1046*IF(K1019=1,1+$R$14,1),$C1046*(1+$R$14)*IF(K1019&lt;=4,$R$13/4,Appels_base))</f>
        <v>375000</v>
      </c>
      <c r="L1048" s="73" t="n">
        <f aca="false">MIN(K1046*IF(L1019=1,1+$R$14,1),$C1046*(1+$R$14)*IF(L1019&lt;=4,$R$13/4,Appels_base))</f>
        <v>375000</v>
      </c>
      <c r="M1048" s="73" t="n">
        <f aca="false">MIN(L1046*IF(M1019=1,1+$R$14,1),$C1046*(1+$R$14)*IF(M1019&lt;=4,$R$13/4,Appels_base))</f>
        <v>375000</v>
      </c>
      <c r="N1048" s="73" t="n">
        <f aca="false">MIN(M1046*IF(N1019=1,1+$R$14,1),$C1046*(1+$R$14)*IF(N1019&lt;=4,$R$13/4,Appels_base))</f>
        <v>375000</v>
      </c>
      <c r="O1048" s="73" t="n">
        <f aca="false">MIN(N1046*IF(O1019=1,1+$R$14,1),$C1046*(1+$R$14)*IF(O1019&lt;=4,$R$13/4,Appels_base))</f>
        <v>375000</v>
      </c>
    </row>
    <row r="1049" customFormat="false" ht="15" hidden="false" customHeight="false" outlineLevel="0" collapsed="false">
      <c r="B1049" s="65" t="s">
        <v>1046</v>
      </c>
      <c r="C1049" s="25"/>
      <c r="D1049" s="73" t="n">
        <f aca="false">MIN(C1047*IF(D1019=1,1+MSIG_USD*$R$14,1),$C1047*(1+MSIG_USD*$R$14)*IF(D1019&lt;=4,$R$13/4,Appels_base))</f>
        <v>250000</v>
      </c>
      <c r="E1049" s="73" t="n">
        <f aca="false">MIN(D1047*IF(E1019=1,1+MSIG_USD*$R$14,1),$C1047*(1+MSIG_USD*$R$14)*IF(E1019&lt;=4,$R$13/4,Appels_base))</f>
        <v>250000</v>
      </c>
      <c r="F1049" s="73" t="n">
        <f aca="false">MIN(E1047*IF(F1019=1,1+MSIG_USD*$R$14,1),$C1047*(1+MSIG_USD*$R$14)*IF(F1019&lt;=4,$R$13/4,Appels_base))</f>
        <v>250000</v>
      </c>
      <c r="G1049" s="73" t="n">
        <f aca="false">MIN(F1047*IF(G1019=1,1+MSIG_USD*$R$14,1),$C1047*(1+MSIG_USD*$R$14)*IF(G1019&lt;=4,$R$13/4,Appels_base))</f>
        <v>250000</v>
      </c>
      <c r="H1049" s="73" t="n">
        <f aca="false">MIN(G1047*IF(H1019=1,1+MSIG_USD*$R$14,1),$C1047*(1+MSIG_USD*$R$14)*IF(H1019&lt;=4,$R$13/4,Appels_base))</f>
        <v>250000</v>
      </c>
      <c r="I1049" s="73" t="n">
        <f aca="false">MIN(H1047*IF(I1019=1,1+MSIG_USD*$R$14,1),$C1047*(1+MSIG_USD*$R$14)*IF(I1019&lt;=4,$R$13/4,Appels_base))</f>
        <v>250000</v>
      </c>
      <c r="J1049" s="73" t="n">
        <f aca="false">MIN(I1047*IF(J1019=1,1+MSIG_USD*$R$14,1),$C1047*(1+MSIG_USD*$R$14)*IF(J1019&lt;=4,$R$13/4,Appels_base))</f>
        <v>250000</v>
      </c>
      <c r="K1049" s="73" t="n">
        <f aca="false">MIN(J1047*IF(K1019=1,1+MSIG_USD*$R$14,1),$C1047*(1+MSIG_USD*$R$14)*IF(K1019&lt;=4,$R$13/4,Appels_base))</f>
        <v>250000</v>
      </c>
      <c r="L1049" s="73" t="n">
        <f aca="false">MIN(K1047*IF(L1019=1,1+MSIG_USD*$R$14,1),$C1047*(1+MSIG_USD*$R$14)*IF(L1019&lt;=4,$R$13/4,Appels_base))</f>
        <v>250000</v>
      </c>
      <c r="M1049" s="73" t="n">
        <f aca="false">MIN(L1047*IF(M1019=1,1+MSIG_USD*$R$14,1),$C1047*(1+MSIG_USD*$R$14)*IF(M1019&lt;=4,$R$13/4,Appels_base))</f>
        <v>250000</v>
      </c>
      <c r="N1049" s="73" t="n">
        <f aca="false">MIN(M1047*IF(N1019=1,1+MSIG_USD*$R$14,1),$C1047*(1+MSIG_USD*$R$14)*IF(N1019&lt;=4,$R$13/4,Appels_base))</f>
        <v>250000</v>
      </c>
      <c r="O1049" s="73" t="n">
        <f aca="false">MIN(N1047*IF(O1019=1,1+MSIG_USD*$R$14,1),$C1047*(1+MSIG_USD*$R$14)*IF(O1019&lt;=4,$R$13/4,Appels_base))</f>
        <v>250000</v>
      </c>
    </row>
    <row r="1050" customFormat="false" ht="15" hidden="false" customHeight="false" outlineLevel="0" collapsed="false">
      <c r="B1050" s="65" t="s">
        <v>1047</v>
      </c>
      <c r="C1050" s="25"/>
      <c r="D1050" s="73" t="n">
        <f aca="false">C1040*Capacite_evg*IF(D1019&lt;=4,$R$17,$R$18)</f>
        <v>612500</v>
      </c>
      <c r="E1050" s="73" t="n">
        <f aca="false">D1040*Capacite_evg*IF(E1019&lt;=4,$R$17,$R$18)</f>
        <v>594446.5625</v>
      </c>
      <c r="F1050" s="73" t="n">
        <f aca="false">E1040*Capacite_evg*IF(F1019&lt;=4,$R$17,$R$18)</f>
        <v>576925.250070313</v>
      </c>
      <c r="G1050" s="73" t="n">
        <f aca="false">F1040*Capacite_evg*IF(G1019&lt;=4,$R$17,$R$18)</f>
        <v>559920.37832449</v>
      </c>
      <c r="H1050" s="73" t="n">
        <f aca="false">G1040*Capacite_evg*IF(H1019&lt;=4,$R$17,$R$18)</f>
        <v>543416.725173376</v>
      </c>
      <c r="I1050" s="73" t="n">
        <f aca="false">H1040*Capacite_evg*IF(I1019&lt;=4,$R$17,$R$18)</f>
        <v>527399.517198891</v>
      </c>
      <c r="J1050" s="73" t="n">
        <f aca="false">I1040*Capacite_evg*IF(J1019&lt;=4,$R$17,$R$18)</f>
        <v>511854.416429453</v>
      </c>
      <c r="K1050" s="73" t="n">
        <f aca="false">J1040*Capacite_evg*IF(K1019&lt;=4,$R$17,$R$18)</f>
        <v>479574.424119658</v>
      </c>
      <c r="L1050" s="73" t="n">
        <f aca="false">K1040*Capacite_evg*IF(L1019&lt;=4,$R$17,$R$18)</f>
        <v>465438.967968731</v>
      </c>
      <c r="M1050" s="73" t="n">
        <f aca="false">L1040*Capacite_evg*IF(M1019&lt;=4,$R$17,$R$18)</f>
        <v>427154.635800698</v>
      </c>
      <c r="N1050" s="73" t="n">
        <f aca="false">M1040*Capacite_evg*IF(N1019&lt;=4,$R$17,$R$18)</f>
        <v>414564.252910472</v>
      </c>
      <c r="O1050" s="73" t="n">
        <f aca="false">N1040*Capacite_evg*IF(O1019&lt;=4,$R$17,$R$18)</f>
        <v>378476.772596701</v>
      </c>
    </row>
    <row r="1051" customFormat="false" ht="15" hidden="false" customHeight="false" outlineLevel="0" collapsed="false">
      <c r="B1051" s="65" t="s">
        <v>1048</v>
      </c>
      <c r="C1051" s="25"/>
      <c r="D1051" s="73" t="n">
        <f aca="false">C1041*Capacite_evg*IF(D1019&lt;=4,$R$17,$R$19)*(1-IF(D1019&lt;=Deduc_trim,Deduc_ares,0))</f>
        <v>581875</v>
      </c>
      <c r="E1051" s="73" t="n">
        <f aca="false">D1041*Capacite_evg*IF(E1019&lt;=4,$R$17,$R$19)*(1-IF(E1019&lt;=Deduc_trim,Deduc_ares,0))</f>
        <v>557058.03125</v>
      </c>
      <c r="F1051" s="73" t="n">
        <f aca="false">E1041*Capacite_evg*IF(F1019&lt;=4,$R$17,$R$19)*(1-IF(F1019&lt;=Deduc_trim,Deduc_ares,0))</f>
        <v>533299.506217187</v>
      </c>
      <c r="G1051" s="73" t="n">
        <f aca="false">F1041*Capacite_evg*IF(G1019&lt;=4,$R$17,$R$19)*(1-IF(G1019&lt;=Deduc_trim,Deduc_ares,0))</f>
        <v>510554.282277024</v>
      </c>
      <c r="H1051" s="73" t="n">
        <f aca="false">G1041*Capacite_evg*IF(H1019&lt;=4,$R$17,$R$19)*(1-IF(H1019&lt;=Deduc_trim,Deduc_ares,0))</f>
        <v>514504.360145168</v>
      </c>
      <c r="I1051" s="73" t="n">
        <f aca="false">H1041*Capacite_evg*IF(I1019&lt;=4,$R$17,$R$19)*(1-IF(I1019&lt;=Deduc_trim,Deduc_ares,0))</f>
        <v>492560.749184976</v>
      </c>
      <c r="J1051" s="73" t="n">
        <f aca="false">I1041*Capacite_evg*IF(J1019&lt;=4,$R$17,$R$19)*(1-IF(J1019&lt;=Deduc_trim,Deduc_ares,0))</f>
        <v>471553.033232237</v>
      </c>
      <c r="K1051" s="73" t="n">
        <f aca="false">J1041*Capacite_evg*IF(K1019&lt;=4,$R$17,$R$19)*(1-IF(K1019&lt;=Deduc_trim,Deduc_ares,0))</f>
        <v>435601.928058519</v>
      </c>
      <c r="L1051" s="73" t="n">
        <f aca="false">K1041*Capacite_evg*IF(L1019&lt;=4,$R$17,$R$19)*(1-IF(L1019&lt;=Deduc_trim,Deduc_ares,0))</f>
        <v>417023.505826823</v>
      </c>
      <c r="M1051" s="73" t="n">
        <f aca="false">L1041*Capacite_evg*IF(M1019&lt;=4,$R$17,$R$19)*(1-IF(M1019&lt;=Deduc_trim,Deduc_ares,0))</f>
        <v>377227.266385832</v>
      </c>
      <c r="N1051" s="73" t="n">
        <f aca="false">M1041*Capacite_evg*IF(N1019&lt;=4,$R$17,$R$19)*(1-IF(N1019&lt;=Deduc_trim,Deduc_ares,0))</f>
        <v>361138.523474476</v>
      </c>
      <c r="O1051" s="73" t="n">
        <f aca="false">N1041*Capacite_evg*IF(O1019&lt;=4,$R$17,$R$19)*(1-IF(O1019&lt;=Deduc_trim,Deduc_ares,0))</f>
        <v>324943.709315211</v>
      </c>
    </row>
    <row r="1052" customFormat="false" ht="15" hidden="false" customHeight="false" outlineLevel="0" collapsed="false">
      <c r="B1052" s="65" t="s">
        <v>1049</v>
      </c>
      <c r="C1052" s="25"/>
      <c r="D1052" s="73" t="n">
        <f aca="false">C1066</f>
        <v>7500000</v>
      </c>
      <c r="E1052" s="73" t="n">
        <f aca="false">D1066</f>
        <v>4489375</v>
      </c>
      <c r="F1052" s="73" t="n">
        <f aca="false">E1066</f>
        <v>5311328.9375</v>
      </c>
      <c r="G1052" s="73" t="n">
        <f aca="false">F1066</f>
        <v>2529591.89521406</v>
      </c>
      <c r="H1052" s="73" t="n">
        <f aca="false">G1066</f>
        <v>3277138.57903024</v>
      </c>
      <c r="I1052" s="73" t="n">
        <f aca="false">H1066</f>
        <v>609636.933215541</v>
      </c>
      <c r="J1052" s="73" t="n">
        <f aca="false">I1066</f>
        <v>1314160.84841604</v>
      </c>
      <c r="K1052" s="73" t="n">
        <f aca="false">J1066</f>
        <v>0</v>
      </c>
      <c r="L1052" s="73" t="n">
        <f aca="false">K1066</f>
        <v>599091.787159445</v>
      </c>
      <c r="M1052" s="73" t="n">
        <f aca="false">L1066</f>
        <v>0</v>
      </c>
      <c r="N1052" s="73" t="n">
        <f aca="false">M1066</f>
        <v>483176.346392725</v>
      </c>
      <c r="O1052" s="73" t="n">
        <f aca="false">N1066</f>
        <v>0</v>
      </c>
    </row>
    <row r="1053" customFormat="false" ht="15" hidden="false" customHeight="false" outlineLevel="0" collapsed="false">
      <c r="B1053" s="65" t="s">
        <v>1050</v>
      </c>
      <c r="C1053" s="25"/>
      <c r="D1053" s="73" t="n">
        <f aca="false">D1052*Taux_treso/4</f>
        <v>46875</v>
      </c>
      <c r="E1053" s="73" t="n">
        <f aca="false">E1052*Taux_treso/4</f>
        <v>28058.59375</v>
      </c>
      <c r="F1053" s="73" t="n">
        <f aca="false">F1052*Taux_treso/4</f>
        <v>33195.805859375</v>
      </c>
      <c r="G1053" s="73" t="n">
        <f aca="false">G1052*Taux_treso/4</f>
        <v>15809.9493450879</v>
      </c>
      <c r="H1053" s="73" t="n">
        <f aca="false">H1052*Taux_treso/4</f>
        <v>20482.116118939</v>
      </c>
      <c r="I1053" s="73" t="n">
        <f aca="false">I1052*Taux_treso/4</f>
        <v>3810.23083259713</v>
      </c>
      <c r="J1053" s="73" t="n">
        <f aca="false">J1052*Taux_treso/4</f>
        <v>8213.50530260022</v>
      </c>
      <c r="K1053" s="73" t="n">
        <f aca="false">K1052*Taux_treso/4</f>
        <v>0</v>
      </c>
      <c r="L1053" s="73" t="n">
        <f aca="false">L1052*Taux_treso/4</f>
        <v>3744.32366974653</v>
      </c>
      <c r="M1053" s="73" t="n">
        <f aca="false">M1052*Taux_treso/4</f>
        <v>0</v>
      </c>
      <c r="N1053" s="73" t="n">
        <f aca="false">N1052*Taux_treso/4</f>
        <v>3019.85216495453</v>
      </c>
      <c r="O1053" s="73" t="n">
        <f aca="false">O1052*Taux_treso/4</f>
        <v>0</v>
      </c>
    </row>
    <row r="1054" customFormat="false" ht="15" hidden="false" customHeight="false" outlineLevel="0" collapsed="false">
      <c r="B1054" s="65" t="s">
        <v>1051</v>
      </c>
      <c r="C1054" s="25"/>
      <c r="D1054" s="73" t="n">
        <f aca="false">SUM(D1042:D1045)</f>
        <v>498125</v>
      </c>
      <c r="E1054" s="73" t="n">
        <f aca="false">SUM(E1042:E1045)</f>
        <v>501643.96875</v>
      </c>
      <c r="F1054" s="73" t="n">
        <f aca="false">SUM(F1042:F1045)</f>
        <v>505569.532629688</v>
      </c>
      <c r="G1054" s="73" t="n">
        <f aca="false">SUM(G1042:G1045)</f>
        <v>509888.751029738</v>
      </c>
      <c r="H1054" s="73" t="n">
        <f aca="false">SUM(H1042:H1045)</f>
        <v>514589.239858558</v>
      </c>
      <c r="I1054" s="73" t="n">
        <f aca="false">SUM(I1042:I1045)</f>
        <v>519659.148597052</v>
      </c>
      <c r="J1054" s="73" t="n">
        <f aca="false">SUM(J1042:J1045)</f>
        <v>525087.138315382</v>
      </c>
      <c r="K1054" s="73" t="n">
        <f aca="false">SUM(K1042:K1045)</f>
        <v>513224.792849885</v>
      </c>
      <c r="L1054" s="73" t="n">
        <f aca="false">SUM(L1042:L1045)</f>
        <v>519478.779073902</v>
      </c>
      <c r="M1054" s="73" t="n">
        <f aca="false">SUM(M1042:M1045)</f>
        <v>498632.759213458</v>
      </c>
      <c r="N1054" s="73" t="n">
        <f aca="false">SUM(N1042:N1045)</f>
        <v>505693.928582715</v>
      </c>
      <c r="O1054" s="73" t="n">
        <f aca="false">SUM(O1042:O1045)</f>
        <v>483926.965381486</v>
      </c>
    </row>
    <row r="1055" customFormat="false" ht="15" hidden="false" customHeight="false" outlineLevel="0" collapsed="false">
      <c r="B1055" s="65" t="s">
        <v>1052</v>
      </c>
      <c r="C1055" s="25"/>
      <c r="D1055" s="73" t="n">
        <f aca="false">IF(AND(Distrib_tension=1,OR(D1027&gt;0.000001,C1069&lt;Liq_min,C1033=1)),0,MIN(Dist_porteurs/4*Part_d*D1024,D1054))</f>
        <v>125000</v>
      </c>
      <c r="E1055" s="73" t="n">
        <f aca="false">IF(AND(Distrib_tension=1,OR(E1027&gt;0.000001,D1069&lt;Liq_min,D1033=1)),0,MIN(Dist_porteurs/4*Part_d*E1024,E1054))</f>
        <v>0</v>
      </c>
      <c r="F1055" s="73" t="n">
        <f aca="false">IF(AND(Distrib_tension=1,OR(F1027&gt;0.000001,E1069&lt;Liq_min,E1033=1)),0,MIN(Dist_porteurs/4*Part_d*F1024,F1054))</f>
        <v>0</v>
      </c>
      <c r="G1055" s="73" t="n">
        <f aca="false">IF(AND(Distrib_tension=1,OR(G1027&gt;0.000001,F1069&lt;Liq_min,F1033=1)),0,MIN(Dist_porteurs/4*Part_d*G1024,G1054))</f>
        <v>0</v>
      </c>
      <c r="H1055" s="73" t="n">
        <f aca="false">IF(AND(Distrib_tension=1,OR(H1027&gt;0.000001,G1069&lt;Liq_min,G1033=1)),0,MIN(Dist_porteurs/4*Part_d*H1024,H1054))</f>
        <v>0</v>
      </c>
      <c r="I1055" s="73" t="n">
        <f aca="false">IF(AND(Distrib_tension=1,OR(I1027&gt;0.000001,H1069&lt;Liq_min,H1033=1)),0,MIN(Dist_porteurs/4*Part_d*I1024,I1054))</f>
        <v>0</v>
      </c>
      <c r="J1055" s="73" t="n">
        <f aca="false">IF(AND(Distrib_tension=1,OR(J1027&gt;0.000001,I1069&lt;Liq_min,I1033=1)),0,MIN(Dist_porteurs/4*Part_d*J1024,J1054))</f>
        <v>0</v>
      </c>
      <c r="K1055" s="73" t="n">
        <f aca="false">IF(AND(Distrib_tension=1,OR(K1027&gt;0.000001,J1069&lt;Liq_min,J1033=1)),0,MIN(Dist_porteurs/4*Part_d*K1024,K1054))</f>
        <v>0</v>
      </c>
      <c r="L1055" s="73" t="n">
        <f aca="false">IF(AND(Distrib_tension=1,OR(L1027&gt;0.000001,K1069&lt;Liq_min,K1033=1)),0,MIN(Dist_porteurs/4*Part_d*L1024,L1054))</f>
        <v>0</v>
      </c>
      <c r="M1055" s="73" t="n">
        <f aca="false">IF(AND(Distrib_tension=1,OR(M1027&gt;0.000001,L1069&lt;Liq_min,L1033=1)),0,MIN(Dist_porteurs/4*Part_d*M1024,M1054))</f>
        <v>0</v>
      </c>
      <c r="N1055" s="73" t="n">
        <f aca="false">IF(AND(Distrib_tension=1,OR(N1027&gt;0.000001,M1069&lt;Liq_min,M1033=1)),0,MIN(Dist_porteurs/4*Part_d*N1024,N1054))</f>
        <v>0</v>
      </c>
      <c r="O1055" s="73" t="n">
        <f aca="false">IF(AND(Distrib_tension=1,OR(O1027&gt;0.000001,N1069&lt;Liq_min,N1033=1)),0,MIN(Dist_porteurs/4*Part_d*O1024,O1054))</f>
        <v>0</v>
      </c>
    </row>
    <row r="1056" customFormat="false" ht="15" hidden="false" customHeight="false" outlineLevel="0" collapsed="false">
      <c r="B1056" s="65" t="s">
        <v>1053</v>
      </c>
      <c r="C1056" s="25"/>
      <c r="D1056" s="73" t="n">
        <f aca="false">D1048+D1049</f>
        <v>625000</v>
      </c>
      <c r="E1056" s="73" t="n">
        <f aca="false">E1048+E1049</f>
        <v>625000</v>
      </c>
      <c r="F1056" s="73" t="n">
        <f aca="false">F1048+F1049</f>
        <v>625000</v>
      </c>
      <c r="G1056" s="73" t="n">
        <f aca="false">G1048+G1049</f>
        <v>625000</v>
      </c>
      <c r="H1056" s="73" t="n">
        <f aca="false">H1048+H1049</f>
        <v>625000</v>
      </c>
      <c r="I1056" s="73" t="n">
        <f aca="false">I1048+I1049</f>
        <v>625000</v>
      </c>
      <c r="J1056" s="73" t="n">
        <f aca="false">J1048+J1049</f>
        <v>625000</v>
      </c>
      <c r="K1056" s="73" t="n">
        <f aca="false">K1048+K1049</f>
        <v>625000</v>
      </c>
      <c r="L1056" s="73" t="n">
        <f aca="false">L1048+L1049</f>
        <v>625000</v>
      </c>
      <c r="M1056" s="73" t="n">
        <f aca="false">M1048+M1049</f>
        <v>625000</v>
      </c>
      <c r="N1056" s="73" t="n">
        <f aca="false">N1048+N1049</f>
        <v>625000</v>
      </c>
      <c r="O1056" s="73" t="n">
        <f aca="false">O1048+O1049</f>
        <v>625000</v>
      </c>
    </row>
    <row r="1057" customFormat="false" ht="15" hidden="false" customHeight="false" outlineLevel="0" collapsed="false">
      <c r="B1057" s="65" t="s">
        <v>1054</v>
      </c>
      <c r="C1057" s="25"/>
      <c r="D1057" s="73" t="n">
        <f aca="false">D1024*Frais_an/4</f>
        <v>250000</v>
      </c>
      <c r="E1057" s="73" t="n">
        <f aca="false">E1024*Frais_an/4</f>
        <v>234253.21875</v>
      </c>
      <c r="F1057" s="73" t="n">
        <f aca="false">F1024*Frais_an/4</f>
        <v>237857.946066406</v>
      </c>
      <c r="G1057" s="73" t="n">
        <f aca="false">G1024*Frais_an/4</f>
        <v>223626.677160165</v>
      </c>
      <c r="H1057" s="73" t="n">
        <f aca="false">H1024*Frais_an/4</f>
        <v>227218.380444421</v>
      </c>
      <c r="I1057" s="73" t="n">
        <f aca="false">I1024*Frais_an/4</f>
        <v>213905.730613021</v>
      </c>
      <c r="J1057" s="73" t="n">
        <f aca="false">J1024*Frais_an/4</f>
        <v>217618.662591877</v>
      </c>
      <c r="K1057" s="73" t="n">
        <f aca="false">K1024*Frais_an/4</f>
        <v>204309.357868617</v>
      </c>
      <c r="L1057" s="73" t="n">
        <f aca="false">L1024*Frais_an/4</f>
        <v>207903.803120333</v>
      </c>
      <c r="M1057" s="73" t="n">
        <f aca="false">M1024*Frais_an/4</f>
        <v>194838.315007263</v>
      </c>
      <c r="N1057" s="73" t="n">
        <f aca="false">N1024*Frais_an/4</f>
        <v>198266.154390362</v>
      </c>
      <c r="O1057" s="73" t="n">
        <f aca="false">O1024*Frais_an/4</f>
        <v>185717.091655198</v>
      </c>
    </row>
    <row r="1058" customFormat="false" ht="15" hidden="false" customHeight="false" outlineLevel="0" collapsed="false">
      <c r="B1058" s="65" t="s">
        <v>1055</v>
      </c>
      <c r="C1058" s="25"/>
      <c r="D1058" s="73" t="n">
        <f aca="false">C1067*Taux_emprunt/4</f>
        <v>0</v>
      </c>
      <c r="E1058" s="73" t="n">
        <f aca="false">D1067*Taux_emprunt/4</f>
        <v>0</v>
      </c>
      <c r="F1058" s="73" t="n">
        <f aca="false">E1067*Taux_emprunt/4</f>
        <v>0</v>
      </c>
      <c r="G1058" s="73" t="n">
        <f aca="false">F1067*Taux_emprunt/4</f>
        <v>0</v>
      </c>
      <c r="H1058" s="73" t="n">
        <f aca="false">G1067*Taux_emprunt/4</f>
        <v>0</v>
      </c>
      <c r="I1058" s="73" t="n">
        <f aca="false">H1067*Taux_emprunt/4</f>
        <v>0</v>
      </c>
      <c r="J1058" s="73" t="n">
        <f aca="false">I1067*Taux_emprunt/4</f>
        <v>0</v>
      </c>
      <c r="K1058" s="73" t="n">
        <f aca="false">J1067*Taux_emprunt/4</f>
        <v>0</v>
      </c>
      <c r="L1058" s="73" t="n">
        <f aca="false">K1067*Taux_emprunt/4</f>
        <v>0</v>
      </c>
      <c r="M1058" s="73" t="n">
        <f aca="false">L1067*Taux_emprunt/4</f>
        <v>0</v>
      </c>
      <c r="N1058" s="73" t="n">
        <f aca="false">M1067*Taux_emprunt/4</f>
        <v>0</v>
      </c>
      <c r="O1058" s="73" t="n">
        <f aca="false">N1067*Taux_emprunt/4</f>
        <v>0</v>
      </c>
    </row>
    <row r="1059" customFormat="false" ht="15" hidden="false" customHeight="false" outlineLevel="0" collapsed="false">
      <c r="B1059" s="65" t="s">
        <v>1056</v>
      </c>
      <c r="C1059" s="25"/>
      <c r="D1059" s="73" t="n">
        <f aca="false">D1052+D1053+D1054-D1055+D1025-D1056-D1057-D1058</f>
        <v>7045000</v>
      </c>
      <c r="E1059" s="73" t="n">
        <f aca="false">E1052+E1053+E1054-E1055+E1025-E1056-E1057-E1058</f>
        <v>4159824.34375</v>
      </c>
      <c r="F1059" s="73" t="n">
        <f aca="false">F1052+F1053+F1054-F1055+F1025-F1056-F1057-F1058</f>
        <v>4987236.32992266</v>
      </c>
      <c r="G1059" s="73" t="n">
        <f aca="false">G1052+G1053+G1054-G1055+G1025-G1056-G1057-G1058</f>
        <v>2206663.91842872</v>
      </c>
      <c r="H1059" s="73" t="n">
        <f aca="false">H1052+H1053+H1054-H1055+H1025-H1056-H1057-H1058</f>
        <v>2959991.55456331</v>
      </c>
      <c r="I1059" s="73" t="n">
        <f aca="false">I1052+I1053+I1054-I1055+I1025-I1056-I1057-I1058</f>
        <v>294200.582032169</v>
      </c>
      <c r="J1059" s="73" t="n">
        <f aca="false">J1052+J1053+J1054-J1055+J1025-J1056-J1057-J1058</f>
        <v>1004842.82944214</v>
      </c>
      <c r="K1059" s="73" t="n">
        <f aca="false">K1052+K1053+K1054-K1055+K1025-K1056-K1057-K1058</f>
        <v>-316084.565018732</v>
      </c>
      <c r="L1059" s="73" t="n">
        <f aca="false">L1052+L1053+L1054-L1055+L1025-L1056-L1057-L1058</f>
        <v>289411.08678276</v>
      </c>
      <c r="M1059" s="73" t="n">
        <f aca="false">M1052+M1053+M1054-M1055+M1025-M1056-M1057-M1058</f>
        <v>-321205.555793804</v>
      </c>
      <c r="N1059" s="73" t="n">
        <f aca="false">N1052+N1053+N1054-N1055+N1025-N1056-N1057-N1058</f>
        <v>168623.972750032</v>
      </c>
      <c r="O1059" s="73" t="n">
        <f aca="false">O1052+O1053+O1054-O1055+O1025-O1056-O1057-O1058</f>
        <v>-326790.126273713</v>
      </c>
    </row>
    <row r="1060" customFormat="false" ht="15" hidden="false" customHeight="false" outlineLevel="0" collapsed="false">
      <c r="B1060" s="65" t="s">
        <v>1057</v>
      </c>
      <c r="C1060" s="25"/>
      <c r="D1060" s="73" t="n">
        <f aca="false">MIN(D1050+D1051,MAX(0,Liq_cible*D1024-(D1059-D1034)))</f>
        <v>1194375</v>
      </c>
      <c r="E1060" s="73" t="n">
        <f aca="false">MIN(E1050+E1051,MAX(0,Liq_cible*E1024-(E1059-E1034)))</f>
        <v>1151504.59375</v>
      </c>
      <c r="F1060" s="73" t="n">
        <f aca="false">MIN(F1050+F1051,MAX(0,Liq_cible*F1024-(F1059-F1034)))</f>
        <v>1110224.7562875</v>
      </c>
      <c r="G1060" s="73" t="n">
        <f aca="false">MIN(G1050+G1051,MAX(0,Liq_cible*G1024-(G1059-G1034)))</f>
        <v>1070474.66060151</v>
      </c>
      <c r="H1060" s="73" t="n">
        <f aca="false">MIN(H1050+H1051,MAX(0,Liq_cible*H1024-(H1059-H1034)))</f>
        <v>1057921.08531854</v>
      </c>
      <c r="I1060" s="73" t="n">
        <f aca="false">MIN(I1050+I1051,MAX(0,Liq_cible*I1024-(I1059-I1034)))</f>
        <v>1019960.26638387</v>
      </c>
      <c r="J1060" s="73" t="n">
        <f aca="false">MIN(J1050+J1051,MAX(0,Liq_cible*J1024-(J1059-J1034)))</f>
        <v>983407.44966169</v>
      </c>
      <c r="K1060" s="73" t="n">
        <f aca="false">MIN(K1050+K1051,MAX(0,Liq_cible*K1024-(K1059-K1034)))</f>
        <v>915176.352178177</v>
      </c>
      <c r="L1060" s="73" t="n">
        <f aca="false">MIN(L1050+L1051,MAX(0,Liq_cible*L1024-(L1059-L1034)))</f>
        <v>882462.473795554</v>
      </c>
      <c r="M1060" s="73" t="n">
        <f aca="false">MIN(M1050+M1051,MAX(0,Liq_cible*M1024-(M1059-M1034)))</f>
        <v>804381.902186529</v>
      </c>
      <c r="N1060" s="73" t="n">
        <f aca="false">MIN(N1050+N1051,MAX(0,Liq_cible*N1024-(N1059-N1034)))</f>
        <v>775702.776384948</v>
      </c>
      <c r="O1060" s="73" t="n">
        <f aca="false">MIN(O1050+O1051,MAX(0,Liq_cible*O1024-(O1059-O1034)))</f>
        <v>703420.481911912</v>
      </c>
    </row>
    <row r="1061" customFormat="false" ht="15" hidden="false" customHeight="false" outlineLevel="0" collapsed="false">
      <c r="B1061" s="65" t="s">
        <v>1058</v>
      </c>
      <c r="C1061" s="25"/>
      <c r="D1061" s="73" t="n">
        <f aca="false">D1059-D1034+D1060</f>
        <v>4489375</v>
      </c>
      <c r="E1061" s="73" t="n">
        <f aca="false">E1059-E1034+E1060</f>
        <v>5311328.9375</v>
      </c>
      <c r="F1061" s="73" t="n">
        <f aca="false">F1059-F1034+F1060</f>
        <v>2529591.89521406</v>
      </c>
      <c r="G1061" s="73" t="n">
        <f aca="false">G1059-G1034+G1060</f>
        <v>3277138.57903024</v>
      </c>
      <c r="H1061" s="73" t="n">
        <f aca="false">H1059-H1034+H1060</f>
        <v>609636.933215541</v>
      </c>
      <c r="I1061" s="73" t="n">
        <f aca="false">I1059-I1034+I1060</f>
        <v>1314160.84841604</v>
      </c>
      <c r="J1061" s="73" t="n">
        <f aca="false">J1059-J1034+J1060</f>
        <v>-1276029.65977433</v>
      </c>
      <c r="K1061" s="73" t="n">
        <f aca="false">K1059-K1034+K1060</f>
        <v>599091.787159445</v>
      </c>
      <c r="L1061" s="73" t="n">
        <f aca="false">L1059-L1034+L1060</f>
        <v>-1946683.48622668</v>
      </c>
      <c r="M1061" s="73" t="n">
        <f aca="false">M1059-M1034+M1060</f>
        <v>483176.346392725</v>
      </c>
      <c r="N1061" s="73" t="n">
        <f aca="false">N1059-N1034+N1060</f>
        <v>-2029665.56672046</v>
      </c>
      <c r="O1061" s="73" t="n">
        <f aca="false">O1059-O1034+O1060</f>
        <v>376630.355638199</v>
      </c>
    </row>
    <row r="1062" customFormat="false" ht="15" hidden="false" customHeight="false" outlineLevel="0" collapsed="false">
      <c r="B1062" s="65" t="s">
        <v>1059</v>
      </c>
      <c r="C1062" s="25"/>
      <c r="D1062" s="73" t="n">
        <f aca="false">MIN(MAX(0,MIN($R$20*AN_cible,Emprunt_max*D1024)-C1067),MAX(0,IF($R$20&gt;0,Poche_min_exec*D1024,0)-D1061))-IF(D1061&gt;Liq_cible*D1024,MIN(C1067,D1061-Liq_cible*D1024),0)</f>
        <v>0</v>
      </c>
      <c r="E1062" s="73" t="n">
        <f aca="false">MIN(MAX(0,MIN($R$20*AN_cible,Emprunt_max*E1024)-D1067),MAX(0,IF($R$20&gt;0,Poche_min_exec*E1024,0)-E1061))-IF(E1061&gt;Liq_cible*E1024,MIN(D1067,E1061-Liq_cible*E1024),0)</f>
        <v>0</v>
      </c>
      <c r="F1062" s="73" t="n">
        <f aca="false">MIN(MAX(0,MIN($R$20*AN_cible,Emprunt_max*F1024)-E1067),MAX(0,IF($R$20&gt;0,Poche_min_exec*F1024,0)-F1061))-IF(F1061&gt;Liq_cible*F1024,MIN(E1067,F1061-Liq_cible*F1024),0)</f>
        <v>0</v>
      </c>
      <c r="G1062" s="73" t="n">
        <f aca="false">MIN(MAX(0,MIN($R$20*AN_cible,Emprunt_max*G1024)-F1067),MAX(0,IF($R$20&gt;0,Poche_min_exec*G1024,0)-G1061))-IF(G1061&gt;Liq_cible*G1024,MIN(F1067,G1061-Liq_cible*G1024),0)</f>
        <v>0</v>
      </c>
      <c r="H1062" s="73" t="n">
        <f aca="false">MIN(MAX(0,MIN($R$20*AN_cible,Emprunt_max*H1024)-G1067),MAX(0,IF($R$20&gt;0,Poche_min_exec*H1024,0)-H1061))-IF(H1061&gt;Liq_cible*H1024,MIN(G1067,H1061-Liq_cible*H1024),0)</f>
        <v>0</v>
      </c>
      <c r="I1062" s="73" t="n">
        <f aca="false">MIN(MAX(0,MIN($R$20*AN_cible,Emprunt_max*I1024)-H1067),MAX(0,IF($R$20&gt;0,Poche_min_exec*I1024,0)-I1061))-IF(I1061&gt;Liq_cible*I1024,MIN(H1067,I1061-Liq_cible*I1024),0)</f>
        <v>0</v>
      </c>
      <c r="J1062" s="73" t="n">
        <f aca="false">MIN(MAX(0,MIN($R$20*AN_cible,Emprunt_max*J1024)-I1067),MAX(0,IF($R$20&gt;0,Poche_min_exec*J1024,0)-J1061))-IF(J1061&gt;Liq_cible*J1024,MIN(I1067,J1061-Liq_cible*J1024),0)</f>
        <v>0</v>
      </c>
      <c r="K1062" s="73" t="n">
        <f aca="false">MIN(MAX(0,MIN($R$20*AN_cible,Emprunt_max*K1024)-J1067),MAX(0,IF($R$20&gt;0,Poche_min_exec*K1024,0)-K1061))-IF(K1061&gt;Liq_cible*K1024,MIN(J1067,K1061-Liq_cible*K1024),0)</f>
        <v>0</v>
      </c>
      <c r="L1062" s="73" t="n">
        <f aca="false">MIN(MAX(0,MIN($R$20*AN_cible,Emprunt_max*L1024)-K1067),MAX(0,IF($R$20&gt;0,Poche_min_exec*L1024,0)-L1061))-IF(L1061&gt;Liq_cible*L1024,MIN(K1067,L1061-Liq_cible*L1024),0)</f>
        <v>0</v>
      </c>
      <c r="M1062" s="73" t="n">
        <f aca="false">MIN(MAX(0,MIN($R$20*AN_cible,Emprunt_max*M1024)-L1067),MAX(0,IF($R$20&gt;0,Poche_min_exec*M1024,0)-M1061))-IF(M1061&gt;Liq_cible*M1024,MIN(L1067,M1061-Liq_cible*M1024),0)</f>
        <v>0</v>
      </c>
      <c r="N1062" s="73" t="n">
        <f aca="false">MIN(MAX(0,MIN($R$20*AN_cible,Emprunt_max*N1024)-M1067),MAX(0,IF($R$20&gt;0,Poche_min_exec*N1024,0)-N1061))-IF(N1061&gt;Liq_cible*N1024,MIN(M1067,N1061-Liq_cible*N1024),0)</f>
        <v>0</v>
      </c>
      <c r="O1062" s="73" t="n">
        <f aca="false">MIN(MAX(0,MIN($R$20*AN_cible,Emprunt_max*O1024)-N1067),MAX(0,IF($R$20&gt;0,Poche_min_exec*O1024,0)-O1061))-IF(O1061&gt;Liq_cible*O1024,MIN(N1067,O1061-Liq_cible*O1024),0)</f>
        <v>0</v>
      </c>
    </row>
    <row r="1063" customFormat="false" ht="15" hidden="false" customHeight="false" outlineLevel="0" collapsed="false">
      <c r="B1063" s="65" t="s">
        <v>1060</v>
      </c>
      <c r="C1063" s="25"/>
      <c r="D1063" s="73" t="n">
        <f aca="false">MIN((C1038+C1039+C1040+C1041),MAX(0,-(D1061+D1062))/(1-Decote))</f>
        <v>0</v>
      </c>
      <c r="E1063" s="73" t="n">
        <f aca="false">MIN((D1038+D1039+D1040+D1041),MAX(0,-(E1061+E1062))/(1-Decote))</f>
        <v>0</v>
      </c>
      <c r="F1063" s="73" t="n">
        <f aca="false">MIN((E1038+E1039+E1040+E1041),MAX(0,-(F1061+F1062))/(1-Decote))</f>
        <v>0</v>
      </c>
      <c r="G1063" s="73" t="n">
        <f aca="false">MIN((F1038+F1039+F1040+F1041),MAX(0,-(G1061+G1062))/(1-Decote))</f>
        <v>0</v>
      </c>
      <c r="H1063" s="73" t="n">
        <f aca="false">MIN((G1038+G1039+G1040+G1041),MAX(0,-(H1061+H1062))/(1-Decote))</f>
        <v>0</v>
      </c>
      <c r="I1063" s="73" t="n">
        <f aca="false">MIN((H1038+H1039+H1040+H1041),MAX(0,-(I1061+I1062))/(1-Decote))</f>
        <v>0</v>
      </c>
      <c r="J1063" s="73" t="n">
        <f aca="false">MIN((I1038+I1039+I1040+I1041),MAX(0,-(J1061+J1062))/(1-Decote))</f>
        <v>1417810.73308259</v>
      </c>
      <c r="K1063" s="73" t="n">
        <f aca="false">MIN((J1038+J1039+J1040+J1041),MAX(0,-(K1061+K1062))/(1-Decote))</f>
        <v>0</v>
      </c>
      <c r="L1063" s="73" t="n">
        <f aca="false">MIN((K1038+K1039+K1040+K1041),MAX(0,-(L1061+L1062))/(1-Decote))</f>
        <v>2162981.65136298</v>
      </c>
      <c r="M1063" s="73" t="n">
        <f aca="false">MIN((L1038+L1039+L1040+L1041),MAX(0,-(M1061+M1062))/(1-Decote))</f>
        <v>0</v>
      </c>
      <c r="N1063" s="73" t="n">
        <f aca="false">MIN((M1038+M1039+M1040+M1041),MAX(0,-(N1061+N1062))/(1-Decote))</f>
        <v>2255183.96302273</v>
      </c>
      <c r="O1063" s="73" t="n">
        <f aca="false">MIN((N1038+N1039+N1040+N1041),MAX(0,-(O1061+O1062))/(1-Decote))</f>
        <v>0</v>
      </c>
    </row>
    <row r="1064" customFormat="false" ht="15" hidden="false" customHeight="false" outlineLevel="0" collapsed="false">
      <c r="B1064" s="65" t="s">
        <v>1061</v>
      </c>
      <c r="C1064" s="25"/>
      <c r="D1064" s="73" t="n">
        <f aca="false">D1063*Decote</f>
        <v>0</v>
      </c>
      <c r="E1064" s="73" t="n">
        <f aca="false">E1063*Decote</f>
        <v>0</v>
      </c>
      <c r="F1064" s="73" t="n">
        <f aca="false">F1063*Decote</f>
        <v>0</v>
      </c>
      <c r="G1064" s="73" t="n">
        <f aca="false">G1063*Decote</f>
        <v>0</v>
      </c>
      <c r="H1064" s="73" t="n">
        <f aca="false">H1063*Decote</f>
        <v>0</v>
      </c>
      <c r="I1064" s="73" t="n">
        <f aca="false">I1063*Decote</f>
        <v>0</v>
      </c>
      <c r="J1064" s="73" t="n">
        <f aca="false">J1063*Decote</f>
        <v>141781.073308259</v>
      </c>
      <c r="K1064" s="73" t="n">
        <f aca="false">K1063*Decote</f>
        <v>0</v>
      </c>
      <c r="L1064" s="73" t="n">
        <f aca="false">L1063*Decote</f>
        <v>216298.165136298</v>
      </c>
      <c r="M1064" s="73" t="n">
        <f aca="false">M1063*Decote</f>
        <v>0</v>
      </c>
      <c r="N1064" s="73" t="n">
        <f aca="false">N1063*Decote</f>
        <v>225518.396302273</v>
      </c>
      <c r="O1064" s="73" t="n">
        <f aca="false">O1063*Decote</f>
        <v>0</v>
      </c>
    </row>
    <row r="1065" customFormat="false" ht="15" hidden="false" customHeight="false" outlineLevel="0" collapsed="false">
      <c r="B1065" s="65" t="s">
        <v>1062</v>
      </c>
      <c r="C1065" s="25"/>
      <c r="D1065" s="73" t="n">
        <f aca="false">IF(AND(D1035&lt;0.000001,C1067+D1062&lt;0.000001),MAX(0,D1061+D1062-Seuil_reinv*D1024),0)</f>
        <v>0</v>
      </c>
      <c r="E1065" s="73" t="n">
        <f aca="false">IF(AND(E1035&lt;0.000001,D1067+E1062&lt;0.000001),MAX(0,E1061+E1062-Seuil_reinv*E1024),0)</f>
        <v>0</v>
      </c>
      <c r="F1065" s="73" t="n">
        <f aca="false">IF(AND(F1035&lt;0.000001,E1067+F1062&lt;0.000001),MAX(0,F1061+F1062-Seuil_reinv*F1024),0)</f>
        <v>0</v>
      </c>
      <c r="G1065" s="73" t="n">
        <f aca="false">IF(AND(G1035&lt;0.000001,F1067+G1062&lt;0.000001),MAX(0,G1061+G1062-Seuil_reinv*G1024),0)</f>
        <v>0</v>
      </c>
      <c r="H1065" s="73" t="n">
        <f aca="false">IF(AND(H1035&lt;0.000001,G1067+H1062&lt;0.000001),MAX(0,H1061+H1062-Seuil_reinv*H1024),0)</f>
        <v>0</v>
      </c>
      <c r="I1065" s="73" t="n">
        <f aca="false">IF(AND(I1035&lt;0.000001,H1067+I1062&lt;0.000001),MAX(0,I1061+I1062-Seuil_reinv*I1024),0)</f>
        <v>0</v>
      </c>
      <c r="J1065" s="73" t="n">
        <f aca="false">IF(AND(J1035&lt;0.000001,I1067+J1062&lt;0.000001),MAX(0,J1061+J1062-Seuil_reinv*J1024),0)</f>
        <v>0</v>
      </c>
      <c r="K1065" s="73" t="n">
        <f aca="false">IF(AND(K1035&lt;0.000001,J1067+K1062&lt;0.000001),MAX(0,K1061+K1062-Seuil_reinv*K1024),0)</f>
        <v>0</v>
      </c>
      <c r="L1065" s="73" t="n">
        <f aca="false">IF(AND(L1035&lt;0.000001,K1067+L1062&lt;0.000001),MAX(0,L1061+L1062-Seuil_reinv*L1024),0)</f>
        <v>0</v>
      </c>
      <c r="M1065" s="73" t="n">
        <f aca="false">IF(AND(M1035&lt;0.000001,L1067+M1062&lt;0.000001),MAX(0,M1061+M1062-Seuil_reinv*M1024),0)</f>
        <v>0</v>
      </c>
      <c r="N1065" s="73" t="n">
        <f aca="false">IF(AND(N1035&lt;0.000001,M1067+N1062&lt;0.000001),MAX(0,N1061+N1062-Seuil_reinv*N1024),0)</f>
        <v>0</v>
      </c>
      <c r="O1065" s="73" t="n">
        <f aca="false">IF(AND(O1035&lt;0.000001,N1067+O1062&lt;0.000001),MAX(0,O1061+O1062-Seuil_reinv*O1024),0)</f>
        <v>0</v>
      </c>
    </row>
    <row r="1066" customFormat="false" ht="15" hidden="false" customHeight="false" outlineLevel="0" collapsed="false">
      <c r="B1066" s="65" t="s">
        <v>1063</v>
      </c>
      <c r="C1066" s="73" t="n">
        <f aca="false">AN_cible*Ws_LIQ</f>
        <v>7500000</v>
      </c>
      <c r="D1066" s="73" t="n">
        <f aca="false">D1061+D1062+D1063-D1064-D1065</f>
        <v>4489375</v>
      </c>
      <c r="E1066" s="73" t="n">
        <f aca="false">E1061+E1062+E1063-E1064-E1065</f>
        <v>5311328.9375</v>
      </c>
      <c r="F1066" s="73" t="n">
        <f aca="false">F1061+F1062+F1063-F1064-F1065</f>
        <v>2529591.89521406</v>
      </c>
      <c r="G1066" s="73" t="n">
        <f aca="false">G1061+G1062+G1063-G1064-G1065</f>
        <v>3277138.57903024</v>
      </c>
      <c r="H1066" s="73" t="n">
        <f aca="false">H1061+H1062+H1063-H1064-H1065</f>
        <v>609636.933215541</v>
      </c>
      <c r="I1066" s="73" t="n">
        <f aca="false">I1061+I1062+I1063-I1064-I1065</f>
        <v>1314160.84841604</v>
      </c>
      <c r="J1066" s="73" t="n">
        <f aca="false">J1061+J1062+J1063-J1064-J1065</f>
        <v>0</v>
      </c>
      <c r="K1066" s="73" t="n">
        <f aca="false">K1061+K1062+K1063-K1064-K1065</f>
        <v>599091.787159445</v>
      </c>
      <c r="L1066" s="73" t="n">
        <f aca="false">L1061+L1062+L1063-L1064-L1065</f>
        <v>0</v>
      </c>
      <c r="M1066" s="73" t="n">
        <f aca="false">M1061+M1062+M1063-M1064-M1065</f>
        <v>483176.346392725</v>
      </c>
      <c r="N1066" s="73" t="n">
        <f aca="false">N1061+N1062+N1063-N1064-N1065</f>
        <v>0</v>
      </c>
      <c r="O1066" s="73" t="n">
        <f aca="false">O1061+O1062+O1063-O1064-O1065</f>
        <v>376630.355638199</v>
      </c>
    </row>
    <row r="1067" customFormat="false" ht="15" hidden="false" customHeight="false" outlineLevel="0" collapsed="false">
      <c r="B1067" s="65" t="s">
        <v>1064</v>
      </c>
      <c r="C1067" s="73" t="n">
        <v>0</v>
      </c>
      <c r="D1067" s="73" t="n">
        <f aca="false">C1067+D1062</f>
        <v>0</v>
      </c>
      <c r="E1067" s="73" t="n">
        <f aca="false">D1067+E1062</f>
        <v>0</v>
      </c>
      <c r="F1067" s="73" t="n">
        <f aca="false">E1067+F1062</f>
        <v>0</v>
      </c>
      <c r="G1067" s="73" t="n">
        <f aca="false">F1067+G1062</f>
        <v>0</v>
      </c>
      <c r="H1067" s="73" t="n">
        <f aca="false">G1067+H1062</f>
        <v>0</v>
      </c>
      <c r="I1067" s="73" t="n">
        <f aca="false">H1067+I1062</f>
        <v>0</v>
      </c>
      <c r="J1067" s="73" t="n">
        <f aca="false">I1067+J1062</f>
        <v>0</v>
      </c>
      <c r="K1067" s="73" t="n">
        <f aca="false">J1067+K1062</f>
        <v>0</v>
      </c>
      <c r="L1067" s="73" t="n">
        <f aca="false">K1067+L1062</f>
        <v>0</v>
      </c>
      <c r="M1067" s="73" t="n">
        <f aca="false">L1067+M1062</f>
        <v>0</v>
      </c>
      <c r="N1067" s="73" t="n">
        <f aca="false">M1067+N1062</f>
        <v>0</v>
      </c>
      <c r="O1067" s="73" t="n">
        <f aca="false">N1067+O1062</f>
        <v>0</v>
      </c>
    </row>
    <row r="1068" customFormat="false" ht="15" hidden="false" customHeight="false" outlineLevel="0" collapsed="false">
      <c r="B1068" s="74" t="s">
        <v>1065</v>
      </c>
      <c r="C1068" s="73" t="n">
        <f aca="false">C1038+C1039+C1040+C1041+C1066-C1067</f>
        <v>50000000</v>
      </c>
      <c r="D1068" s="73" t="n">
        <f aca="false">D1038+D1039+D1040+D1041+D1066-D1067</f>
        <v>46850643.75</v>
      </c>
      <c r="E1068" s="73" t="n">
        <f aca="false">E1038+E1039+E1040+E1041+E1066-E1067</f>
        <v>47571589.2132813</v>
      </c>
      <c r="F1068" s="73" t="n">
        <f aca="false">F1038+F1039+F1040+F1041+F1066-F1067</f>
        <v>44725335.432033</v>
      </c>
      <c r="G1068" s="73" t="n">
        <f aca="false">G1038+G1039+G1040+G1041+G1066-G1067</f>
        <v>45443676.0888842</v>
      </c>
      <c r="H1068" s="73" t="n">
        <f aca="false">H1038+H1039+H1040+H1041+H1066-H1067</f>
        <v>42781146.1226041</v>
      </c>
      <c r="I1068" s="73" t="n">
        <f aca="false">I1038+I1039+I1040+I1041+I1066-I1067</f>
        <v>43523732.5183755</v>
      </c>
      <c r="J1068" s="73" t="n">
        <f aca="false">J1038+J1039+J1040+J1041+J1066-J1067</f>
        <v>40861871.5737234</v>
      </c>
      <c r="K1068" s="73" t="n">
        <f aca="false">K1038+K1039+K1040+K1041+K1066-K1067</f>
        <v>41580760.6240666</v>
      </c>
      <c r="L1068" s="73" t="n">
        <f aca="false">L1038+L1039+L1040+L1041+L1066-L1067</f>
        <v>38967663.0014525</v>
      </c>
      <c r="M1068" s="73" t="n">
        <f aca="false">M1038+M1039+M1040+M1041+M1066-M1067</f>
        <v>39653230.8780725</v>
      </c>
      <c r="N1068" s="73" t="n">
        <f aca="false">N1038+N1039+N1040+N1041+N1066-N1067</f>
        <v>37143418.3310397</v>
      </c>
      <c r="O1068" s="73" t="n">
        <f aca="false">O1038+O1039+O1040+O1041+O1066-O1067</f>
        <v>37796808.5647767</v>
      </c>
    </row>
    <row r="1069" customFormat="false" ht="15" hidden="false" customHeight="false" outlineLevel="0" collapsed="false">
      <c r="B1069" s="65" t="s">
        <v>1066</v>
      </c>
      <c r="C1069" s="72" t="n">
        <f aca="false">IF((C1068+C1067)&gt;0,C1066/(C1068+C1067),0)</f>
        <v>0.15</v>
      </c>
      <c r="D1069" s="72" t="n">
        <f aca="false">IF((D1068+D1067)&gt;0,D1066/(D1068+D1067),0)</f>
        <v>0.0958231230280587</v>
      </c>
      <c r="E1069" s="72" t="n">
        <f aca="false">IF((E1068+E1067)&gt;0,E1066/(E1068+E1067),0)</f>
        <v>0.111649180221567</v>
      </c>
      <c r="F1069" s="72" t="n">
        <f aca="false">IF((F1068+F1067)&gt;0,F1066/(F1068+F1067),0)</f>
        <v>0.0565583660978499</v>
      </c>
      <c r="G1069" s="72" t="n">
        <f aca="false">IF((G1068+G1067)&gt;0,G1066/(G1068+G1067),0)</f>
        <v>0.0721142931443402</v>
      </c>
      <c r="H1069" s="72" t="n">
        <f aca="false">IF((H1068+H1067)&gt;0,H1066/(H1068+H1067),0)</f>
        <v>0.0142501309214208</v>
      </c>
      <c r="I1069" s="72" t="n">
        <f aca="false">IF((I1068+I1067)&gt;0,I1066/(I1068+I1067),0)</f>
        <v>0.0301941210547879</v>
      </c>
      <c r="J1069" s="72" t="n">
        <f aca="false">IF((J1068+J1067)&gt;0,J1066/(J1068+J1067),0)</f>
        <v>0</v>
      </c>
      <c r="K1069" s="72" t="n">
        <f aca="false">IF((K1068+K1067)&gt;0,K1066/(K1068+K1067),0)</f>
        <v>0.0144079083250992</v>
      </c>
      <c r="L1069" s="72" t="n">
        <f aca="false">IF((L1068+L1067)&gt;0,L1066/(L1068+L1067),0)</f>
        <v>0</v>
      </c>
      <c r="M1069" s="72" t="n">
        <f aca="false">IF((M1068+M1067)&gt;0,M1066/(M1068+M1067),0)</f>
        <v>0.0121850435814024</v>
      </c>
      <c r="N1069" s="72" t="n">
        <f aca="false">IF((N1068+N1067)&gt;0,N1066/(N1068+N1067),0)</f>
        <v>0</v>
      </c>
      <c r="O1069" s="72" t="n">
        <f aca="false">IF((O1068+O1067)&gt;0,O1066/(O1068+O1067),0)</f>
        <v>0.00996460732902157</v>
      </c>
    </row>
    <row r="1070" customFormat="false" ht="15" hidden="false" customHeight="false" outlineLevel="0" collapsed="false">
      <c r="B1070" s="65" t="s">
        <v>1067</v>
      </c>
      <c r="C1070" s="72" t="n">
        <f aca="false">0</f>
        <v>0</v>
      </c>
      <c r="D1070" s="72" t="n">
        <f aca="false">IF(D1068&gt;0,D1035/D1068,0)</f>
        <v>0</v>
      </c>
      <c r="E1070" s="72" t="n">
        <f aca="false">IF(E1068&gt;0,E1035/E1068,0)</f>
        <v>0</v>
      </c>
      <c r="F1070" s="72" t="n">
        <f aca="false">IF(F1068&gt;0,F1035/F1068,0)</f>
        <v>0</v>
      </c>
      <c r="G1070" s="72" t="n">
        <f aca="false">IF(G1068&gt;0,G1035/G1068,0)</f>
        <v>0</v>
      </c>
      <c r="H1070" s="72" t="n">
        <f aca="false">IF(H1068&gt;0,H1035/H1068,0)</f>
        <v>0</v>
      </c>
      <c r="I1070" s="72" t="n">
        <f aca="false">IF(I1068&gt;0,I1035/I1068,0)</f>
        <v>0</v>
      </c>
      <c r="J1070" s="72" t="n">
        <f aca="false">IF(J1068&gt;0,J1035/J1068,0)</f>
        <v>0</v>
      </c>
      <c r="K1070" s="72" t="n">
        <f aca="false">IF(K1068&gt;0,K1035/K1068,0)</f>
        <v>0</v>
      </c>
      <c r="L1070" s="72" t="n">
        <f aca="false">IF(L1068&gt;0,L1035/L1068,0)</f>
        <v>0</v>
      </c>
      <c r="M1070" s="72" t="n">
        <f aca="false">IF(M1068&gt;0,M1035/M1068,0)</f>
        <v>0</v>
      </c>
      <c r="N1070" s="72" t="n">
        <f aca="false">IF(N1068&gt;0,N1035/N1068,0)</f>
        <v>0</v>
      </c>
      <c r="O1070" s="72" t="n">
        <f aca="false">IF(O1068&gt;0,O1035/O1068,0)</f>
        <v>0</v>
      </c>
    </row>
    <row r="1071" customFormat="false" ht="15" hidden="false" customHeight="false" outlineLevel="0" collapsed="false">
      <c r="B1071" s="65" t="s">
        <v>1068</v>
      </c>
      <c r="C1071" s="75" t="n">
        <f aca="false">IF((C1035+SUM(D1026:G1026)+SUM(D1056:G1056)+SUM(D1057:G1057)+SUM(D1055:G1055))&lt;=0,9.99,MIN(9.99,(C1066+SUM(D1054:G1054)+SUM(D1050:G1051)+MAX(0,MIN($R$20*AN_cible,Emprunt_max*C1068)-C1067))/(C1035+SUM(D1026:G1026)+SUM(D1056:G1056)+SUM(D1057:G1057)+SUM(D1055:G1055))))</f>
        <v>1.28958701701029</v>
      </c>
      <c r="D1071" s="73" t="n">
        <f aca="false">IF((D1035+SUM(E1026:H1026)+SUM(E1056:H1056)+SUM(E1057:H1057)+SUM(E1055:H1055))&lt;=0,9.99,MIN(9.99,(D1066+SUM(E1054:H1054)+SUM(E1050:H1051)+MAX(0,MIN($R$20*AN_cible,Emprunt_max*D1068)-D1067))/(D1035+SUM(E1026:H1026)+SUM(E1056:H1056)+SUM(E1057:H1057)+SUM(E1055:H1055))))</f>
        <v>1.04924372426316</v>
      </c>
      <c r="E1071" s="73" t="n">
        <f aca="false">IF((E1035+SUM(F1026:I1026)+SUM(F1056:I1056)+SUM(F1057:I1057)+SUM(F1055:I1055))&lt;=0,9.99,MIN(9.99,(E1066+SUM(F1054:I1054)+SUM(F1050:I1051)+MAX(0,MIN($R$20*AN_cible,Emprunt_max*E1068)-E1067))/(E1035+SUM(F1026:I1026)+SUM(F1056:I1056)+SUM(F1057:I1057)+SUM(F1055:I1055))))</f>
        <v>1.1195579729767</v>
      </c>
      <c r="F1071" s="73" t="n">
        <f aca="false">IF((F1035+SUM(G1026:J1026)+SUM(G1056:J1056)+SUM(G1057:J1057)+SUM(G1055:J1055))&lt;=0,9.99,MIN(9.99,(F1066+SUM(G1054:J1054)+SUM(G1050:J1051)+MAX(0,MIN($R$20*AN_cible,Emprunt_max*F1068)-F1067))/(F1035+SUM(G1026:J1026)+SUM(G1056:J1056)+SUM(G1057:J1057)+SUM(G1055:J1055))))</f>
        <v>0.868288878466755</v>
      </c>
      <c r="G1071" s="73" t="n">
        <f aca="false">IF((G1035+SUM(H1026:K1026)+SUM(H1056:K1056)+SUM(H1057:K1057)+SUM(H1055:K1055))&lt;=0,9.99,MIN(9.99,(G1066+SUM(H1054:K1054)+SUM(H1050:K1051)+MAX(0,MIN($R$20*AN_cible,Emprunt_max*G1068)-G1067))/(G1035+SUM(H1026:K1026)+SUM(H1056:K1056)+SUM(H1057:K1057)+SUM(H1055:K1055))))</f>
        <v>0.929307348331156</v>
      </c>
      <c r="H1071" s="73" t="n">
        <f aca="false">IF((H1035+SUM(I1026:L1026)+SUM(I1056:L1056)+SUM(I1057:L1057)+SUM(I1055:L1055))&lt;=0,9.99,MIN(9.99,(H1066+SUM(I1054:L1054)+SUM(I1050:L1051)+MAX(0,MIN($R$20*AN_cible,Emprunt_max*H1068)-H1067))/(H1035+SUM(I1026:L1026)+SUM(I1056:L1056)+SUM(I1057:L1057)+SUM(I1055:L1055))))</f>
        <v>0.667048127526414</v>
      </c>
      <c r="I1071" s="73" t="n">
        <f aca="false">IF((I1035+SUM(J1026:M1026)+SUM(J1056:M1056)+SUM(J1057:M1057)+SUM(J1055:M1055))&lt;=0,9.99,MIN(9.99,(I1066+SUM(J1054:M1054)+SUM(J1050:M1051)+MAX(0,MIN($R$20*AN_cible,Emprunt_max*I1068)-I1067))/(I1035+SUM(J1026:M1026)+SUM(J1056:M1056)+SUM(J1057:M1057)+SUM(J1055:M1055))))</f>
        <v>0.716560122659999</v>
      </c>
      <c r="J1071" s="73" t="n">
        <f aca="false">IF((J1035+SUM(K1026:N1026)+SUM(K1056:N1056)+SUM(K1057:N1057)+SUM(K1055:N1055))&lt;=0,9.99,MIN(9.99,(J1066+SUM(K1054:N1054)+SUM(K1050:N1051)+MAX(0,MIN($R$20*AN_cible,Emprunt_max*J1068)-J1067))/(J1035+SUM(K1026:N1026)+SUM(K1056:N1056)+SUM(K1057:N1057)+SUM(K1055:N1055))))</f>
        <v>0.576168376108245</v>
      </c>
      <c r="K1071" s="73" t="n">
        <f aca="false">IF((K1035+SUM(L1026:O1026)+SUM(L1056:O1056)+SUM(L1057:O1057)+SUM(L1055:O1055))&lt;=0,9.99,MIN(9.99,(K1066+SUM(L1054:O1054)+SUM(L1050:O1051)+MAX(0,MIN($R$20*AN_cible,Emprunt_max*K1068)-K1067))/(K1035+SUM(L1026:O1026)+SUM(L1056:O1056)+SUM(L1057:O1057)+SUM(L1055:O1055))))</f>
        <v>0.615483821704711</v>
      </c>
      <c r="L1071" s="73" t="n">
        <f aca="false">IF((L1035+SUM(M1026:O1026)+SUM(M1056:O1056)+SUM(M1057:O1057)+SUM(M1055:O1055))&lt;=0,9.99,MIN(9.99,(L1066+SUM(M1054:O1054)+SUM(M1050:O1051)+MAX(0,MIN($R$20*AN_cible,Emprunt_max*L1068)-L1067))/(L1035+SUM(M1026:O1026)+SUM(M1056:O1056)+SUM(M1057:O1057)+SUM(M1055:O1055))))</f>
        <v>0.694894648047417</v>
      </c>
      <c r="M1071" s="73" t="n">
        <f aca="false">IF((M1035+SUM(N1026:O1026)+SUM(N1056:O1056)+SUM(N1057:O1057)+SUM(N1055:O1055))&lt;=0,9.99,MIN(9.99,(M1066+SUM(N1054:O1054)+SUM(N1050:O1051)+MAX(0,MIN($R$20*AN_cible,Emprunt_max*M1068)-M1067))/(M1035+SUM(N1026:O1026)+SUM(N1056:O1056)+SUM(N1057:O1057)+SUM(N1055:O1055))))</f>
        <v>0.640611144525251</v>
      </c>
      <c r="N1071" s="73" t="n">
        <f aca="false">IF((N1035+SUM(O1026:O1026)+SUM(O1056:O1056)+SUM(O1057:O1057)+SUM(O1055:O1055))&lt;=0,9.99,MIN(9.99,(N1066+SUM(O1054:O1054)+SUM(O1050:O1051)+MAX(0,MIN($R$20*AN_cible,Emprunt_max*N1068)-N1067))/(N1035+SUM(O1026:O1026)+SUM(O1056:O1056)+SUM(O1057:O1057)+SUM(O1055:O1055))))</f>
        <v>1.46456446954788</v>
      </c>
      <c r="O1071" s="73" t="n">
        <f aca="false">9.99</f>
        <v>9.99</v>
      </c>
    </row>
    <row r="1072" customFormat="false" ht="15" hidden="false" customHeight="false" outlineLevel="0" collapsed="false">
      <c r="B1072" s="65" t="s">
        <v>1069</v>
      </c>
      <c r="C1072" s="72" t="n">
        <f aca="false">(C1038+C1039+C1040+C1041+C1046+C1047)/C1068</f>
        <v>1</v>
      </c>
      <c r="D1072" s="72" t="n">
        <f aca="false">(D1038+D1039+D1040+D1041+D1046+D1047)/D1068</f>
        <v>1.05091979125687</v>
      </c>
      <c r="E1072" s="72" t="n">
        <f aca="false">(E1038+E1039+E1040+E1041+E1046+E1047)/E1068</f>
        <v>1.01973175750534</v>
      </c>
      <c r="F1072" s="72" t="n">
        <f aca="false">(F1038+F1039+F1040+F1041+F1046+F1047)/F1068</f>
        <v>1.06920927646233</v>
      </c>
      <c r="G1072" s="72" t="n">
        <f aca="false">(G1038+G1039+G1040+G1041+G1046+G1047)/G1068</f>
        <v>1.037912017012</v>
      </c>
      <c r="H1072" s="72" t="n">
        <f aca="false">(H1038+H1039+H1040+H1041+H1046+H1047)/H1068</f>
        <v>1.08801454397677</v>
      </c>
      <c r="I1072" s="72" t="n">
        <f aca="false">(I1038+I1039+I1040+I1041+I1046+I1047)/I1068</f>
        <v>1.05596576880339</v>
      </c>
      <c r="J1072" s="72" t="n">
        <f aca="false">(J1038+J1039+J1040+J1041+J1046+J1047)/J1068</f>
        <v>1.07647716268605</v>
      </c>
      <c r="K1072" s="72" t="n">
        <f aca="false">(K1038+K1039+K1040+K1041+K1046+K1047)/K1068</f>
        <v>1.04571605195073</v>
      </c>
      <c r="L1072" s="72" t="n">
        <f aca="false">(L1038+L1039+L1040+L1041+L1046+L1047)/L1068</f>
        <v>1.04811681932094</v>
      </c>
      <c r="M1072" s="72" t="n">
        <f aca="false">(M1038+M1039+M1040+M1041+M1046+M1047)/M1068</f>
        <v>1.01933823894363</v>
      </c>
      <c r="N1072" s="72" t="n">
        <f aca="false">(N1038+N1039+N1040+N1041+N1046+N1047)/N1068</f>
        <v>1.01682666884425</v>
      </c>
      <c r="O1072" s="72" t="n">
        <f aca="false">(O1038+O1039+O1040+O1041+O1046+O1047)/O1068</f>
        <v>0.990035392670978</v>
      </c>
    </row>
    <row r="1073" customFormat="false" ht="15" hidden="false" customHeight="false" outlineLevel="0" collapsed="false">
      <c r="B1073" s="65" t="s">
        <v>849</v>
      </c>
      <c r="C1073" s="72" t="n">
        <f aca="false">(C1068+C1067)/C1068</f>
        <v>1</v>
      </c>
      <c r="D1073" s="72" t="n">
        <f aca="false">(D1068+D1067)/D1068</f>
        <v>1</v>
      </c>
      <c r="E1073" s="72" t="n">
        <f aca="false">(E1068+E1067)/E1068</f>
        <v>1</v>
      </c>
      <c r="F1073" s="72" t="n">
        <f aca="false">(F1068+F1067)/F1068</f>
        <v>1</v>
      </c>
      <c r="G1073" s="72" t="n">
        <f aca="false">(G1068+G1067)/G1068</f>
        <v>1</v>
      </c>
      <c r="H1073" s="72" t="n">
        <f aca="false">(H1068+H1067)/H1068</f>
        <v>1</v>
      </c>
      <c r="I1073" s="72" t="n">
        <f aca="false">(I1068+I1067)/I1068</f>
        <v>1</v>
      </c>
      <c r="J1073" s="72" t="n">
        <f aca="false">(J1068+J1067)/J1068</f>
        <v>1</v>
      </c>
      <c r="K1073" s="72" t="n">
        <f aca="false">(K1068+K1067)/K1068</f>
        <v>1</v>
      </c>
      <c r="L1073" s="72" t="n">
        <f aca="false">(L1068+L1067)/L1068</f>
        <v>1</v>
      </c>
      <c r="M1073" s="72" t="n">
        <f aca="false">(M1068+M1067)/M1068</f>
        <v>1</v>
      </c>
      <c r="N1073" s="72" t="n">
        <f aca="false">(N1068+N1067)/N1068</f>
        <v>1</v>
      </c>
      <c r="O1073" s="72" t="n">
        <f aca="false">(O1068+O1067)/O1068</f>
        <v>1</v>
      </c>
    </row>
    <row r="1074" customFormat="false" ht="15" hidden="false" customHeight="false" outlineLevel="0" collapsed="false">
      <c r="B1074" s="65" t="s">
        <v>1070</v>
      </c>
      <c r="C1074" s="72" t="n">
        <f aca="false">(C1038+C1039*MSIG_USD)/C1068</f>
        <v>0.25</v>
      </c>
      <c r="D1074" s="72" t="n">
        <f aca="false">(D1038+D1039*MSIG_USD)/D1068</f>
        <v>0.276870528593324</v>
      </c>
      <c r="E1074" s="72" t="n">
        <f aca="false">(E1038+E1039*MSIG_USD)/E1068</f>
        <v>0.28266383450058</v>
      </c>
      <c r="F1074" s="72" t="n">
        <f aca="false">(F1038+F1039*MSIG_USD)/F1068</f>
        <v>0.311359187521054</v>
      </c>
      <c r="G1074" s="72" t="n">
        <f aca="false">(G1038+G1039*MSIG_USD)/G1068</f>
        <v>0.317056649955627</v>
      </c>
      <c r="H1074" s="72" t="n">
        <f aca="false">(H1038+H1039*MSIG_USD)/H1068</f>
        <v>0.348156245204978</v>
      </c>
      <c r="I1074" s="72" t="n">
        <f aca="false">(I1038+I1039*MSIG_USD)/I1068</f>
        <v>0.353475736136212</v>
      </c>
      <c r="J1074" s="72" t="n">
        <f aca="false">(J1038+J1039*MSIG_USD)/J1068</f>
        <v>0.375941280958887</v>
      </c>
      <c r="K1074" s="72" t="n">
        <f aca="false">(K1038+K1039*MSIG_USD)/K1068</f>
        <v>0.3813141693629</v>
      </c>
      <c r="L1074" s="72" t="n">
        <f aca="false">(L1038+L1039*MSIG_USD)/L1068</f>
        <v>0.398175869276608</v>
      </c>
      <c r="M1074" s="72" t="n">
        <f aca="false">(M1038+M1039*MSIG_USD)/M1068</f>
        <v>0.403771488580006</v>
      </c>
      <c r="N1074" s="72" t="n">
        <f aca="false">(N1038+N1039*MSIG_USD)/N1068</f>
        <v>0.419662950606206</v>
      </c>
      <c r="O1074" s="72" t="n">
        <f aca="false">(O1038+O1039*MSIG_USD)/O1068</f>
        <v>0.425515599155788</v>
      </c>
    </row>
    <row r="1075" customFormat="false" ht="15" hidden="false" customHeight="false" outlineLevel="0" collapsed="false">
      <c r="B1075" s="65" t="s">
        <v>1071</v>
      </c>
      <c r="C1075" s="25"/>
      <c r="D1075" s="65" t="n">
        <f aca="false">IF(AND($R$9&lt;0.5*Collecte_norm,IF(D1019&lt;=$R$11,0,$R$10)&lt;0.5,IF(D1019&lt;=4,$R$17,($R$18+$R$19)/2)&lt;0.7),1,0)</f>
        <v>0</v>
      </c>
      <c r="E1075" s="65" t="n">
        <f aca="false">IF(AND($R$9&lt;0.5*Collecte_norm,IF(E1019&lt;=$R$11,0,$R$10)&lt;0.5,IF(E1019&lt;=4,$R$17,($R$18+$R$19)/2)&lt;0.7),1,0)</f>
        <v>0</v>
      </c>
      <c r="F1075" s="65" t="n">
        <f aca="false">IF(AND($R$9&lt;0.5*Collecte_norm,IF(F1019&lt;=$R$11,0,$R$10)&lt;0.5,IF(F1019&lt;=4,$R$17,($R$18+$R$19)/2)&lt;0.7),1,0)</f>
        <v>0</v>
      </c>
      <c r="G1075" s="65" t="n">
        <f aca="false">IF(AND($R$9&lt;0.5*Collecte_norm,IF(G1019&lt;=$R$11,0,$R$10)&lt;0.5,IF(G1019&lt;=4,$R$17,($R$18+$R$19)/2)&lt;0.7),1,0)</f>
        <v>0</v>
      </c>
      <c r="H1075" s="65" t="n">
        <f aca="false">IF(AND($R$9&lt;0.5*Collecte_norm,IF(H1019&lt;=$R$11,0,$R$10)&lt;0.5,IF(H1019&lt;=4,$R$17,($R$18+$R$19)/2)&lt;0.7),1,0)</f>
        <v>0</v>
      </c>
      <c r="I1075" s="65" t="n">
        <f aca="false">IF(AND($R$9&lt;0.5*Collecte_norm,IF(I1019&lt;=$R$11,0,$R$10)&lt;0.5,IF(I1019&lt;=4,$R$17,($R$18+$R$19)/2)&lt;0.7),1,0)</f>
        <v>0</v>
      </c>
      <c r="J1075" s="65" t="n">
        <f aca="false">IF(AND($R$9&lt;0.5*Collecte_norm,IF(J1019&lt;=$R$11,0,$R$10)&lt;0.5,IF(J1019&lt;=4,$R$17,($R$18+$R$19)/2)&lt;0.7),1,0)</f>
        <v>0</v>
      </c>
      <c r="K1075" s="65" t="n">
        <f aca="false">IF(AND($R$9&lt;0.5*Collecte_norm,IF(K1019&lt;=$R$11,0,$R$10)&lt;0.5,IF(K1019&lt;=4,$R$17,($R$18+$R$19)/2)&lt;0.7),1,0)</f>
        <v>0</v>
      </c>
      <c r="L1075" s="65" t="n">
        <f aca="false">IF(AND($R$9&lt;0.5*Collecte_norm,IF(L1019&lt;=$R$11,0,$R$10)&lt;0.5,IF(L1019&lt;=4,$R$17,($R$18+$R$19)/2)&lt;0.7),1,0)</f>
        <v>0</v>
      </c>
      <c r="M1075" s="65" t="n">
        <f aca="false">IF(AND($R$9&lt;0.5*Collecte_norm,IF(M1019&lt;=$R$11,0,$R$10)&lt;0.5,IF(M1019&lt;=4,$R$17,($R$18+$R$19)/2)&lt;0.7),1,0)</f>
        <v>0</v>
      </c>
      <c r="N1075" s="65" t="n">
        <f aca="false">IF(AND($R$9&lt;0.5*Collecte_norm,IF(N1019&lt;=$R$11,0,$R$10)&lt;0.5,IF(N1019&lt;=4,$R$17,($R$18+$R$19)/2)&lt;0.7),1,0)</f>
        <v>0</v>
      </c>
      <c r="O1075" s="65" t="n">
        <f aca="false">IF(AND($R$9&lt;0.5*Collecte_norm,IF(O1019&lt;=$R$11,0,$R$10)&lt;0.5,IF(O1019&lt;=4,$R$17,($R$18+$R$19)/2)&lt;0.7),1,0)</f>
        <v>0</v>
      </c>
    </row>
    <row r="1076" customFormat="false" ht="15" hidden="false" customHeight="false" outlineLevel="0" collapsed="false">
      <c r="B1076" s="76" t="s">
        <v>1072</v>
      </c>
      <c r="C1076" s="76" t="n">
        <v>99</v>
      </c>
      <c r="D1076" s="76" t="n">
        <f aca="false">IF(D1036=1,D1022,99)</f>
        <v>99</v>
      </c>
      <c r="E1076" s="76" t="n">
        <f aca="false">IF(E1036=1,E1022,99)</f>
        <v>99</v>
      </c>
      <c r="F1076" s="76" t="n">
        <f aca="false">IF(F1036=1,F1022,99)</f>
        <v>99</v>
      </c>
      <c r="G1076" s="76" t="n">
        <f aca="false">IF(G1036=1,G1022,99)</f>
        <v>99</v>
      </c>
      <c r="H1076" s="76" t="n">
        <f aca="false">IF(H1036=1,H1022,99)</f>
        <v>99</v>
      </c>
      <c r="I1076" s="76" t="n">
        <f aca="false">IF(I1036=1,I1022,99)</f>
        <v>99</v>
      </c>
      <c r="J1076" s="76" t="n">
        <f aca="false">IF(J1036=1,J1022,99)</f>
        <v>99</v>
      </c>
      <c r="K1076" s="76" t="n">
        <f aca="false">IF(K1036=1,K1022,99)</f>
        <v>99</v>
      </c>
      <c r="L1076" s="76" t="n">
        <f aca="false">IF(L1036=1,L1022,99)</f>
        <v>99</v>
      </c>
      <c r="M1076" s="76" t="n">
        <f aca="false">IF(M1036=1,M1022,99)</f>
        <v>99</v>
      </c>
      <c r="N1076" s="76" t="n">
        <f aca="false">IF(N1036=1,N1022,99)</f>
        <v>99</v>
      </c>
      <c r="O1076" s="76" t="n">
        <f aca="false">IF(O1036=1,O1022,99)</f>
        <v>99</v>
      </c>
    </row>
    <row r="1077" customFormat="false" ht="15" hidden="false" customHeight="false" outlineLevel="0" collapsed="false">
      <c r="B1077" s="76" t="s">
        <v>1073</v>
      </c>
      <c r="C1077" s="76" t="n">
        <v>99</v>
      </c>
      <c r="D1077" s="76" t="n">
        <f aca="false">IF(AND(D1021=1,D1022&gt;MIN($D1076:$O1076),D1035&lt;=0.000001),D1022,99)</f>
        <v>99</v>
      </c>
      <c r="E1077" s="76" t="n">
        <f aca="false">IF(AND(E1021=1,E1022&gt;MIN($D1076:$O1076),E1035&lt;=0.000001),E1022,99)</f>
        <v>99</v>
      </c>
      <c r="F1077" s="76" t="n">
        <f aca="false">IF(AND(F1021=1,F1022&gt;MIN($D1076:$O1076),F1035&lt;=0.000001),F1022,99)</f>
        <v>99</v>
      </c>
      <c r="G1077" s="76" t="n">
        <f aca="false">IF(AND(G1021=1,G1022&gt;MIN($D1076:$O1076),G1035&lt;=0.000001),G1022,99)</f>
        <v>99</v>
      </c>
      <c r="H1077" s="76" t="n">
        <f aca="false">IF(AND(H1021=1,H1022&gt;MIN($D1076:$O1076),H1035&lt;=0.000001),H1022,99)</f>
        <v>99</v>
      </c>
      <c r="I1077" s="76" t="n">
        <f aca="false">IF(AND(I1021=1,I1022&gt;MIN($D1076:$O1076),I1035&lt;=0.000001),I1022,99)</f>
        <v>99</v>
      </c>
      <c r="J1077" s="76" t="n">
        <f aca="false">IF(AND(J1021=1,J1022&gt;MIN($D1076:$O1076),J1035&lt;=0.000001),J1022,99)</f>
        <v>99</v>
      </c>
      <c r="K1077" s="76" t="n">
        <f aca="false">IF(AND(K1021=1,K1022&gt;MIN($D1076:$O1076),K1035&lt;=0.000001),K1022,99)</f>
        <v>99</v>
      </c>
      <c r="L1077" s="76" t="n">
        <f aca="false">IF(AND(L1021=1,L1022&gt;MIN($D1076:$O1076),L1035&lt;=0.000001),L1022,99)</f>
        <v>99</v>
      </c>
      <c r="M1077" s="76" t="n">
        <f aca="false">IF(AND(M1021=1,M1022&gt;MIN($D1076:$O1076),M1035&lt;=0.000001),M1022,99)</f>
        <v>99</v>
      </c>
      <c r="N1077" s="76" t="n">
        <f aca="false">IF(AND(N1021=1,N1022&gt;MIN($D1076:$O1076),N1035&lt;=0.000001),N1022,99)</f>
        <v>99</v>
      </c>
      <c r="O1077" s="76" t="n">
        <f aca="false">IF(AND(O1021=1,O1022&gt;MIN($D1076:$O1076),O1035&lt;=0.000001),O1022,99)</f>
        <v>99</v>
      </c>
    </row>
    <row r="1078" customFormat="false" ht="15" hidden="false" customHeight="false" outlineLevel="0" collapsed="false">
      <c r="B1078" s="76" t="s">
        <v>1074</v>
      </c>
      <c r="C1078" s="76" t="n">
        <v>9999999</v>
      </c>
      <c r="D1078" s="76" t="n">
        <f aca="false">IF(D1033=1,D1020,9999999)</f>
        <v>9999999</v>
      </c>
      <c r="E1078" s="76" t="n">
        <f aca="false">IF(E1033=1,E1020,9999999)</f>
        <v>9999999</v>
      </c>
      <c r="F1078" s="76" t="n">
        <f aca="false">IF(F1033=1,F1020,9999999)</f>
        <v>9999999</v>
      </c>
      <c r="G1078" s="76" t="n">
        <f aca="false">IF(G1033=1,G1020,9999999)</f>
        <v>9999999</v>
      </c>
      <c r="H1078" s="76" t="n">
        <f aca="false">IF(H1033=1,H1020,9999999)</f>
        <v>9999999</v>
      </c>
      <c r="I1078" s="76" t="n">
        <f aca="false">IF(I1033=1,I1020,9999999)</f>
        <v>9999999</v>
      </c>
      <c r="J1078" s="76" t="n">
        <f aca="false">IF(J1033=1,J1020,9999999)</f>
        <v>9999999</v>
      </c>
      <c r="K1078" s="76" t="n">
        <f aca="false">IF(K1033=1,K1020,9999999)</f>
        <v>9999999</v>
      </c>
      <c r="L1078" s="76" t="n">
        <f aca="false">IF(L1033=1,L1020,9999999)</f>
        <v>9999999</v>
      </c>
      <c r="M1078" s="76" t="n">
        <f aca="false">IF(M1033=1,M1020,9999999)</f>
        <v>9999999</v>
      </c>
      <c r="N1078" s="76" t="n">
        <f aca="false">IF(N1033=1,N1020,9999999)</f>
        <v>9999999</v>
      </c>
      <c r="O1078" s="76" t="n">
        <f aca="false">IF(O1033=1,O1020,9999999)</f>
        <v>9999999</v>
      </c>
    </row>
    <row r="1079" customFormat="false" ht="15" hidden="false" customHeight="false" outlineLevel="0" collapsed="false">
      <c r="B1079" s="76" t="s">
        <v>1075</v>
      </c>
      <c r="C1079" s="76" t="n">
        <v>9999999</v>
      </c>
      <c r="D1079" s="76" t="n">
        <f aca="false">IF(D1075=1,D1020,9999999)</f>
        <v>9999999</v>
      </c>
      <c r="E1079" s="76" t="n">
        <f aca="false">IF(E1075=1,E1020,9999999)</f>
        <v>9999999</v>
      </c>
      <c r="F1079" s="76" t="n">
        <f aca="false">IF(F1075=1,F1020,9999999)</f>
        <v>9999999</v>
      </c>
      <c r="G1079" s="76" t="n">
        <f aca="false">IF(G1075=1,G1020,9999999)</f>
        <v>9999999</v>
      </c>
      <c r="H1079" s="76" t="n">
        <f aca="false">IF(H1075=1,H1020,9999999)</f>
        <v>9999999</v>
      </c>
      <c r="I1079" s="76" t="n">
        <f aca="false">IF(I1075=1,I1020,9999999)</f>
        <v>9999999</v>
      </c>
      <c r="J1079" s="76" t="n">
        <f aca="false">IF(J1075=1,J1020,9999999)</f>
        <v>9999999</v>
      </c>
      <c r="K1079" s="76" t="n">
        <f aca="false">IF(K1075=1,K1020,9999999)</f>
        <v>9999999</v>
      </c>
      <c r="L1079" s="76" t="n">
        <f aca="false">IF(L1075=1,L1020,9999999)</f>
        <v>9999999</v>
      </c>
      <c r="M1079" s="76" t="n">
        <f aca="false">IF(M1075=1,M1020,9999999)</f>
        <v>9999999</v>
      </c>
      <c r="N1079" s="76" t="n">
        <f aca="false">IF(N1075=1,N1020,9999999)</f>
        <v>9999999</v>
      </c>
      <c r="O1079" s="76" t="n">
        <f aca="false">IF(O1075=1,O1020,9999999)</f>
        <v>9999999</v>
      </c>
    </row>
    <row r="1084" customFormat="false" ht="15" hidden="false" customHeight="false" outlineLevel="0" collapsed="false">
      <c r="B1084" s="45" t="str">
        <f aca="false">S$5</f>
        <v>Sans plafonnement 10 % par date</v>
      </c>
      <c r="C1084" s="45" t="s">
        <v>55</v>
      </c>
      <c r="D1084" s="45" t="n">
        <v>17</v>
      </c>
      <c r="E1084" s="2"/>
      <c r="F1084" s="2"/>
      <c r="G1084" s="2"/>
      <c r="H1084" s="2"/>
      <c r="I1084" s="2"/>
      <c r="J1084" s="2"/>
      <c r="K1084" s="2"/>
      <c r="L1084" s="2"/>
      <c r="M1084" s="2"/>
      <c r="N1084" s="2"/>
      <c r="O1084" s="2"/>
    </row>
    <row r="1085" customFormat="false" ht="15" hidden="false" customHeight="false" outlineLevel="0" collapsed="false">
      <c r="B1085" s="65" t="s">
        <v>1019</v>
      </c>
      <c r="C1085" s="65" t="n">
        <v>0</v>
      </c>
      <c r="D1085" s="65" t="n">
        <v>1</v>
      </c>
      <c r="E1085" s="65" t="n">
        <v>2</v>
      </c>
      <c r="F1085" s="65" t="n">
        <v>3</v>
      </c>
      <c r="G1085" s="65" t="n">
        <v>4</v>
      </c>
      <c r="H1085" s="65" t="n">
        <v>5</v>
      </c>
      <c r="I1085" s="65" t="n">
        <v>6</v>
      </c>
      <c r="J1085" s="65" t="n">
        <v>7</v>
      </c>
      <c r="K1085" s="65" t="n">
        <v>8</v>
      </c>
      <c r="L1085" s="65" t="n">
        <v>9</v>
      </c>
      <c r="M1085" s="65" t="n">
        <v>10</v>
      </c>
      <c r="N1085" s="65" t="n">
        <v>11</v>
      </c>
      <c r="O1085" s="65" t="n">
        <v>12</v>
      </c>
    </row>
    <row r="1086" customFormat="false" ht="15" hidden="false" customHeight="false" outlineLevel="0" collapsed="false">
      <c r="B1086" s="65" t="s">
        <v>209</v>
      </c>
      <c r="C1086" s="71" t="n">
        <f aca="false">Date_depart</f>
        <v>47026</v>
      </c>
      <c r="D1086" s="71" t="n">
        <f aca="false">EOMONTH(Date_depart,3*D1085)</f>
        <v>47118</v>
      </c>
      <c r="E1086" s="71" t="n">
        <f aca="false">EOMONTH(Date_depart,3*E1085)</f>
        <v>47208</v>
      </c>
      <c r="F1086" s="71" t="n">
        <f aca="false">EOMONTH(Date_depart,3*F1085)</f>
        <v>47299</v>
      </c>
      <c r="G1086" s="71" t="n">
        <f aca="false">EOMONTH(Date_depart,3*G1085)</f>
        <v>47391</v>
      </c>
      <c r="H1086" s="71" t="n">
        <f aca="false">EOMONTH(Date_depart,3*H1085)</f>
        <v>47483</v>
      </c>
      <c r="I1086" s="71" t="n">
        <f aca="false">EOMONTH(Date_depart,3*I1085)</f>
        <v>47573</v>
      </c>
      <c r="J1086" s="71" t="n">
        <f aca="false">EOMONTH(Date_depart,3*J1085)</f>
        <v>47664</v>
      </c>
      <c r="K1086" s="71" t="n">
        <f aca="false">EOMONTH(Date_depart,3*K1085)</f>
        <v>47756</v>
      </c>
      <c r="L1086" s="71" t="n">
        <f aca="false">EOMONTH(Date_depart,3*L1085)</f>
        <v>47848</v>
      </c>
      <c r="M1086" s="71" t="n">
        <f aca="false">EOMONTH(Date_depart,3*M1085)</f>
        <v>47938</v>
      </c>
      <c r="N1086" s="71" t="n">
        <f aca="false">EOMONTH(Date_depart,3*N1085)</f>
        <v>48029</v>
      </c>
      <c r="O1086" s="71" t="n">
        <f aca="false">EOMONTH(Date_depart,3*O1085)</f>
        <v>48121</v>
      </c>
    </row>
    <row r="1087" customFormat="false" ht="15" hidden="false" customHeight="false" outlineLevel="0" collapsed="false">
      <c r="B1087" s="65" t="s">
        <v>1020</v>
      </c>
      <c r="C1087" s="65" t="n">
        <v>0</v>
      </c>
      <c r="D1087" s="65" t="n">
        <f aca="false">IF(OR(MONTH(D1086)=6,MONTH(D1086)=12),1,0)</f>
        <v>1</v>
      </c>
      <c r="E1087" s="65" t="n">
        <f aca="false">IF(OR(MONTH(E1086)=6,MONTH(E1086)=12),1,0)</f>
        <v>0</v>
      </c>
      <c r="F1087" s="65" t="n">
        <f aca="false">IF(OR(MONTH(F1086)=6,MONTH(F1086)=12),1,0)</f>
        <v>1</v>
      </c>
      <c r="G1087" s="65" t="n">
        <f aca="false">IF(OR(MONTH(G1086)=6,MONTH(G1086)=12),1,0)</f>
        <v>0</v>
      </c>
      <c r="H1087" s="65" t="n">
        <f aca="false">IF(OR(MONTH(H1086)=6,MONTH(H1086)=12),1,0)</f>
        <v>1</v>
      </c>
      <c r="I1087" s="65" t="n">
        <f aca="false">IF(OR(MONTH(I1086)=6,MONTH(I1086)=12),1,0)</f>
        <v>0</v>
      </c>
      <c r="J1087" s="65" t="n">
        <f aca="false">IF(OR(MONTH(J1086)=6,MONTH(J1086)=12),1,0)</f>
        <v>1</v>
      </c>
      <c r="K1087" s="65" t="n">
        <f aca="false">IF(OR(MONTH(K1086)=6,MONTH(K1086)=12),1,0)</f>
        <v>0</v>
      </c>
      <c r="L1087" s="65" t="n">
        <f aca="false">IF(OR(MONTH(L1086)=6,MONTH(L1086)=12),1,0)</f>
        <v>1</v>
      </c>
      <c r="M1087" s="65" t="n">
        <f aca="false">IF(OR(MONTH(M1086)=6,MONTH(M1086)=12),1,0)</f>
        <v>0</v>
      </c>
      <c r="N1087" s="65" t="n">
        <f aca="false">IF(OR(MONTH(N1086)=6,MONTH(N1086)=12),1,0)</f>
        <v>1</v>
      </c>
      <c r="O1087" s="65" t="n">
        <f aca="false">IF(OR(MONTH(O1086)=6,MONTH(O1086)=12),1,0)</f>
        <v>0</v>
      </c>
    </row>
    <row r="1088" customFormat="false" ht="15" hidden="false" customHeight="false" outlineLevel="0" collapsed="false">
      <c r="B1088" s="65" t="s">
        <v>1021</v>
      </c>
      <c r="C1088" s="65" t="n">
        <v>0</v>
      </c>
      <c r="D1088" s="65" t="n">
        <f aca="false">C1088+D1087</f>
        <v>1</v>
      </c>
      <c r="E1088" s="65" t="n">
        <f aca="false">D1088+E1087</f>
        <v>1</v>
      </c>
      <c r="F1088" s="65" t="n">
        <f aca="false">E1088+F1087</f>
        <v>2</v>
      </c>
      <c r="G1088" s="65" t="n">
        <f aca="false">F1088+G1087</f>
        <v>2</v>
      </c>
      <c r="H1088" s="65" t="n">
        <f aca="false">G1088+H1087</f>
        <v>3</v>
      </c>
      <c r="I1088" s="65" t="n">
        <f aca="false">H1088+I1087</f>
        <v>3</v>
      </c>
      <c r="J1088" s="65" t="n">
        <f aca="false">I1088+J1087</f>
        <v>4</v>
      </c>
      <c r="K1088" s="65" t="n">
        <f aca="false">J1088+K1087</f>
        <v>4</v>
      </c>
      <c r="L1088" s="65" t="n">
        <f aca="false">K1088+L1087</f>
        <v>5</v>
      </c>
      <c r="M1088" s="65" t="n">
        <f aca="false">L1088+M1087</f>
        <v>5</v>
      </c>
      <c r="N1088" s="65" t="n">
        <f aca="false">M1088+N1087</f>
        <v>6</v>
      </c>
      <c r="O1088" s="65" t="n">
        <f aca="false">N1088+O1087</f>
        <v>6</v>
      </c>
    </row>
    <row r="1089" customFormat="false" ht="15" hidden="false" customHeight="false" outlineLevel="0" collapsed="false">
      <c r="B1089" s="65" t="s">
        <v>1022</v>
      </c>
      <c r="C1089" s="25"/>
      <c r="D1089" s="72" t="n">
        <f aca="false">IF(D1087=1,IF(C1099=1,0,IF(D1088=1,$S$6,IF(D1088=2,$S$7,$S$8))),0)</f>
        <v>0.1</v>
      </c>
      <c r="E1089" s="72" t="n">
        <f aca="false">IF(E1087=1,IF(D1099=1,0,IF(E1088=1,$S$6,IF(E1088=2,$S$7,$S$8))),0)</f>
        <v>0</v>
      </c>
      <c r="F1089" s="72" t="n">
        <f aca="false">IF(F1087=1,IF(E1099=1,0,IF(F1088=1,$S$6,IF(F1088=2,$S$7,$S$8))),0)</f>
        <v>0.1</v>
      </c>
      <c r="G1089" s="72" t="n">
        <f aca="false">IF(G1087=1,IF(F1099=1,0,IF(G1088=1,$S$6,IF(G1088=2,$S$7,$S$8))),0)</f>
        <v>0</v>
      </c>
      <c r="H1089" s="72" t="n">
        <f aca="false">IF(H1087=1,IF(G1099=1,0,IF(H1088=1,$S$6,IF(H1088=2,$S$7,$S$8))),0)</f>
        <v>0.1</v>
      </c>
      <c r="I1089" s="72" t="n">
        <f aca="false">IF(I1087=1,IF(H1099=1,0,IF(I1088=1,$S$6,IF(I1088=2,$S$7,$S$8))),0)</f>
        <v>0</v>
      </c>
      <c r="J1089" s="72" t="n">
        <f aca="false">IF(J1087=1,IF(I1099=1,0,IF(J1088=1,$S$6,IF(J1088=2,$S$7,$S$8))),0)</f>
        <v>0.1</v>
      </c>
      <c r="K1089" s="72" t="n">
        <f aca="false">IF(K1087=1,IF(J1099=1,0,IF(K1088=1,$S$6,IF(K1088=2,$S$7,$S$8))),0)</f>
        <v>0</v>
      </c>
      <c r="L1089" s="72" t="n">
        <f aca="false">IF(L1087=1,IF(K1099=1,0,IF(L1088=1,$S$6,IF(L1088=2,$S$7,$S$8))),0)</f>
        <v>0.1</v>
      </c>
      <c r="M1089" s="72" t="n">
        <f aca="false">IF(M1087=1,IF(L1099=1,0,IF(M1088=1,$S$6,IF(M1088=2,$S$7,$S$8))),0)</f>
        <v>0</v>
      </c>
      <c r="N1089" s="72" t="n">
        <f aca="false">IF(N1087=1,IF(M1099=1,0,IF(N1088=1,$S$6,IF(N1088=2,$S$7,$S$8))),0)</f>
        <v>0.1</v>
      </c>
      <c r="O1089" s="72" t="n">
        <f aca="false">IF(O1087=1,IF(N1099=1,0,IF(O1088=1,$S$6,IF(O1088=2,$S$7,$S$8))),0)</f>
        <v>0</v>
      </c>
    </row>
    <row r="1090" customFormat="false" ht="15" hidden="false" customHeight="false" outlineLevel="0" collapsed="false">
      <c r="B1090" s="65" t="s">
        <v>1023</v>
      </c>
      <c r="C1090" s="25"/>
      <c r="D1090" s="73" t="n">
        <f aca="false">C1134</f>
        <v>50000000</v>
      </c>
      <c r="E1090" s="73" t="n">
        <f aca="false">D1134</f>
        <v>45600643.75</v>
      </c>
      <c r="F1090" s="73" t="n">
        <f aca="false">E1134</f>
        <v>46320026.7132813</v>
      </c>
      <c r="G1090" s="73" t="n">
        <f aca="false">F1134</f>
        <v>42408074.998576</v>
      </c>
      <c r="H1090" s="73" t="n">
        <f aca="false">G1134</f>
        <v>43123519.0798854</v>
      </c>
      <c r="I1090" s="73" t="n">
        <f aca="false">H1134</f>
        <v>39263179.7745366</v>
      </c>
      <c r="J1090" s="73" t="n">
        <f aca="false">I1134</f>
        <v>39953850.753436</v>
      </c>
      <c r="K1090" s="73" t="n">
        <f aca="false">J1134</f>
        <v>36339866.0603073</v>
      </c>
      <c r="L1090" s="73" t="n">
        <f aca="false">K1134</f>
        <v>36979180.780423</v>
      </c>
      <c r="M1090" s="73" t="n">
        <f aca="false">L1134</f>
        <v>33612858.215954</v>
      </c>
      <c r="N1090" s="73" t="n">
        <f aca="false">M1134</f>
        <v>34204160.2452788</v>
      </c>
      <c r="O1090" s="73" t="n">
        <f aca="false">N1134</f>
        <v>31069924.5387587</v>
      </c>
    </row>
    <row r="1091" customFormat="false" ht="15" hidden="false" customHeight="false" outlineLevel="0" collapsed="false">
      <c r="B1091" s="65" t="s">
        <v>177</v>
      </c>
      <c r="C1091" s="25"/>
      <c r="D1091" s="73" t="n">
        <f aca="false">IF(C1099=1,0,$S$9*D1090)</f>
        <v>0</v>
      </c>
      <c r="E1091" s="73" t="n">
        <f aca="false">IF(D1099=1,0,$S$9*E1090)</f>
        <v>0</v>
      </c>
      <c r="F1091" s="73" t="n">
        <f aca="false">IF(E1099=1,0,$S$9*F1090)</f>
        <v>0</v>
      </c>
      <c r="G1091" s="73" t="n">
        <f aca="false">IF(F1099=1,0,$S$9*G1090)</f>
        <v>0</v>
      </c>
      <c r="H1091" s="73" t="n">
        <f aca="false">IF(G1099=1,0,$S$9*H1090)</f>
        <v>0</v>
      </c>
      <c r="I1091" s="73" t="n">
        <f aca="false">IF(H1099=1,0,$S$9*I1090)</f>
        <v>0</v>
      </c>
      <c r="J1091" s="73" t="n">
        <f aca="false">IF(I1099=1,0,$S$9*J1090)</f>
        <v>0</v>
      </c>
      <c r="K1091" s="73" t="n">
        <f aca="false">IF(J1099=1,0,$S$9*K1090)</f>
        <v>0</v>
      </c>
      <c r="L1091" s="73" t="n">
        <f aca="false">IF(K1099=1,0,$S$9*L1090)</f>
        <v>0</v>
      </c>
      <c r="M1091" s="73" t="n">
        <f aca="false">IF(L1099=1,0,$S$9*M1090)</f>
        <v>0</v>
      </c>
      <c r="N1091" s="73" t="n">
        <f aca="false">IF(M1099=1,0,$S$9*N1090)</f>
        <v>0</v>
      </c>
      <c r="O1091" s="73" t="n">
        <f aca="false">IF(N1099=1,0,$S$9*O1090)</f>
        <v>0</v>
      </c>
    </row>
    <row r="1092" customFormat="false" ht="15" hidden="false" customHeight="false" outlineLevel="0" collapsed="false">
      <c r="B1092" s="65" t="s">
        <v>1024</v>
      </c>
      <c r="C1092" s="25"/>
      <c r="D1092" s="73" t="n">
        <f aca="false">D1089*D1090</f>
        <v>5000000</v>
      </c>
      <c r="E1092" s="73" t="n">
        <f aca="false">E1089*E1090</f>
        <v>0</v>
      </c>
      <c r="F1092" s="73" t="n">
        <f aca="false">F1089*F1090</f>
        <v>4632002.67132813</v>
      </c>
      <c r="G1092" s="73" t="n">
        <f aca="false">G1089*G1090</f>
        <v>0</v>
      </c>
      <c r="H1092" s="73" t="n">
        <f aca="false">H1089*H1090</f>
        <v>4312351.90798854</v>
      </c>
      <c r="I1092" s="73" t="n">
        <f aca="false">I1089*I1090</f>
        <v>0</v>
      </c>
      <c r="J1092" s="73" t="n">
        <f aca="false">J1089*J1090</f>
        <v>3995385.0753436</v>
      </c>
      <c r="K1092" s="73" t="n">
        <f aca="false">K1089*K1090</f>
        <v>0</v>
      </c>
      <c r="L1092" s="73" t="n">
        <f aca="false">L1089*L1090</f>
        <v>3697918.0780423</v>
      </c>
      <c r="M1092" s="73" t="n">
        <f aca="false">M1089*M1090</f>
        <v>0</v>
      </c>
      <c r="N1092" s="73" t="n">
        <f aca="false">N1089*N1090</f>
        <v>3420416.02452788</v>
      </c>
      <c r="O1092" s="73" t="n">
        <f aca="false">O1089*O1090</f>
        <v>0</v>
      </c>
    </row>
    <row r="1093" customFormat="false" ht="15" hidden="false" customHeight="false" outlineLevel="0" collapsed="false">
      <c r="B1093" s="65" t="s">
        <v>1025</v>
      </c>
      <c r="C1093" s="25"/>
      <c r="D1093" s="73" t="n">
        <f aca="false">C1101</f>
        <v>0</v>
      </c>
      <c r="E1093" s="73" t="n">
        <f aca="false">D1101</f>
        <v>0</v>
      </c>
      <c r="F1093" s="73" t="n">
        <f aca="false">E1101</f>
        <v>0</v>
      </c>
      <c r="G1093" s="73" t="n">
        <f aca="false">F1101</f>
        <v>0</v>
      </c>
      <c r="H1093" s="73" t="n">
        <f aca="false">G1101</f>
        <v>0</v>
      </c>
      <c r="I1093" s="73" t="n">
        <f aca="false">H1101</f>
        <v>0</v>
      </c>
      <c r="J1093" s="73" t="n">
        <f aca="false">I1101</f>
        <v>0</v>
      </c>
      <c r="K1093" s="73" t="n">
        <f aca="false">J1101</f>
        <v>0</v>
      </c>
      <c r="L1093" s="73" t="n">
        <f aca="false">K1101</f>
        <v>0</v>
      </c>
      <c r="M1093" s="73" t="n">
        <f aca="false">L1101</f>
        <v>0</v>
      </c>
      <c r="N1093" s="73" t="n">
        <f aca="false">M1101</f>
        <v>0</v>
      </c>
      <c r="O1093" s="73" t="n">
        <f aca="false">N1101</f>
        <v>0</v>
      </c>
    </row>
    <row r="1094" customFormat="false" ht="15" hidden="false" customHeight="false" outlineLevel="0" collapsed="false">
      <c r="B1094" s="65" t="s">
        <v>1026</v>
      </c>
      <c r="C1094" s="25"/>
      <c r="D1094" s="73" t="n">
        <f aca="false">D1092+D1093</f>
        <v>5000000</v>
      </c>
      <c r="E1094" s="73" t="n">
        <f aca="false">E1092+E1093</f>
        <v>0</v>
      </c>
      <c r="F1094" s="73" t="n">
        <f aca="false">F1092+F1093</f>
        <v>4632002.67132813</v>
      </c>
      <c r="G1094" s="73" t="n">
        <f aca="false">G1092+G1093</f>
        <v>0</v>
      </c>
      <c r="H1094" s="73" t="n">
        <f aca="false">H1092+H1093</f>
        <v>4312351.90798854</v>
      </c>
      <c r="I1094" s="73" t="n">
        <f aca="false">I1092+I1093</f>
        <v>0</v>
      </c>
      <c r="J1094" s="73" t="n">
        <f aca="false">J1092+J1093</f>
        <v>3995385.0753436</v>
      </c>
      <c r="K1094" s="73" t="n">
        <f aca="false">K1092+K1093</f>
        <v>0</v>
      </c>
      <c r="L1094" s="73" t="n">
        <f aca="false">L1092+L1093</f>
        <v>3697918.0780423</v>
      </c>
      <c r="M1094" s="73" t="n">
        <f aca="false">M1092+M1093</f>
        <v>0</v>
      </c>
      <c r="N1094" s="73" t="n">
        <f aca="false">N1092+N1093</f>
        <v>3420416.02452788</v>
      </c>
      <c r="O1094" s="73" t="n">
        <f aca="false">O1092+O1093</f>
        <v>0</v>
      </c>
    </row>
    <row r="1095" customFormat="false" ht="15" hidden="false" customHeight="false" outlineLevel="0" collapsed="false">
      <c r="B1095" s="65" t="s">
        <v>1027</v>
      </c>
      <c r="C1095" s="25"/>
      <c r="D1095" s="73" t="n">
        <f aca="false">IF($S$21=1,Gate*D1090+D1091,D1094)</f>
        <v>5000000</v>
      </c>
      <c r="E1095" s="73" t="n">
        <f aca="false">IF($S$21=1,Gate*E1090+E1091,E1094)</f>
        <v>0</v>
      </c>
      <c r="F1095" s="73" t="n">
        <f aca="false">IF($S$21=1,Gate*F1090+F1091,F1094)</f>
        <v>4632002.67132813</v>
      </c>
      <c r="G1095" s="73" t="n">
        <f aca="false">IF($S$21=1,Gate*G1090+G1091,G1094)</f>
        <v>0</v>
      </c>
      <c r="H1095" s="73" t="n">
        <f aca="false">IF($S$21=1,Gate*H1090+H1091,H1094)</f>
        <v>4312351.90798854</v>
      </c>
      <c r="I1095" s="73" t="n">
        <f aca="false">IF($S$21=1,Gate*I1090+I1091,I1094)</f>
        <v>0</v>
      </c>
      <c r="J1095" s="73" t="n">
        <f aca="false">IF($S$21=1,Gate*J1090+J1091,J1094)</f>
        <v>3995385.0753436</v>
      </c>
      <c r="K1095" s="73" t="n">
        <f aca="false">IF($S$21=1,Gate*K1090+K1091,K1094)</f>
        <v>0</v>
      </c>
      <c r="L1095" s="73" t="n">
        <f aca="false">IF($S$21=1,Gate*L1090+L1091,L1094)</f>
        <v>3697918.0780423</v>
      </c>
      <c r="M1095" s="73" t="n">
        <f aca="false">IF($S$21=1,Gate*M1090+M1091,M1094)</f>
        <v>0</v>
      </c>
      <c r="N1095" s="73" t="n">
        <f aca="false">IF($S$21=1,Gate*N1090+N1091,N1094)</f>
        <v>3420416.02452788</v>
      </c>
      <c r="O1095" s="73" t="n">
        <f aca="false">IF($S$21=1,Gate*O1090+O1091,O1094)</f>
        <v>0</v>
      </c>
    </row>
    <row r="1096" customFormat="false" ht="15" hidden="false" customHeight="false" outlineLevel="0" collapsed="false">
      <c r="B1096" s="65" t="s">
        <v>1028</v>
      </c>
      <c r="C1096" s="25"/>
      <c r="D1096" s="73" t="n">
        <f aca="false">IF(D1087=1,MIN(D1094,D1095),0)</f>
        <v>5000000</v>
      </c>
      <c r="E1096" s="73" t="n">
        <f aca="false">IF(E1087=1,MIN(E1094,E1095),0)</f>
        <v>0</v>
      </c>
      <c r="F1096" s="73" t="n">
        <f aca="false">IF(F1087=1,MIN(F1094,F1095),0)</f>
        <v>4632002.67132813</v>
      </c>
      <c r="G1096" s="73" t="n">
        <f aca="false">IF(G1087=1,MIN(G1094,G1095),0)</f>
        <v>0</v>
      </c>
      <c r="H1096" s="73" t="n">
        <f aca="false">IF(H1087=1,MIN(H1094,H1095),0)</f>
        <v>4312351.90798854</v>
      </c>
      <c r="I1096" s="73" t="n">
        <f aca="false">IF(I1087=1,MIN(I1094,I1095),0)</f>
        <v>0</v>
      </c>
      <c r="J1096" s="73" t="n">
        <f aca="false">IF(J1087=1,MIN(J1094,J1095),0)</f>
        <v>3995385.0753436</v>
      </c>
      <c r="K1096" s="73" t="n">
        <f aca="false">IF(K1087=1,MIN(K1094,K1095),0)</f>
        <v>0</v>
      </c>
      <c r="L1096" s="73" t="n">
        <f aca="false">IF(L1087=1,MIN(L1094,L1095),0)</f>
        <v>3697918.0780423</v>
      </c>
      <c r="M1096" s="73" t="n">
        <f aca="false">IF(M1087=1,MIN(M1094,M1095),0)</f>
        <v>0</v>
      </c>
      <c r="N1096" s="73" t="n">
        <f aca="false">IF(N1087=1,MIN(N1094,N1095),0)</f>
        <v>3420416.02452788</v>
      </c>
      <c r="O1096" s="73" t="n">
        <f aca="false">IF(O1087=1,MIN(O1094,O1095),0)</f>
        <v>0</v>
      </c>
    </row>
    <row r="1097" customFormat="false" ht="15" hidden="false" customHeight="false" outlineLevel="0" collapsed="false">
      <c r="B1097" s="65" t="s">
        <v>1029</v>
      </c>
      <c r="C1097" s="25"/>
      <c r="D1097" s="73" t="n">
        <f aca="false">MAX(0,D1125+D1116+D1117-Poche_min_exec*D1090-D1096-SUM(E1122:F1122)+MAX(0,MIN($S$20*AN_cible,Emprunt_max*D1090)-C1133))</f>
        <v>0</v>
      </c>
      <c r="E1097" s="73" t="n">
        <f aca="false">MAX(0,E1125+E1116+E1117-Poche_min_exec*E1090-E1096-SUM(F1122:G1122)+MAX(0,MIN($S$20*AN_cible,Emprunt_max*E1090)-D1133))</f>
        <v>0</v>
      </c>
      <c r="F1097" s="73" t="n">
        <f aca="false">MAX(0,F1125+F1116+F1117-Poche_min_exec*F1090-F1096-SUM(G1122:H1122)+MAX(0,MIN($S$20*AN_cible,Emprunt_max*F1090)-E1133))</f>
        <v>0</v>
      </c>
      <c r="G1097" s="73" t="n">
        <f aca="false">MAX(0,G1125+G1116+G1117-Poche_min_exec*G1090-G1096-SUM(H1122:I1122)+MAX(0,MIN($S$20*AN_cible,Emprunt_max*G1090)-F1133))</f>
        <v>0</v>
      </c>
      <c r="H1097" s="73" t="n">
        <f aca="false">MAX(0,H1125+H1116+H1117-Poche_min_exec*H1090-H1096-SUM(I1122:J1122)+MAX(0,MIN($S$20*AN_cible,Emprunt_max*H1090)-G1133))</f>
        <v>0</v>
      </c>
      <c r="I1097" s="73" t="n">
        <f aca="false">MAX(0,I1125+I1116+I1117-Poche_min_exec*I1090-I1096-SUM(J1122:K1122)+MAX(0,MIN($S$20*AN_cible,Emprunt_max*I1090)-H1133))</f>
        <v>0</v>
      </c>
      <c r="J1097" s="73" t="n">
        <f aca="false">MAX(0,J1125+J1116+J1117-Poche_min_exec*J1090-J1096-SUM(K1122:L1122)+MAX(0,MIN($S$20*AN_cible,Emprunt_max*J1090)-I1133))</f>
        <v>0</v>
      </c>
      <c r="K1097" s="73" t="n">
        <f aca="false">MAX(0,K1125+K1116+K1117-Poche_min_exec*K1090-K1096-SUM(L1122:M1122)+MAX(0,MIN($S$20*AN_cible,Emprunt_max*K1090)-J1133))</f>
        <v>0</v>
      </c>
      <c r="L1097" s="73" t="n">
        <f aca="false">MAX(0,L1125+L1116+L1117-Poche_min_exec*L1090-L1096-SUM(M1122:N1122)+MAX(0,MIN($S$20*AN_cible,Emprunt_max*L1090)-K1133))</f>
        <v>0</v>
      </c>
      <c r="M1097" s="73" t="n">
        <f aca="false">MAX(0,M1125+M1116+M1117-Poche_min_exec*M1090-M1096-SUM(N1122:O1122)+MAX(0,MIN($S$20*AN_cible,Emprunt_max*M1090)-L1133))</f>
        <v>0</v>
      </c>
      <c r="N1097" s="73" t="n">
        <f aca="false">MAX(0,N1125+N1116+N1117-Poche_min_exec*N1090-N1096-SUM(O1122:O1122)+MAX(0,MIN($S$20*AN_cible,Emprunt_max*N1090)-M1133))</f>
        <v>0</v>
      </c>
      <c r="O1097" s="73" t="n">
        <f aca="false">MAX(0,O1125+O1116+O1117-Poche_min_exec*O1090-O1096-0+MAX(0,MIN($S$20*AN_cible,Emprunt_max*O1090)-N1133))</f>
        <v>0</v>
      </c>
    </row>
    <row r="1098" customFormat="false" ht="15" hidden="false" customHeight="false" outlineLevel="0" collapsed="false">
      <c r="B1098" s="65" t="s">
        <v>1030</v>
      </c>
      <c r="C1098" s="25"/>
      <c r="D1098" s="73" t="n">
        <f aca="false">IF(AND(D1087=1,$S$21=1,$S$22=1),MIN(D1094-D1096,D1097),0)</f>
        <v>0</v>
      </c>
      <c r="E1098" s="73" t="n">
        <f aca="false">IF(AND(E1087=1,$S$21=1,$S$22=1),MIN(E1094-E1096,E1097),0)</f>
        <v>0</v>
      </c>
      <c r="F1098" s="73" t="n">
        <f aca="false">IF(AND(F1087=1,$S$21=1,$S$22=1),MIN(F1094-F1096,F1097),0)</f>
        <v>0</v>
      </c>
      <c r="G1098" s="73" t="n">
        <f aca="false">IF(AND(G1087=1,$S$21=1,$S$22=1),MIN(G1094-G1096,G1097),0)</f>
        <v>0</v>
      </c>
      <c r="H1098" s="73" t="n">
        <f aca="false">IF(AND(H1087=1,$S$21=1,$S$22=1),MIN(H1094-H1096,H1097),0)</f>
        <v>0</v>
      </c>
      <c r="I1098" s="73" t="n">
        <f aca="false">IF(AND(I1087=1,$S$21=1,$S$22=1),MIN(I1094-I1096,I1097),0)</f>
        <v>0</v>
      </c>
      <c r="J1098" s="73" t="n">
        <f aca="false">IF(AND(J1087=1,$S$21=1,$S$22=1),MIN(J1094-J1096,J1097),0)</f>
        <v>0</v>
      </c>
      <c r="K1098" s="73" t="n">
        <f aca="false">IF(AND(K1087=1,$S$21=1,$S$22=1),MIN(K1094-K1096,K1097),0)</f>
        <v>0</v>
      </c>
      <c r="L1098" s="73" t="n">
        <f aca="false">IF(AND(L1087=1,$S$21=1,$S$22=1),MIN(L1094-L1096,L1097),0)</f>
        <v>0</v>
      </c>
      <c r="M1098" s="73" t="n">
        <f aca="false">IF(AND(M1087=1,$S$21=1,$S$22=1),MIN(M1094-M1096,M1097),0)</f>
        <v>0</v>
      </c>
      <c r="N1098" s="73" t="n">
        <f aca="false">IF(AND(N1087=1,$S$21=1,$S$22=1),MIN(N1094-N1096,N1097),0)</f>
        <v>0</v>
      </c>
      <c r="O1098" s="73" t="n">
        <f aca="false">IF(AND(O1087=1,$S$21=1,$S$22=1),MIN(O1094-O1096,O1097),0)</f>
        <v>0</v>
      </c>
    </row>
    <row r="1099" customFormat="false" ht="15" hidden="false" customHeight="false" outlineLevel="0" collapsed="false">
      <c r="B1099" s="65" t="s">
        <v>1031</v>
      </c>
      <c r="C1099" s="65" t="n">
        <v>0</v>
      </c>
      <c r="D1099" s="65" t="n">
        <f aca="false">IF(C1099=1,1,IF(AND(D1087=1,$S$21=1,C1103&gt;=Gate_dates,D1094-D1096-D1098&gt;0.000001),1,0))</f>
        <v>0</v>
      </c>
      <c r="E1099" s="65" t="n">
        <f aca="false">IF(D1099=1,1,IF(AND(E1087=1,$S$21=1,D1103&gt;=Gate_dates,E1094-E1096-E1098&gt;0.000001),1,0))</f>
        <v>0</v>
      </c>
      <c r="F1099" s="65" t="n">
        <f aca="false">IF(E1099=1,1,IF(AND(F1087=1,$S$21=1,E1103&gt;=Gate_dates,F1094-F1096-F1098&gt;0.000001),1,0))</f>
        <v>0</v>
      </c>
      <c r="G1099" s="65" t="n">
        <f aca="false">IF(F1099=1,1,IF(AND(G1087=1,$S$21=1,F1103&gt;=Gate_dates,G1094-G1096-G1098&gt;0.000001),1,0))</f>
        <v>0</v>
      </c>
      <c r="H1099" s="65" t="n">
        <f aca="false">IF(G1099=1,1,IF(AND(H1087=1,$S$21=1,G1103&gt;=Gate_dates,H1094-H1096-H1098&gt;0.000001),1,0))</f>
        <v>0</v>
      </c>
      <c r="I1099" s="65" t="n">
        <f aca="false">IF(H1099=1,1,IF(AND(I1087=1,$S$21=1,H1103&gt;=Gate_dates,I1094-I1096-I1098&gt;0.000001),1,0))</f>
        <v>0</v>
      </c>
      <c r="J1099" s="65" t="n">
        <f aca="false">IF(I1099=1,1,IF(AND(J1087=1,$S$21=1,I1103&gt;=Gate_dates,J1094-J1096-J1098&gt;0.000001),1,0))</f>
        <v>0</v>
      </c>
      <c r="K1099" s="65" t="n">
        <f aca="false">IF(J1099=1,1,IF(AND(K1087=1,$S$21=1,J1103&gt;=Gate_dates,K1094-K1096-K1098&gt;0.000001),1,0))</f>
        <v>0</v>
      </c>
      <c r="L1099" s="65" t="n">
        <f aca="false">IF(K1099=1,1,IF(AND(L1087=1,$S$21=1,K1103&gt;=Gate_dates,L1094-L1096-L1098&gt;0.000001),1,0))</f>
        <v>0</v>
      </c>
      <c r="M1099" s="65" t="n">
        <f aca="false">IF(L1099=1,1,IF(AND(M1087=1,$S$21=1,L1103&gt;=Gate_dates,M1094-M1096-M1098&gt;0.000001),1,0))</f>
        <v>0</v>
      </c>
      <c r="N1099" s="65" t="n">
        <f aca="false">IF(M1099=1,1,IF(AND(N1087=1,$S$21=1,M1103&gt;=Gate_dates,N1094-N1096-N1098&gt;0.000001),1,0))</f>
        <v>0</v>
      </c>
      <c r="O1099" s="65" t="n">
        <f aca="false">IF(N1099=1,1,IF(AND(O1087=1,$S$21=1,N1103&gt;=Gate_dates,O1094-O1096-O1098&gt;0.000001),1,0))</f>
        <v>0</v>
      </c>
    </row>
    <row r="1100" customFormat="false" ht="15" hidden="false" customHeight="false" outlineLevel="0" collapsed="false">
      <c r="B1100" s="65" t="s">
        <v>1032</v>
      </c>
      <c r="C1100" s="25"/>
      <c r="D1100" s="73" t="n">
        <f aca="false">IF(D1099=1,0,D1096+D1098)</f>
        <v>5000000</v>
      </c>
      <c r="E1100" s="73" t="n">
        <f aca="false">IF(E1099=1,0,E1096+E1098)</f>
        <v>0</v>
      </c>
      <c r="F1100" s="73" t="n">
        <f aca="false">IF(F1099=1,0,F1096+F1098)</f>
        <v>4632002.67132813</v>
      </c>
      <c r="G1100" s="73" t="n">
        <f aca="false">IF(G1099=1,0,G1096+G1098)</f>
        <v>0</v>
      </c>
      <c r="H1100" s="73" t="n">
        <f aca="false">IF(H1099=1,0,H1096+H1098)</f>
        <v>4312351.90798854</v>
      </c>
      <c r="I1100" s="73" t="n">
        <f aca="false">IF(I1099=1,0,I1096+I1098)</f>
        <v>0</v>
      </c>
      <c r="J1100" s="73" t="n">
        <f aca="false">IF(J1099=1,0,J1096+J1098)</f>
        <v>3995385.0753436</v>
      </c>
      <c r="K1100" s="73" t="n">
        <f aca="false">IF(K1099=1,0,K1096+K1098)</f>
        <v>0</v>
      </c>
      <c r="L1100" s="73" t="n">
        <f aca="false">IF(L1099=1,0,L1096+L1098)</f>
        <v>3697918.0780423</v>
      </c>
      <c r="M1100" s="73" t="n">
        <f aca="false">IF(M1099=1,0,M1096+M1098)</f>
        <v>0</v>
      </c>
      <c r="N1100" s="73" t="n">
        <f aca="false">IF(N1099=1,0,N1096+N1098)</f>
        <v>3420416.02452788</v>
      </c>
      <c r="O1100" s="73" t="n">
        <f aca="false">IF(O1099=1,0,O1096+O1098)</f>
        <v>0</v>
      </c>
    </row>
    <row r="1101" customFormat="false" ht="15" hidden="false" customHeight="false" outlineLevel="0" collapsed="false">
      <c r="B1101" s="65" t="s">
        <v>1033</v>
      </c>
      <c r="C1101" s="73" t="n">
        <v>0</v>
      </c>
      <c r="D1101" s="73" t="n">
        <f aca="false">D1094-D1100</f>
        <v>0</v>
      </c>
      <c r="E1101" s="73" t="n">
        <f aca="false">E1094-E1100</f>
        <v>0</v>
      </c>
      <c r="F1101" s="73" t="n">
        <f aca="false">F1094-F1100</f>
        <v>0</v>
      </c>
      <c r="G1101" s="73" t="n">
        <f aca="false">G1094-G1100</f>
        <v>0</v>
      </c>
      <c r="H1101" s="73" t="n">
        <f aca="false">H1094-H1100</f>
        <v>0</v>
      </c>
      <c r="I1101" s="73" t="n">
        <f aca="false">I1094-I1100</f>
        <v>0</v>
      </c>
      <c r="J1101" s="73" t="n">
        <f aca="false">J1094-J1100</f>
        <v>0</v>
      </c>
      <c r="K1101" s="73" t="n">
        <f aca="false">K1094-K1100</f>
        <v>0</v>
      </c>
      <c r="L1101" s="73" t="n">
        <f aca="false">L1094-L1100</f>
        <v>0</v>
      </c>
      <c r="M1101" s="73" t="n">
        <f aca="false">M1094-M1100</f>
        <v>0</v>
      </c>
      <c r="N1101" s="73" t="n">
        <f aca="false">N1094-N1100</f>
        <v>0</v>
      </c>
      <c r="O1101" s="73" t="n">
        <f aca="false">O1094-O1100</f>
        <v>0</v>
      </c>
    </row>
    <row r="1102" customFormat="false" ht="15" hidden="false" customHeight="false" outlineLevel="0" collapsed="false">
      <c r="B1102" s="65" t="s">
        <v>1034</v>
      </c>
      <c r="C1102" s="25"/>
      <c r="D1102" s="65" t="n">
        <f aca="false">IF(AND(D1087=1,D1099=0,D1101&gt;0.000001),1,0)</f>
        <v>0</v>
      </c>
      <c r="E1102" s="65" t="n">
        <f aca="false">IF(AND(E1087=1,E1099=0,E1101&gt;0.000001),1,0)</f>
        <v>0</v>
      </c>
      <c r="F1102" s="65" t="n">
        <f aca="false">IF(AND(F1087=1,F1099=0,F1101&gt;0.000001),1,0)</f>
        <v>0</v>
      </c>
      <c r="G1102" s="65" t="n">
        <f aca="false">IF(AND(G1087=1,G1099=0,G1101&gt;0.000001),1,0)</f>
        <v>0</v>
      </c>
      <c r="H1102" s="65" t="n">
        <f aca="false">IF(AND(H1087=1,H1099=0,H1101&gt;0.000001),1,0)</f>
        <v>0</v>
      </c>
      <c r="I1102" s="65" t="n">
        <f aca="false">IF(AND(I1087=1,I1099=0,I1101&gt;0.000001),1,0)</f>
        <v>0</v>
      </c>
      <c r="J1102" s="65" t="n">
        <f aca="false">IF(AND(J1087=1,J1099=0,J1101&gt;0.000001),1,0)</f>
        <v>0</v>
      </c>
      <c r="K1102" s="65" t="n">
        <f aca="false">IF(AND(K1087=1,K1099=0,K1101&gt;0.000001),1,0)</f>
        <v>0</v>
      </c>
      <c r="L1102" s="65" t="n">
        <f aca="false">IF(AND(L1087=1,L1099=0,L1101&gt;0.000001),1,0)</f>
        <v>0</v>
      </c>
      <c r="M1102" s="65" t="n">
        <f aca="false">IF(AND(M1087=1,M1099=0,M1101&gt;0.000001),1,0)</f>
        <v>0</v>
      </c>
      <c r="N1102" s="65" t="n">
        <f aca="false">IF(AND(N1087=1,N1099=0,N1101&gt;0.000001),1,0)</f>
        <v>0</v>
      </c>
      <c r="O1102" s="65" t="n">
        <f aca="false">IF(AND(O1087=1,O1099=0,O1101&gt;0.000001),1,0)</f>
        <v>0</v>
      </c>
    </row>
    <row r="1103" customFormat="false" ht="15" hidden="false" customHeight="false" outlineLevel="0" collapsed="false">
      <c r="B1103" s="65" t="s">
        <v>843</v>
      </c>
      <c r="C1103" s="65" t="n">
        <v>0</v>
      </c>
      <c r="D1103" s="65" t="n">
        <f aca="false">IF(D1087=1,IF(D1102=1,C1103+1,0),C1103)</f>
        <v>0</v>
      </c>
      <c r="E1103" s="65" t="n">
        <f aca="false">IF(E1087=1,IF(E1102=1,D1103+1,0),D1103)</f>
        <v>0</v>
      </c>
      <c r="F1103" s="65" t="n">
        <f aca="false">IF(F1087=1,IF(F1102=1,E1103+1,0),E1103)</f>
        <v>0</v>
      </c>
      <c r="G1103" s="65" t="n">
        <f aca="false">IF(G1087=1,IF(G1102=1,F1103+1,0),F1103)</f>
        <v>0</v>
      </c>
      <c r="H1103" s="65" t="n">
        <f aca="false">IF(H1087=1,IF(H1102=1,G1103+1,0),G1103)</f>
        <v>0</v>
      </c>
      <c r="I1103" s="65" t="n">
        <f aca="false">IF(I1087=1,IF(I1102=1,H1103+1,0),H1103)</f>
        <v>0</v>
      </c>
      <c r="J1103" s="65" t="n">
        <f aca="false">IF(J1087=1,IF(J1102=1,I1103+1,0),I1103)</f>
        <v>0</v>
      </c>
      <c r="K1103" s="65" t="n">
        <f aca="false">IF(K1087=1,IF(K1102=1,J1103+1,0),J1103)</f>
        <v>0</v>
      </c>
      <c r="L1103" s="65" t="n">
        <f aca="false">IF(L1087=1,IF(L1102=1,K1103+1,0),K1103)</f>
        <v>0</v>
      </c>
      <c r="M1103" s="65" t="n">
        <f aca="false">IF(M1087=1,IF(M1102=1,L1103+1,0),L1103)</f>
        <v>0</v>
      </c>
      <c r="N1103" s="65" t="n">
        <f aca="false">IF(N1087=1,IF(N1102=1,M1103+1,0),M1103)</f>
        <v>0</v>
      </c>
      <c r="O1103" s="65" t="n">
        <f aca="false">IF(O1087=1,IF(O1102=1,N1103+1,0),N1103)</f>
        <v>0</v>
      </c>
    </row>
    <row r="1104" customFormat="false" ht="15" hidden="false" customHeight="false" outlineLevel="0" collapsed="false">
      <c r="B1104" s="65" t="s">
        <v>1035</v>
      </c>
      <c r="C1104" s="73" t="n">
        <f aca="false">AN_cible*Ws_MAPIF</f>
        <v>12500000</v>
      </c>
      <c r="D1104" s="73" t="n">
        <f aca="false">C1104*(1+Rend_MAPIF/4)*IF(D1085=1,(1-(Cap_MAPIF*$S$15+(1-Cap_MAPIF)*$S$16))*(1+1*$S$14),1)+D1114-D1108-D1129*IF((C1104+C1105+C1106+C1107)&gt;0,C1104/(C1104+C1105+C1106+C1107),0)</f>
        <v>12971562.5</v>
      </c>
      <c r="E1104" s="73" t="n">
        <f aca="false">D1104*(1+Rend_MAPIF/4)*IF(E1085=1,(1-(Cap_MAPIF*$S$15+(1-Cap_MAPIF)*$S$16))*(1+1*$S$14),1)+E1114-E1108-E1129*IF((D1104+D1105+D1106+D1107)&gt;0,D1104/(D1104+D1105+D1106+D1107),0)</f>
        <v>13446767.8203125</v>
      </c>
      <c r="F1104" s="73" t="n">
        <f aca="false">E1104*(1+Rend_MAPIF/4)*IF(F1085=1,(1-(Cap_MAPIF*$S$15+(1-Cap_MAPIF)*$S$16))*(1+1*$S$14),1)+F1114-F1108-F1129*IF((E1104+E1105+E1106+E1107)&gt;0,E1104/(E1104+E1105+E1106+E1107),0)</f>
        <v>13925644.1017244</v>
      </c>
      <c r="G1104" s="73" t="n">
        <f aca="false">F1104*(1+Rend_MAPIF/4)*IF(G1085=1,(1-(Cap_MAPIF*$S$15+(1-Cap_MAPIF)*$S$16))*(1+1*$S$14),1)+G1114-G1108-G1129*IF((F1104+F1105+F1106+F1107)&gt;0,F1104/(F1104+F1105+F1106+F1107),0)</f>
        <v>14408219.7024102</v>
      </c>
      <c r="H1104" s="73" t="n">
        <f aca="false">G1104*(1+Rend_MAPIF/4)*IF(H1085=1,(1-(Cap_MAPIF*$S$15+(1-Cap_MAPIF)*$S$16))*(1+1*$S$14),1)+H1114-H1108-H1129*IF((G1104+G1105+G1106+G1107)&gt;0,G1104/(G1104+G1105+G1106+G1107),0)</f>
        <v>13900752.9815474</v>
      </c>
      <c r="I1104" s="73" t="n">
        <f aca="false">H1104*(1+Rend_MAPIF/4)*IF(I1085=1,(1-(Cap_MAPIF*$S$15+(1-Cap_MAPIF)*$S$16))*(1+1*$S$14),1)+I1114-I1108-I1129*IF((H1104+H1105+H1106+H1107)&gt;0,H1104/(H1104+H1105+H1106+H1107),0)</f>
        <v>14383136.2983299</v>
      </c>
      <c r="J1104" s="73" t="n">
        <f aca="false">I1104*(1+Rend_MAPIF/4)*IF(J1085=1,(1-(Cap_MAPIF*$S$15+(1-Cap_MAPIF)*$S$16))*(1+1*$S$14),1)+J1114-J1108-J1129*IF((I1104+I1105+I1106+I1107)&gt;0,I1104/(I1104+I1105+I1106+I1107),0)</f>
        <v>13730481.2741471</v>
      </c>
      <c r="K1104" s="73" t="n">
        <f aca="false">J1104*(1+Rend_MAPIF/4)*IF(K1085=1,(1-(Cap_MAPIF*$S$15+(1-Cap_MAPIF)*$S$16))*(1+1*$S$14),1)+K1114-K1108-K1129*IF((J1104+J1105+J1106+J1107)&gt;0,J1104/(J1104+J1105+J1106+J1107),0)</f>
        <v>14211549.2419899</v>
      </c>
      <c r="L1104" s="73" t="n">
        <f aca="false">K1104*(1+Rend_MAPIF/4)*IF(L1085=1,(1-(Cap_MAPIF*$S$15+(1-Cap_MAPIF)*$S$16))*(1+1*$S$14),1)+L1114-L1108-L1129*IF((K1104+K1105+K1106+K1107)&gt;0,K1104/(K1104+K1105+K1106+K1107),0)</f>
        <v>13484320.2002149</v>
      </c>
      <c r="M1104" s="73" t="n">
        <f aca="false">L1104*(1+Rend_MAPIF/4)*IF(M1085=1,(1-(Cap_MAPIF*$S$15+(1-Cap_MAPIF)*$S$16))*(1+1*$S$14),1)+M1114-M1108-M1129*IF((L1104+L1105+L1106+L1107)&gt;0,L1104/(L1104+L1105+L1106+L1107),0)</f>
        <v>13963486.5737615</v>
      </c>
      <c r="N1104" s="73" t="n">
        <f aca="false">M1104*(1+Rend_MAPIF/4)*IF(N1085=1,(1-(Cap_MAPIF*$S$15+(1-Cap_MAPIF)*$S$16))*(1+1*$S$14),1)+N1114-N1108-N1129*IF((M1104+M1105+M1106+M1107)&gt;0,M1104/(M1104+M1105+M1106+M1107),0)</f>
        <v>13167974.1001949</v>
      </c>
      <c r="O1104" s="73" t="n">
        <f aca="false">N1104*(1+Rend_MAPIF/4)*IF(O1085=1,(1-(Cap_MAPIF*$S$15+(1-Cap_MAPIF)*$S$16))*(1+1*$S$14),1)+O1114-O1108-O1129*IF((N1104+N1105+N1106+N1107)&gt;0,N1104/(N1104+N1105+N1106+N1107),0)</f>
        <v>13644696.700119</v>
      </c>
    </row>
    <row r="1105" customFormat="false" ht="15" hidden="false" customHeight="false" outlineLevel="0" collapsed="false">
      <c r="B1105" s="65" t="s">
        <v>1036</v>
      </c>
      <c r="C1105" s="73" t="n">
        <f aca="false">AN_cible*Ws_MSIG</f>
        <v>5500000</v>
      </c>
      <c r="D1105" s="73" t="n">
        <f aca="false">C1105*(1+Rend_MSIG/4)*IF(D1085=1,(1-(Cap_MSIG*$S$15+(1-Cap_MSIG)*$S$16))*(1+MSIG_USD*$S$14),1)+D1115-D1109-D1129*IF((C1104+C1105+C1106+C1107)&gt;0,C1105/(C1104+C1105+C1106+C1107),0)</f>
        <v>5773237.5</v>
      </c>
      <c r="E1105" s="73" t="n">
        <f aca="false">D1105*(1+Rend_MSIG/4)*IF(E1085=1,(1-(Cap_MSIG*$S$15+(1-Cap_MSIG)*$S$16))*(1+MSIG_USD*$S$14),1)+E1115-E1109-E1129*IF((D1104+D1105+D1106+D1107)&gt;0,D1105/(D1104+D1105+D1106+D1107),0)</f>
        <v>6047629.4284375</v>
      </c>
      <c r="F1105" s="73" t="n">
        <f aca="false">E1105*(1+Rend_MSIG/4)*IF(F1085=1,(1-(Cap_MSIG*$S$15+(1-Cap_MSIG)*$S$16))*(1+MSIG_USD*$S$14),1)+F1115-F1109-F1129*IF((E1104+E1105+E1106+E1107)&gt;0,E1105/(E1104+E1105+E1106+E1107),0)</f>
        <v>6323180.66277265</v>
      </c>
      <c r="G1105" s="73" t="n">
        <f aca="false">F1105*(1+Rend_MSIG/4)*IF(G1085=1,(1-(Cap_MSIG*$S$15+(1-Cap_MSIG)*$S$16))*(1+MSIG_USD*$S$14),1)+G1115-G1109-G1129*IF((F1104+F1105+F1106+F1107)&gt;0,F1105/(F1104+F1105+F1106+F1107),0)</f>
        <v>6599896.10107286</v>
      </c>
      <c r="H1105" s="73" t="n">
        <f aca="false">G1105*(1+Rend_MSIG/4)*IF(H1085=1,(1-(Cap_MSIG*$S$15+(1-Cap_MSIG)*$S$16))*(1+MSIG_USD*$S$14),1)+H1115-H1109-H1129*IF((G1104+G1105+G1106+G1107)&gt;0,G1105/(G1104+G1105+G1106+G1107),0)</f>
        <v>6422569.65595002</v>
      </c>
      <c r="I1105" s="73" t="n">
        <f aca="false">H1105*(1+Rend_MSIG/4)*IF(I1085=1,(1-(Cap_MSIG*$S$15+(1-Cap_MSIG)*$S$16))*(1+MSIG_USD*$S$14),1)+I1115-I1109-I1129*IF((H1104+H1105+H1106+H1107)&gt;0,H1105/(H1104+H1105+H1106+H1107),0)</f>
        <v>6699705.01274641</v>
      </c>
      <c r="J1105" s="73" t="n">
        <f aca="false">I1105*(1+Rend_MSIG/4)*IF(J1085=1,(1-(Cap_MSIG*$S$15+(1-Cap_MSIG)*$S$16))*(1+MSIG_USD*$S$14),1)+J1115-J1109-J1129*IF((I1104+I1105+I1106+I1107)&gt;0,I1105/(I1104+I1105+I1106+I1107),0)</f>
        <v>6447571.46806329</v>
      </c>
      <c r="K1105" s="73" t="n">
        <f aca="false">J1105*(1+Rend_MSIG/4)*IF(K1085=1,(1-(Cap_MSIG*$S$15+(1-Cap_MSIG)*$S$16))*(1+MSIG_USD*$S$14),1)+K1115-K1109-K1129*IF((J1104+J1105+J1106+J1107)&gt;0,J1105/(J1104+J1105+J1106+J1107),0)</f>
        <v>6724812.45751586</v>
      </c>
      <c r="L1105" s="73" t="n">
        <f aca="false">K1105*(1+Rend_MSIG/4)*IF(L1085=1,(1-(Cap_MSIG*$S$15+(1-Cap_MSIG)*$S$16))*(1+MSIG_USD*$S$14),1)+L1115-L1109-L1129*IF((K1104+K1105+K1106+K1107)&gt;0,K1105/(K1104+K1105+K1106+K1107),0)</f>
        <v>6429708.01667726</v>
      </c>
      <c r="M1105" s="73" t="n">
        <f aca="false">L1105*(1+Rend_MSIG/4)*IF(M1085=1,(1-(Cap_MSIG*$S$15+(1-Cap_MSIG)*$S$16))*(1+MSIG_USD*$S$14),1)+M1115-M1109-M1129*IF((L1104+L1105+L1106+L1107)&gt;0,L1105/(L1104+L1105+L1106+L1107),0)</f>
        <v>6706873.53304772</v>
      </c>
      <c r="N1105" s="73" t="n">
        <f aca="false">M1105*(1+Rend_MSIG/4)*IF(N1085=1,(1-(Cap_MSIG*$S$15+(1-Cap_MSIG)*$S$16))*(1+MSIG_USD*$S$14),1)+N1115-N1109-N1129*IF((M1104+M1105+M1106+M1107)&gt;0,M1105/(M1104+M1105+M1106+M1107),0)</f>
        <v>6371184.65293014</v>
      </c>
      <c r="O1105" s="73" t="n">
        <f aca="false">N1105*(1+Rend_MSIG/4)*IF(O1085=1,(1-(Cap_MSIG*$S$15+(1-Cap_MSIG)*$S$16))*(1+MSIG_USD*$S$14),1)+O1115-O1109-O1129*IF((N1104+N1105+N1106+N1107)&gt;0,N1105/(N1104+N1105+N1106+N1107),0)</f>
        <v>6648102.90808877</v>
      </c>
    </row>
    <row r="1106" customFormat="false" ht="15" hidden="false" customHeight="false" outlineLevel="0" collapsed="false">
      <c r="B1106" s="65" t="s">
        <v>1037</v>
      </c>
      <c r="C1106" s="73" t="n">
        <f aca="false">AN_cible*Ws_PG</f>
        <v>12250000</v>
      </c>
      <c r="D1106" s="73" t="n">
        <f aca="false">C1106*(1+Rend_PG/4)*IF(D1085=1,(1-(Cap_PG*$S$15+(1-Cap_PG)*$S$16))*(1+0*$S$14),1)-D1110-D1126*IF((D1116+D1117)&gt;0,D1116/(D1116+D1117),0)+D1131/2-D1129*IF((C1104+C1105+C1106+C1107)&gt;0,C1106/(C1104+C1105+C1106+C1107),0)</f>
        <v>11888931.25</v>
      </c>
      <c r="E1106" s="73" t="n">
        <f aca="false">D1106*(1+Rend_PG/4)*IF(E1085=1,(1-(Cap_PG*$S$15+(1-Cap_PG)*$S$16))*(1+0*$S$14),1)-E1110-E1126*IF((E1116+E1117)&gt;0,E1116/(E1116+E1117),0)+E1131/2-E1129*IF((D1104+D1105+D1106+D1107)&gt;0,D1106/(D1104+D1105+D1106+D1107),0)</f>
        <v>11538505.0014063</v>
      </c>
      <c r="F1106" s="73" t="n">
        <f aca="false">E1106*(1+Rend_PG/4)*IF(F1085=1,(1-(Cap_PG*$S$15+(1-Cap_PG)*$S$16))*(1+0*$S$14),1)-F1110-F1126*IF((F1116+F1117)&gt;0,F1116/(F1116+F1117),0)+F1131/2-F1129*IF((E1104+E1105+E1106+E1107)&gt;0,E1106/(E1104+E1105+E1106+E1107),0)</f>
        <v>11198407.5664898</v>
      </c>
      <c r="G1106" s="73" t="n">
        <f aca="false">F1106*(1+Rend_PG/4)*IF(G1085=1,(1-(Cap_PG*$S$15+(1-Cap_PG)*$S$16))*(1+0*$S$14),1)-G1110-G1126*IF((G1116+G1117)&gt;0,G1116/(G1116+G1117),0)+G1131/2-G1129*IF((F1104+F1105+F1106+F1107)&gt;0,F1106/(F1104+F1105+F1106+F1107),0)</f>
        <v>10868334.5034675</v>
      </c>
      <c r="H1106" s="73" t="n">
        <f aca="false">G1106*(1+Rend_PG/4)*IF(H1085=1,(1-(Cap_PG*$S$15+(1-Cap_PG)*$S$16))*(1+0*$S$14),1)-H1110-H1126*IF((H1116+H1117)&gt;0,H1116/(H1116+H1117),0)+H1131/2-H1129*IF((G1104+G1105+G1106+G1107)&gt;0,G1106/(G1104+G1105+G1106+G1107),0)</f>
        <v>9798374.68204449</v>
      </c>
      <c r="I1106" s="73" t="n">
        <f aca="false">H1106*(1+Rend_PG/4)*IF(I1085=1,(1-(Cap_PG*$S$15+(1-Cap_PG)*$S$16))*(1+0*$S$14),1)-I1110-I1126*IF((I1116+I1117)&gt;0,I1116/(I1116+I1117),0)+I1131/2-I1129*IF((H1104+H1105+H1106+H1107)&gt;0,H1106/(H1104+H1105+H1106+H1107),0)</f>
        <v>9509567.58829123</v>
      </c>
      <c r="J1106" s="73" t="n">
        <f aca="false">I1106*(1+Rend_PG/4)*IF(J1085=1,(1-(Cap_PG*$S$15+(1-Cap_PG)*$S$16))*(1+0*$S$14),1)-J1110-J1126*IF((J1116+J1117)&gt;0,J1116/(J1116+J1117),0)+J1131/2-J1129*IF((I1104+I1105+I1106+I1107)&gt;0,I1106/(I1104+I1105+I1106+I1107),0)</f>
        <v>8476366.33557612</v>
      </c>
      <c r="K1106" s="73" t="n">
        <f aca="false">J1106*(1+Rend_PG/4)*IF(K1085=1,(1-(Cap_PG*$S$15+(1-Cap_PG)*$S$16))*(1+0*$S$14),1)-K1110-K1126*IF((K1116+K1117)&gt;0,K1116/(K1116+K1117),0)+K1131/2-K1129*IF((J1104+J1105+J1106+J1107)&gt;0,J1106/(J1104+J1105+J1106+J1107),0)</f>
        <v>8226525.43783501</v>
      </c>
      <c r="L1106" s="73" t="n">
        <f aca="false">K1106*(1+Rend_PG/4)*IF(L1085=1,(1-(Cap_PG*$S$15+(1-Cap_PG)*$S$16))*(1+0*$S$14),1)-L1110-L1126*IF((L1116+L1117)&gt;0,L1116/(L1116+L1117),0)+L1131/2-L1129*IF((K1104+K1105+K1106+K1107)&gt;0,K1106/(K1104+K1105+K1106+K1107),0)</f>
        <v>7282460.21339971</v>
      </c>
      <c r="M1106" s="73" t="n">
        <f aca="false">L1106*(1+Rend_PG/4)*IF(M1085=1,(1-(Cap_PG*$S$15+(1-Cap_PG)*$S$16))*(1+0*$S$14),1)-M1110-M1126*IF((M1116+M1117)&gt;0,M1116/(M1116+M1117),0)+M1131/2-M1129*IF((L1104+L1105+L1106+L1107)&gt;0,L1106/(L1104+L1105+L1106+L1107),0)</f>
        <v>7067809.69860975</v>
      </c>
      <c r="N1106" s="73" t="n">
        <f aca="false">M1106*(1+Rend_PG/4)*IF(N1085=1,(1-(Cap_PG*$S$15+(1-Cap_PG)*$S$16))*(1+0*$S$14),1)-N1110-N1126*IF((N1116+N1117)&gt;0,N1116/(N1116+N1117),0)+N1131/2-N1129*IF((M1104+M1105+M1106+M1107)&gt;0,M1106/(M1104+M1105+M1106+M1107),0)</f>
        <v>6212416.28100668</v>
      </c>
      <c r="O1106" s="73" t="n">
        <f aca="false">N1106*(1+Rend_PG/4)*IF(O1085=1,(1-(Cap_PG*$S$15+(1-Cap_PG)*$S$16))*(1+0*$S$14),1)-O1110-O1126*IF((O1116+O1117)&gt;0,O1116/(O1116+O1117),0)+O1131/2-O1129*IF((N1104+N1105+N1106+N1107)&gt;0,N1106/(N1104+N1105+N1106+N1107),0)</f>
        <v>6029305.31112401</v>
      </c>
    </row>
    <row r="1107" customFormat="false" ht="15" hidden="false" customHeight="false" outlineLevel="0" collapsed="false">
      <c r="B1107" s="65" t="s">
        <v>1038</v>
      </c>
      <c r="C1107" s="73" t="n">
        <f aca="false">AN_cible*Ws_ARES</f>
        <v>12250000</v>
      </c>
      <c r="D1107" s="73" t="n">
        <f aca="false">C1107*(1+Rend_ARES/4)*IF(D1085=1,(1-(Cap_ARES*$S$15+(1-Cap_ARES)*$S$16))*(1+0*$S$14),1)-D1111-D1126*IF((D1116+D1117)&gt;0,D1117/(D1116+D1117),0)/(1-IF(D1085&lt;=Deduc_trim,Deduc_ares,0))+D1131/2-D1129*IF((C1104+C1105+C1106+C1107)&gt;0,C1107/(C1104+C1105+C1106+C1107),0)</f>
        <v>11727537.5</v>
      </c>
      <c r="E1107" s="73" t="n">
        <f aca="false">D1107*(1+Rend_ARES/4)*IF(E1085=1,(1-(Cap_ARES*$S$15+(1-Cap_ARES)*$S$16))*(1+0*$S$14),1)-E1111-E1126*IF((E1116+E1117)&gt;0,E1117/(E1116+E1117),0)/(1-IF(E1085&lt;=Deduc_trim,Deduc_ares,0))+E1131/2-E1129*IF((D1104+D1105+D1106+D1107)&gt;0,D1107/(D1104+D1105+D1106+D1107),0)</f>
        <v>11227358.025625</v>
      </c>
      <c r="F1107" s="73" t="n">
        <f aca="false">E1107*(1+Rend_ARES/4)*IF(F1085=1,(1-(Cap_ARES*$S$15+(1-Cap_ARES)*$S$16))*(1+0*$S$14),1)-F1111-F1126*IF((F1116+F1117)&gt;0,F1117/(F1116+F1117),0)/(1-IF(F1085&lt;=Deduc_trim,Deduc_ares,0))+F1131/2-F1129*IF((E1104+E1105+E1106+E1107)&gt;0,E1107/(E1104+E1105+E1106+E1107),0)</f>
        <v>10748511.2058321</v>
      </c>
      <c r="G1107" s="73" t="n">
        <f aca="false">F1107*(1+Rend_ARES/4)*IF(G1085=1,(1-(Cap_ARES*$S$15+(1-Cap_ARES)*$S$16))*(1+0*$S$14),1)-G1111-G1126*IF((G1116+G1117)&gt;0,G1117/(G1116+G1117),0)/(1-IF(G1085&lt;=Deduc_trim,Deduc_ares,0))+G1131/2-G1129*IF((F1104+F1105+F1106+F1107)&gt;0,F1107/(F1104+F1105+F1106+F1107),0)</f>
        <v>10290087.2029034</v>
      </c>
      <c r="H1107" s="73" t="n">
        <f aca="false">G1107*(1+Rend_ARES/4)*IF(H1085=1,(1-(Cap_ARES*$S$15+(1-Cap_ARES)*$S$16))*(1+0*$S$14),1)-H1111-H1126*IF((H1116+H1117)&gt;0,H1117/(H1116+H1117),0)/(1-IF(H1085&lt;=Deduc_trim,Deduc_ares,0))+H1131/2-H1129*IF((G1104+G1105+G1106+G1107)&gt;0,G1107/(G1104+G1105+G1106+G1107),0)</f>
        <v>9141482.45499469</v>
      </c>
      <c r="I1107" s="73" t="n">
        <f aca="false">H1107*(1+Rend_ARES/4)*IF(I1085=1,(1-(Cap_ARES*$S$15+(1-Cap_ARES)*$S$16))*(1+0*$S$14),1)-I1111-I1126*IF((I1116+I1117)&gt;0,I1117/(I1116+I1117),0)/(1-IF(I1085&lt;=Deduc_trim,Deduc_ares,0))+I1131/2-I1129*IF((H1104+H1105+H1106+H1107)&gt;0,H1107/(H1104+H1105+H1106+H1107),0)</f>
        <v>8751598.22828917</v>
      </c>
      <c r="J1107" s="73" t="n">
        <f aca="false">I1107*(1+Rend_ARES/4)*IF(J1085=1,(1-(Cap_ARES*$S$15+(1-Cap_ARES)*$S$16))*(1+0*$S$14),1)-J1111-J1126*IF((J1116+J1117)&gt;0,J1117/(J1116+J1117),0)/(1-IF(J1085&lt;=Deduc_trim,Deduc_ares,0))+J1131/2-J1129*IF((I1104+I1105+I1106+I1107)&gt;0,I1107/(I1104+I1105+I1106+I1107),0)</f>
        <v>7685446.98252081</v>
      </c>
      <c r="K1107" s="73" t="n">
        <f aca="false">J1107*(1+Rend_ARES/4)*IF(K1085=1,(1-(Cap_ARES*$S$15+(1-Cap_ARES)*$S$16))*(1+0*$S$14),1)-K1111-K1126*IF((K1116+K1117)&gt;0,K1117/(K1116+K1117),0)/(1-IF(K1085&lt;=Deduc_trim,Deduc_ares,0))+K1131/2-K1129*IF((J1104+J1105+J1106+J1107)&gt;0,J1107/(J1104+J1105+J1106+J1107),0)</f>
        <v>7357662.66871629</v>
      </c>
      <c r="L1107" s="73" t="n">
        <f aca="false">K1107*(1+Rend_ARES/4)*IF(L1085=1,(1-(Cap_ARES*$S$15+(1-Cap_ARES)*$S$16))*(1+0*$S$14),1)-L1111-L1126*IF((L1116+L1117)&gt;0,L1117/(L1116+L1117),0)/(1-IF(L1085&lt;=Deduc_trim,Deduc_ares,0))+L1131/2-L1129*IF((K1104+K1105+K1106+K1107)&gt;0,K1107/(K1104+K1105+K1106+K1107),0)</f>
        <v>6416369.78566211</v>
      </c>
      <c r="M1107" s="73" t="n">
        <f aca="false">L1107*(1+Rend_ARES/4)*IF(M1085=1,(1-(Cap_ARES*$S$15+(1-Cap_ARES)*$S$16))*(1+0*$S$14),1)-M1111-M1126*IF((M1116+M1117)&gt;0,M1117/(M1116+M1117),0)/(1-IF(M1085&lt;=Deduc_trim,Deduc_ares,0))+M1131/2-M1129*IF((L1104+L1105+L1106+L1107)&gt;0,L1107/(L1104+L1105+L1106+L1107),0)</f>
        <v>6142711.61430362</v>
      </c>
      <c r="N1107" s="73" t="n">
        <f aca="false">M1107*(1+Rend_ARES/4)*IF(N1085=1,(1-(Cap_ARES*$S$15+(1-Cap_ARES)*$S$16))*(1+0*$S$14),1)-N1111-N1126*IF((N1116+N1117)&gt;0,N1117/(N1116+N1117),0)/(1-IF(N1085&lt;=Deduc_trim,Deduc_ares,0))+N1131/2-N1129*IF((M1104+M1105+M1106+M1107)&gt;0,M1107/(M1104+M1105+M1106+M1107),0)</f>
        <v>5318349.50462694</v>
      </c>
      <c r="O1107" s="73" t="n">
        <f aca="false">N1107*(1+Rend_ARES/4)*IF(O1085=1,(1-(Cap_ARES*$S$15+(1-Cap_ARES)*$S$16))*(1+0*$S$14),1)-O1111-O1126*IF((O1116+O1117)&gt;0,O1117/(O1116+O1117),0)/(1-IF(O1085&lt;=Deduc_trim,Deduc_ares,0))+O1131/2-O1129*IF((N1104+N1105+N1106+N1107)&gt;0,N1107/(N1104+N1105+N1106+N1107),0)</f>
        <v>5091521.8982546</v>
      </c>
    </row>
    <row r="1108" customFormat="false" ht="15" hidden="false" customHeight="false" outlineLevel="0" collapsed="false">
      <c r="B1108" s="65" t="s">
        <v>1039</v>
      </c>
      <c r="C1108" s="25"/>
      <c r="D1108" s="73" t="n">
        <f aca="false">C1104*Dist_MAPIF/4*IF(D1085&lt;=$S$11,0,$S$10)</f>
        <v>187500</v>
      </c>
      <c r="E1108" s="73" t="n">
        <f aca="false">D1104*Dist_MAPIF/4*IF(E1085&lt;=$S$11,0,$S$10)</f>
        <v>194573.4375</v>
      </c>
      <c r="F1108" s="73" t="n">
        <f aca="false">E1104*Dist_MAPIF/4*IF(F1085&lt;=$S$11,0,$S$10)</f>
        <v>201701.517304688</v>
      </c>
      <c r="G1108" s="73" t="n">
        <f aca="false">F1104*Dist_MAPIF/4*IF(G1085&lt;=$S$11,0,$S$10)</f>
        <v>208884.661525866</v>
      </c>
      <c r="H1108" s="73" t="n">
        <f aca="false">G1104*Dist_MAPIF/4*IF(H1085&lt;=$S$11,0,$S$10)</f>
        <v>216123.295536154</v>
      </c>
      <c r="I1108" s="73" t="n">
        <f aca="false">H1104*Dist_MAPIF/4*IF(I1085&lt;=$S$11,0,$S$10)</f>
        <v>208511.294723211</v>
      </c>
      <c r="J1108" s="73" t="n">
        <f aca="false">I1104*Dist_MAPIF/4*IF(J1085&lt;=$S$11,0,$S$10)</f>
        <v>215747.044474948</v>
      </c>
      <c r="K1108" s="73" t="n">
        <f aca="false">J1104*Dist_MAPIF/4*IF(K1085&lt;=$S$11,0,$S$10)</f>
        <v>205957.219112206</v>
      </c>
      <c r="L1108" s="73" t="n">
        <f aca="false">K1104*Dist_MAPIF/4*IF(L1085&lt;=$S$11,0,$S$10)</f>
        <v>213173.238629848</v>
      </c>
      <c r="M1108" s="73" t="n">
        <f aca="false">L1104*Dist_MAPIF/4*IF(M1085&lt;=$S$11,0,$S$10)</f>
        <v>202264.803003223</v>
      </c>
      <c r="N1108" s="73" t="n">
        <f aca="false">M1104*Dist_MAPIF/4*IF(N1085&lt;=$S$11,0,$S$10)</f>
        <v>209452.298606423</v>
      </c>
      <c r="O1108" s="73" t="n">
        <f aca="false">N1104*Dist_MAPIF/4*IF(O1085&lt;=$S$11,0,$S$10)</f>
        <v>197519.611502924</v>
      </c>
    </row>
    <row r="1109" customFormat="false" ht="15" hidden="false" customHeight="false" outlineLevel="0" collapsed="false">
      <c r="B1109" s="65" t="s">
        <v>1040</v>
      </c>
      <c r="C1109" s="25"/>
      <c r="D1109" s="73" t="n">
        <f aca="false">C1105*Dist_MSIG/4*IF(D1085&lt;=$S$11,0,$S$10)</f>
        <v>96250</v>
      </c>
      <c r="E1109" s="73" t="n">
        <f aca="false">D1105*Dist_MSIG/4*IF(E1085&lt;=$S$11,0,$S$10)</f>
        <v>101031.65625</v>
      </c>
      <c r="F1109" s="73" t="n">
        <f aca="false">E1105*Dist_MSIG/4*IF(F1085&lt;=$S$11,0,$S$10)</f>
        <v>105833.514997656</v>
      </c>
      <c r="G1109" s="73" t="n">
        <f aca="false">F1105*Dist_MSIG/4*IF(G1085&lt;=$S$11,0,$S$10)</f>
        <v>110655.661598521</v>
      </c>
      <c r="H1109" s="73" t="n">
        <f aca="false">G1105*Dist_MSIG/4*IF(H1085&lt;=$S$11,0,$S$10)</f>
        <v>115498.181768775</v>
      </c>
      <c r="I1109" s="73" t="n">
        <f aca="false">H1105*Dist_MSIG/4*IF(I1085&lt;=$S$11,0,$S$10)</f>
        <v>112394.968979125</v>
      </c>
      <c r="J1109" s="73" t="n">
        <f aca="false">I1105*Dist_MSIG/4*IF(J1085&lt;=$S$11,0,$S$10)</f>
        <v>117244.837723062</v>
      </c>
      <c r="K1109" s="73" t="n">
        <f aca="false">J1105*Dist_MSIG/4*IF(K1085&lt;=$S$11,0,$S$10)</f>
        <v>112832.500691108</v>
      </c>
      <c r="L1109" s="73" t="n">
        <f aca="false">K1105*Dist_MSIG/4*IF(L1085&lt;=$S$11,0,$S$10)</f>
        <v>117684.218006528</v>
      </c>
      <c r="M1109" s="73" t="n">
        <f aca="false">L1105*Dist_MSIG/4*IF(M1085&lt;=$S$11,0,$S$10)</f>
        <v>112519.890291852</v>
      </c>
      <c r="N1109" s="73" t="n">
        <f aca="false">M1105*Dist_MSIG/4*IF(N1085&lt;=$S$11,0,$S$10)</f>
        <v>117370.286828335</v>
      </c>
      <c r="O1109" s="73" t="n">
        <f aca="false">N1105*Dist_MSIG/4*IF(O1085&lt;=$S$11,0,$S$10)</f>
        <v>111495.731426278</v>
      </c>
    </row>
    <row r="1110" customFormat="false" ht="15" hidden="false" customHeight="false" outlineLevel="0" collapsed="false">
      <c r="B1110" s="65" t="s">
        <v>1041</v>
      </c>
      <c r="C1110" s="25"/>
      <c r="D1110" s="73" t="n">
        <f aca="false">C1106*Dist_PG/4*IF(D1085&lt;=$S$11,0,$S$10)</f>
        <v>61250</v>
      </c>
      <c r="E1110" s="73" t="n">
        <f aca="false">D1106*Dist_PG/4*IF(E1085&lt;=$S$11,0,$S$10)</f>
        <v>59444.65625</v>
      </c>
      <c r="F1110" s="73" t="n">
        <f aca="false">E1106*Dist_PG/4*IF(F1085&lt;=$S$11,0,$S$10)</f>
        <v>57692.5250070313</v>
      </c>
      <c r="G1110" s="73" t="n">
        <f aca="false">F1106*Dist_PG/4*IF(G1085&lt;=$S$11,0,$S$10)</f>
        <v>55992.037832449</v>
      </c>
      <c r="H1110" s="73" t="n">
        <f aca="false">G1106*Dist_PG/4*IF(H1085&lt;=$S$11,0,$S$10)</f>
        <v>54341.6725173376</v>
      </c>
      <c r="I1110" s="73" t="n">
        <f aca="false">H1106*Dist_PG/4*IF(I1085&lt;=$S$11,0,$S$10)</f>
        <v>48991.8734102225</v>
      </c>
      <c r="J1110" s="73" t="n">
        <f aca="false">I1106*Dist_PG/4*IF(J1085&lt;=$S$11,0,$S$10)</f>
        <v>47547.8379414562</v>
      </c>
      <c r="K1110" s="73" t="n">
        <f aca="false">J1106*Dist_PG/4*IF(K1085&lt;=$S$11,0,$S$10)</f>
        <v>42381.8316778806</v>
      </c>
      <c r="L1110" s="73" t="n">
        <f aca="false">K1106*Dist_PG/4*IF(L1085&lt;=$S$11,0,$S$10)</f>
        <v>41132.627189175</v>
      </c>
      <c r="M1110" s="73" t="n">
        <f aca="false">L1106*Dist_PG/4*IF(M1085&lt;=$S$11,0,$S$10)</f>
        <v>36412.3010669985</v>
      </c>
      <c r="N1110" s="73" t="n">
        <f aca="false">M1106*Dist_PG/4*IF(N1085&lt;=$S$11,0,$S$10)</f>
        <v>35339.0484930487</v>
      </c>
      <c r="O1110" s="73" t="n">
        <f aca="false">N1106*Dist_PG/4*IF(O1085&lt;=$S$11,0,$S$10)</f>
        <v>31062.0814050334</v>
      </c>
    </row>
    <row r="1111" customFormat="false" ht="15" hidden="false" customHeight="false" outlineLevel="0" collapsed="false">
      <c r="B1111" s="65" t="s">
        <v>1042</v>
      </c>
      <c r="C1111" s="25"/>
      <c r="D1111" s="73" t="n">
        <f aca="false">C1107*Dist_ARES/4*IF(D1085&lt;=$S$11,0,$S$10)</f>
        <v>153125</v>
      </c>
      <c r="E1111" s="73" t="n">
        <f aca="false">D1107*Dist_ARES/4*IF(E1085&lt;=$S$11,0,$S$10)</f>
        <v>146594.21875</v>
      </c>
      <c r="F1111" s="73" t="n">
        <f aca="false">E1107*Dist_ARES/4*IF(F1085&lt;=$S$11,0,$S$10)</f>
        <v>140341.975320313</v>
      </c>
      <c r="G1111" s="73" t="n">
        <f aca="false">F1107*Dist_ARES/4*IF(G1085&lt;=$S$11,0,$S$10)</f>
        <v>134356.390072901</v>
      </c>
      <c r="H1111" s="73" t="n">
        <f aca="false">G1107*Dist_ARES/4*IF(H1085&lt;=$S$11,0,$S$10)</f>
        <v>128626.090036292</v>
      </c>
      <c r="I1111" s="73" t="n">
        <f aca="false">H1107*Dist_ARES/4*IF(I1085&lt;=$S$11,0,$S$10)</f>
        <v>114268.530687434</v>
      </c>
      <c r="J1111" s="73" t="n">
        <f aca="false">I1107*Dist_ARES/4*IF(J1085&lt;=$S$11,0,$S$10)</f>
        <v>109394.977853615</v>
      </c>
      <c r="K1111" s="73" t="n">
        <f aca="false">J1107*Dist_ARES/4*IF(K1085&lt;=$S$11,0,$S$10)</f>
        <v>96068.0872815101</v>
      </c>
      <c r="L1111" s="73" t="n">
        <f aca="false">K1107*Dist_ARES/4*IF(L1085&lt;=$S$11,0,$S$10)</f>
        <v>91970.7833589537</v>
      </c>
      <c r="M1111" s="73" t="n">
        <f aca="false">L1107*Dist_ARES/4*IF(M1085&lt;=$S$11,0,$S$10)</f>
        <v>80204.6223207764</v>
      </c>
      <c r="N1111" s="73" t="n">
        <f aca="false">M1107*Dist_ARES/4*IF(N1085&lt;=$S$11,0,$S$10)</f>
        <v>76783.8951787952</v>
      </c>
      <c r="O1111" s="73" t="n">
        <f aca="false">N1107*Dist_ARES/4*IF(O1085&lt;=$S$11,0,$S$10)</f>
        <v>66479.3688078368</v>
      </c>
    </row>
    <row r="1112" customFormat="false" ht="15" hidden="false" customHeight="false" outlineLevel="0" collapsed="false">
      <c r="B1112" s="65" t="s">
        <v>1043</v>
      </c>
      <c r="C1112" s="73" t="n">
        <f aca="false">AN_cible*$S$12*Part_MAPIF_NA</f>
        <v>4500000</v>
      </c>
      <c r="D1112" s="73" t="n">
        <f aca="false">C1112*IF(D1085=1,1+$S$14,1)-D1114</f>
        <v>4125000</v>
      </c>
      <c r="E1112" s="73" t="n">
        <f aca="false">D1112*IF(E1085=1,1+$S$14,1)-E1114</f>
        <v>3750000</v>
      </c>
      <c r="F1112" s="73" t="n">
        <f aca="false">E1112*IF(F1085=1,1+$S$14,1)-F1114</f>
        <v>3375000</v>
      </c>
      <c r="G1112" s="73" t="n">
        <f aca="false">F1112*IF(G1085=1,1+$S$14,1)-G1114</f>
        <v>3000000</v>
      </c>
      <c r="H1112" s="73" t="n">
        <f aca="false">G1112*IF(H1085=1,1+$S$14,1)-H1114</f>
        <v>2625000</v>
      </c>
      <c r="I1112" s="73" t="n">
        <f aca="false">H1112*IF(I1085=1,1+$S$14,1)-I1114</f>
        <v>2250000</v>
      </c>
      <c r="J1112" s="73" t="n">
        <f aca="false">I1112*IF(J1085=1,1+$S$14,1)-J1114</f>
        <v>1875000</v>
      </c>
      <c r="K1112" s="73" t="n">
        <f aca="false">J1112*IF(K1085=1,1+$S$14,1)-K1114</f>
        <v>1500000</v>
      </c>
      <c r="L1112" s="73" t="n">
        <f aca="false">K1112*IF(L1085=1,1+$S$14,1)-L1114</f>
        <v>1125000</v>
      </c>
      <c r="M1112" s="73" t="n">
        <f aca="false">L1112*IF(M1085=1,1+$S$14,1)-M1114</f>
        <v>750000</v>
      </c>
      <c r="N1112" s="73" t="n">
        <f aca="false">M1112*IF(N1085=1,1+$S$14,1)-N1114</f>
        <v>375000</v>
      </c>
      <c r="O1112" s="73" t="n">
        <f aca="false">N1112*IF(O1085=1,1+$S$14,1)-O1114</f>
        <v>0</v>
      </c>
    </row>
    <row r="1113" customFormat="false" ht="15" hidden="false" customHeight="false" outlineLevel="0" collapsed="false">
      <c r="B1113" s="65" t="s">
        <v>1044</v>
      </c>
      <c r="C1113" s="73" t="n">
        <f aca="false">AN_cible*$S$12*(1-Part_MAPIF_NA)</f>
        <v>3000000</v>
      </c>
      <c r="D1113" s="73" t="n">
        <f aca="false">C1113*IF(D1085=1,1+MSIG_USD*$S$14,1)-D1115</f>
        <v>2750000</v>
      </c>
      <c r="E1113" s="73" t="n">
        <f aca="false">D1113*IF(E1085=1,1+MSIG_USD*$S$14,1)-E1115</f>
        <v>2500000</v>
      </c>
      <c r="F1113" s="73" t="n">
        <f aca="false">E1113*IF(F1085=1,1+MSIG_USD*$S$14,1)-F1115</f>
        <v>2250000</v>
      </c>
      <c r="G1113" s="73" t="n">
        <f aca="false">F1113*IF(G1085=1,1+MSIG_USD*$S$14,1)-G1115</f>
        <v>2000000</v>
      </c>
      <c r="H1113" s="73" t="n">
        <f aca="false">G1113*IF(H1085=1,1+MSIG_USD*$S$14,1)-H1115</f>
        <v>1750000</v>
      </c>
      <c r="I1113" s="73" t="n">
        <f aca="false">H1113*IF(I1085=1,1+MSIG_USD*$S$14,1)-I1115</f>
        <v>1500000</v>
      </c>
      <c r="J1113" s="73" t="n">
        <f aca="false">I1113*IF(J1085=1,1+MSIG_USD*$S$14,1)-J1115</f>
        <v>1250000</v>
      </c>
      <c r="K1113" s="73" t="n">
        <f aca="false">J1113*IF(K1085=1,1+MSIG_USD*$S$14,1)-K1115</f>
        <v>1000000</v>
      </c>
      <c r="L1113" s="73" t="n">
        <f aca="false">K1113*IF(L1085=1,1+MSIG_USD*$S$14,1)-L1115</f>
        <v>750000</v>
      </c>
      <c r="M1113" s="73" t="n">
        <f aca="false">L1113*IF(M1085=1,1+MSIG_USD*$S$14,1)-M1115</f>
        <v>500000</v>
      </c>
      <c r="N1113" s="73" t="n">
        <f aca="false">M1113*IF(N1085=1,1+MSIG_USD*$S$14,1)-N1115</f>
        <v>250000</v>
      </c>
      <c r="O1113" s="73" t="n">
        <f aca="false">N1113*IF(O1085=1,1+MSIG_USD*$S$14,1)-O1115</f>
        <v>0</v>
      </c>
    </row>
    <row r="1114" customFormat="false" ht="15" hidden="false" customHeight="false" outlineLevel="0" collapsed="false">
      <c r="B1114" s="65" t="s">
        <v>1045</v>
      </c>
      <c r="C1114" s="25"/>
      <c r="D1114" s="73" t="n">
        <f aca="false">MIN(C1112*IF(D1085=1,1+$S$14,1),$C1112*(1+$S$14)*IF(D1085&lt;=4,$S$13/4,Appels_base))</f>
        <v>375000</v>
      </c>
      <c r="E1114" s="73" t="n">
        <f aca="false">MIN(D1112*IF(E1085=1,1+$S$14,1),$C1112*(1+$S$14)*IF(E1085&lt;=4,$S$13/4,Appels_base))</f>
        <v>375000</v>
      </c>
      <c r="F1114" s="73" t="n">
        <f aca="false">MIN(E1112*IF(F1085=1,1+$S$14,1),$C1112*(1+$S$14)*IF(F1085&lt;=4,$S$13/4,Appels_base))</f>
        <v>375000</v>
      </c>
      <c r="G1114" s="73" t="n">
        <f aca="false">MIN(F1112*IF(G1085=1,1+$S$14,1),$C1112*(1+$S$14)*IF(G1085&lt;=4,$S$13/4,Appels_base))</f>
        <v>375000</v>
      </c>
      <c r="H1114" s="73" t="n">
        <f aca="false">MIN(G1112*IF(H1085=1,1+$S$14,1),$C1112*(1+$S$14)*IF(H1085&lt;=4,$S$13/4,Appels_base))</f>
        <v>375000</v>
      </c>
      <c r="I1114" s="73" t="n">
        <f aca="false">MIN(H1112*IF(I1085=1,1+$S$14,1),$C1112*(1+$S$14)*IF(I1085&lt;=4,$S$13/4,Appels_base))</f>
        <v>375000</v>
      </c>
      <c r="J1114" s="73" t="n">
        <f aca="false">MIN(I1112*IF(J1085=1,1+$S$14,1),$C1112*(1+$S$14)*IF(J1085&lt;=4,$S$13/4,Appels_base))</f>
        <v>375000</v>
      </c>
      <c r="K1114" s="73" t="n">
        <f aca="false">MIN(J1112*IF(K1085=1,1+$S$14,1),$C1112*(1+$S$14)*IF(K1085&lt;=4,$S$13/4,Appels_base))</f>
        <v>375000</v>
      </c>
      <c r="L1114" s="73" t="n">
        <f aca="false">MIN(K1112*IF(L1085=1,1+$S$14,1),$C1112*(1+$S$14)*IF(L1085&lt;=4,$S$13/4,Appels_base))</f>
        <v>375000</v>
      </c>
      <c r="M1114" s="73" t="n">
        <f aca="false">MIN(L1112*IF(M1085=1,1+$S$14,1),$C1112*(1+$S$14)*IF(M1085&lt;=4,$S$13/4,Appels_base))</f>
        <v>375000</v>
      </c>
      <c r="N1114" s="73" t="n">
        <f aca="false">MIN(M1112*IF(N1085=1,1+$S$14,1),$C1112*(1+$S$14)*IF(N1085&lt;=4,$S$13/4,Appels_base))</f>
        <v>375000</v>
      </c>
      <c r="O1114" s="73" t="n">
        <f aca="false">MIN(N1112*IF(O1085=1,1+$S$14,1),$C1112*(1+$S$14)*IF(O1085&lt;=4,$S$13/4,Appels_base))</f>
        <v>375000</v>
      </c>
    </row>
    <row r="1115" customFormat="false" ht="15" hidden="false" customHeight="false" outlineLevel="0" collapsed="false">
      <c r="B1115" s="65" t="s">
        <v>1046</v>
      </c>
      <c r="C1115" s="25"/>
      <c r="D1115" s="73" t="n">
        <f aca="false">MIN(C1113*IF(D1085=1,1+MSIG_USD*$S$14,1),$C1113*(1+MSIG_USD*$S$14)*IF(D1085&lt;=4,$S$13/4,Appels_base))</f>
        <v>250000</v>
      </c>
      <c r="E1115" s="73" t="n">
        <f aca="false">MIN(D1113*IF(E1085=1,1+MSIG_USD*$S$14,1),$C1113*(1+MSIG_USD*$S$14)*IF(E1085&lt;=4,$S$13/4,Appels_base))</f>
        <v>250000</v>
      </c>
      <c r="F1115" s="73" t="n">
        <f aca="false">MIN(E1113*IF(F1085=1,1+MSIG_USD*$S$14,1),$C1113*(1+MSIG_USD*$S$14)*IF(F1085&lt;=4,$S$13/4,Appels_base))</f>
        <v>250000</v>
      </c>
      <c r="G1115" s="73" t="n">
        <f aca="false">MIN(F1113*IF(G1085=1,1+MSIG_USD*$S$14,1),$C1113*(1+MSIG_USD*$S$14)*IF(G1085&lt;=4,$S$13/4,Appels_base))</f>
        <v>250000</v>
      </c>
      <c r="H1115" s="73" t="n">
        <f aca="false">MIN(G1113*IF(H1085=1,1+MSIG_USD*$S$14,1),$C1113*(1+MSIG_USD*$S$14)*IF(H1085&lt;=4,$S$13/4,Appels_base))</f>
        <v>250000</v>
      </c>
      <c r="I1115" s="73" t="n">
        <f aca="false">MIN(H1113*IF(I1085=1,1+MSIG_USD*$S$14,1),$C1113*(1+MSIG_USD*$S$14)*IF(I1085&lt;=4,$S$13/4,Appels_base))</f>
        <v>250000</v>
      </c>
      <c r="J1115" s="73" t="n">
        <f aca="false">MIN(I1113*IF(J1085=1,1+MSIG_USD*$S$14,1),$C1113*(1+MSIG_USD*$S$14)*IF(J1085&lt;=4,$S$13/4,Appels_base))</f>
        <v>250000</v>
      </c>
      <c r="K1115" s="73" t="n">
        <f aca="false">MIN(J1113*IF(K1085=1,1+MSIG_USD*$S$14,1),$C1113*(1+MSIG_USD*$S$14)*IF(K1085&lt;=4,$S$13/4,Appels_base))</f>
        <v>250000</v>
      </c>
      <c r="L1115" s="73" t="n">
        <f aca="false">MIN(K1113*IF(L1085=1,1+MSIG_USD*$S$14,1),$C1113*(1+MSIG_USD*$S$14)*IF(L1085&lt;=4,$S$13/4,Appels_base))</f>
        <v>250000</v>
      </c>
      <c r="M1115" s="73" t="n">
        <f aca="false">MIN(L1113*IF(M1085=1,1+MSIG_USD*$S$14,1),$C1113*(1+MSIG_USD*$S$14)*IF(M1085&lt;=4,$S$13/4,Appels_base))</f>
        <v>250000</v>
      </c>
      <c r="N1115" s="73" t="n">
        <f aca="false">MIN(M1113*IF(N1085=1,1+MSIG_USD*$S$14,1),$C1113*(1+MSIG_USD*$S$14)*IF(N1085&lt;=4,$S$13/4,Appels_base))</f>
        <v>250000</v>
      </c>
      <c r="O1115" s="73" t="n">
        <f aca="false">MIN(N1113*IF(O1085=1,1+MSIG_USD*$S$14,1),$C1113*(1+MSIG_USD*$S$14)*IF(O1085&lt;=4,$S$13/4,Appels_base))</f>
        <v>250000</v>
      </c>
    </row>
    <row r="1116" customFormat="false" ht="15" hidden="false" customHeight="false" outlineLevel="0" collapsed="false">
      <c r="B1116" s="65" t="s">
        <v>1047</v>
      </c>
      <c r="C1116" s="25"/>
      <c r="D1116" s="73" t="n">
        <f aca="false">C1106*Capacite_evg*IF(D1085&lt;=4,$S$17,$S$18)</f>
        <v>612500</v>
      </c>
      <c r="E1116" s="73" t="n">
        <f aca="false">D1106*Capacite_evg*IF(E1085&lt;=4,$S$17,$S$18)</f>
        <v>594446.5625</v>
      </c>
      <c r="F1116" s="73" t="n">
        <f aca="false">E1106*Capacite_evg*IF(F1085&lt;=4,$S$17,$S$18)</f>
        <v>576925.250070313</v>
      </c>
      <c r="G1116" s="73" t="n">
        <f aca="false">F1106*Capacite_evg*IF(G1085&lt;=4,$S$17,$S$18)</f>
        <v>559920.37832449</v>
      </c>
      <c r="H1116" s="73" t="n">
        <f aca="false">G1106*Capacite_evg*IF(H1085&lt;=4,$S$17,$S$18)</f>
        <v>543416.725173376</v>
      </c>
      <c r="I1116" s="73" t="n">
        <f aca="false">H1106*Capacite_evg*IF(I1085&lt;=4,$S$17,$S$18)</f>
        <v>489918.734102225</v>
      </c>
      <c r="J1116" s="73" t="n">
        <f aca="false">I1106*Capacite_evg*IF(J1085&lt;=4,$S$17,$S$18)</f>
        <v>475478.379414562</v>
      </c>
      <c r="K1116" s="73" t="n">
        <f aca="false">J1106*Capacite_evg*IF(K1085&lt;=4,$S$17,$S$18)</f>
        <v>423818.316778806</v>
      </c>
      <c r="L1116" s="73" t="n">
        <f aca="false">K1106*Capacite_evg*IF(L1085&lt;=4,$S$17,$S$18)</f>
        <v>411326.27189175</v>
      </c>
      <c r="M1116" s="73" t="n">
        <f aca="false">L1106*Capacite_evg*IF(M1085&lt;=4,$S$17,$S$18)</f>
        <v>364123.010669985</v>
      </c>
      <c r="N1116" s="73" t="n">
        <f aca="false">M1106*Capacite_evg*IF(N1085&lt;=4,$S$17,$S$18)</f>
        <v>353390.484930487</v>
      </c>
      <c r="O1116" s="73" t="n">
        <f aca="false">N1106*Capacite_evg*IF(O1085&lt;=4,$S$17,$S$18)</f>
        <v>310620.814050334</v>
      </c>
    </row>
    <row r="1117" customFormat="false" ht="15" hidden="false" customHeight="false" outlineLevel="0" collapsed="false">
      <c r="B1117" s="65" t="s">
        <v>1048</v>
      </c>
      <c r="C1117" s="25"/>
      <c r="D1117" s="73" t="n">
        <f aca="false">C1107*Capacite_evg*IF(D1085&lt;=4,$S$17,$S$19)*(1-IF(D1085&lt;=Deduc_trim,Deduc_ares,0))</f>
        <v>581875</v>
      </c>
      <c r="E1117" s="73" t="n">
        <f aca="false">D1107*Capacite_evg*IF(E1085&lt;=4,$S$17,$S$19)*(1-IF(E1085&lt;=Deduc_trim,Deduc_ares,0))</f>
        <v>557058.03125</v>
      </c>
      <c r="F1117" s="73" t="n">
        <f aca="false">E1107*Capacite_evg*IF(F1085&lt;=4,$S$17,$S$19)*(1-IF(F1085&lt;=Deduc_trim,Deduc_ares,0))</f>
        <v>533299.506217187</v>
      </c>
      <c r="G1117" s="73" t="n">
        <f aca="false">F1107*Capacite_evg*IF(G1085&lt;=4,$S$17,$S$19)*(1-IF(G1085&lt;=Deduc_trim,Deduc_ares,0))</f>
        <v>510554.282277024</v>
      </c>
      <c r="H1117" s="73" t="n">
        <f aca="false">G1107*Capacite_evg*IF(H1085&lt;=4,$S$17,$S$19)*(1-IF(H1085&lt;=Deduc_trim,Deduc_ares,0))</f>
        <v>514504.360145168</v>
      </c>
      <c r="I1117" s="73" t="n">
        <f aca="false">H1107*Capacite_evg*IF(I1085&lt;=4,$S$17,$S$19)*(1-IF(I1085&lt;=Deduc_trim,Deduc_ares,0))</f>
        <v>457074.122749735</v>
      </c>
      <c r="J1117" s="73" t="n">
        <f aca="false">I1107*Capacite_evg*IF(J1085&lt;=4,$S$17,$S$19)*(1-IF(J1085&lt;=Deduc_trim,Deduc_ares,0))</f>
        <v>437579.911414458</v>
      </c>
      <c r="K1117" s="73" t="n">
        <f aca="false">J1107*Capacite_evg*IF(K1085&lt;=4,$S$17,$S$19)*(1-IF(K1085&lt;=Deduc_trim,Deduc_ares,0))</f>
        <v>384272.34912604</v>
      </c>
      <c r="L1117" s="73" t="n">
        <f aca="false">K1107*Capacite_evg*IF(L1085&lt;=4,$S$17,$S$19)*(1-IF(L1085&lt;=Deduc_trim,Deduc_ares,0))</f>
        <v>367883.133435815</v>
      </c>
      <c r="M1117" s="73" t="n">
        <f aca="false">L1107*Capacite_evg*IF(M1085&lt;=4,$S$17,$S$19)*(1-IF(M1085&lt;=Deduc_trim,Deduc_ares,0))</f>
        <v>320818.489283105</v>
      </c>
      <c r="N1117" s="73" t="n">
        <f aca="false">M1107*Capacite_evg*IF(N1085&lt;=4,$S$17,$S$19)*(1-IF(N1085&lt;=Deduc_trim,Deduc_ares,0))</f>
        <v>307135.580715181</v>
      </c>
      <c r="O1117" s="73" t="n">
        <f aca="false">N1107*Capacite_evg*IF(O1085&lt;=4,$S$17,$S$19)*(1-IF(O1085&lt;=Deduc_trim,Deduc_ares,0))</f>
        <v>265917.475231347</v>
      </c>
    </row>
    <row r="1118" customFormat="false" ht="15" hidden="false" customHeight="false" outlineLevel="0" collapsed="false">
      <c r="B1118" s="65" t="s">
        <v>1049</v>
      </c>
      <c r="C1118" s="25"/>
      <c r="D1118" s="73" t="n">
        <f aca="false">C1132</f>
        <v>7500000</v>
      </c>
      <c r="E1118" s="73" t="n">
        <f aca="false">D1132</f>
        <v>3239375</v>
      </c>
      <c r="F1118" s="73" t="n">
        <f aca="false">E1132</f>
        <v>4059766.4375</v>
      </c>
      <c r="G1118" s="73" t="n">
        <f aca="false">F1132</f>
        <v>212331.46175703</v>
      </c>
      <c r="H1118" s="73" t="n">
        <f aca="false">G1132</f>
        <v>956981.570031384</v>
      </c>
      <c r="I1118" s="73" t="n">
        <f aca="false">H1132</f>
        <v>0</v>
      </c>
      <c r="J1118" s="73" t="n">
        <f aca="false">I1132</f>
        <v>609843.625779269</v>
      </c>
      <c r="K1118" s="73" t="n">
        <f aca="false">J1132</f>
        <v>0</v>
      </c>
      <c r="L1118" s="73" t="n">
        <f aca="false">K1132</f>
        <v>458630.974366014</v>
      </c>
      <c r="M1118" s="73" t="n">
        <f aca="false">L1132</f>
        <v>0</v>
      </c>
      <c r="N1118" s="73" t="n">
        <f aca="false">M1132</f>
        <v>323278.825556171</v>
      </c>
      <c r="O1118" s="73" t="n">
        <f aca="false">N1132</f>
        <v>0</v>
      </c>
    </row>
    <row r="1119" customFormat="false" ht="15" hidden="false" customHeight="false" outlineLevel="0" collapsed="false">
      <c r="B1119" s="65" t="s">
        <v>1050</v>
      </c>
      <c r="C1119" s="25"/>
      <c r="D1119" s="73" t="n">
        <f aca="false">D1118*Taux_treso/4</f>
        <v>46875</v>
      </c>
      <c r="E1119" s="73" t="n">
        <f aca="false">E1118*Taux_treso/4</f>
        <v>20246.09375</v>
      </c>
      <c r="F1119" s="73" t="n">
        <f aca="false">F1118*Taux_treso/4</f>
        <v>25373.540234375</v>
      </c>
      <c r="G1119" s="73" t="n">
        <f aca="false">G1118*Taux_treso/4</f>
        <v>1327.07163598144</v>
      </c>
      <c r="H1119" s="73" t="n">
        <f aca="false">H1118*Taux_treso/4</f>
        <v>5981.13481269615</v>
      </c>
      <c r="I1119" s="73" t="n">
        <f aca="false">I1118*Taux_treso/4</f>
        <v>0</v>
      </c>
      <c r="J1119" s="73" t="n">
        <f aca="false">J1118*Taux_treso/4</f>
        <v>3811.52266112043</v>
      </c>
      <c r="K1119" s="73" t="n">
        <f aca="false">K1118*Taux_treso/4</f>
        <v>0</v>
      </c>
      <c r="L1119" s="73" t="n">
        <f aca="false">L1118*Taux_treso/4</f>
        <v>2866.44358978759</v>
      </c>
      <c r="M1119" s="73" t="n">
        <f aca="false">M1118*Taux_treso/4</f>
        <v>0</v>
      </c>
      <c r="N1119" s="73" t="n">
        <f aca="false">N1118*Taux_treso/4</f>
        <v>2020.49265972607</v>
      </c>
      <c r="O1119" s="73" t="n">
        <f aca="false">O1118*Taux_treso/4</f>
        <v>0</v>
      </c>
    </row>
    <row r="1120" customFormat="false" ht="15" hidden="false" customHeight="false" outlineLevel="0" collapsed="false">
      <c r="B1120" s="65" t="s">
        <v>1051</v>
      </c>
      <c r="C1120" s="25"/>
      <c r="D1120" s="73" t="n">
        <f aca="false">SUM(D1108:D1111)</f>
        <v>498125</v>
      </c>
      <c r="E1120" s="73" t="n">
        <f aca="false">SUM(E1108:E1111)</f>
        <v>501643.96875</v>
      </c>
      <c r="F1120" s="73" t="n">
        <f aca="false">SUM(F1108:F1111)</f>
        <v>505569.532629688</v>
      </c>
      <c r="G1120" s="73" t="n">
        <f aca="false">SUM(G1108:G1111)</f>
        <v>509888.751029738</v>
      </c>
      <c r="H1120" s="73" t="n">
        <f aca="false">SUM(H1108:H1111)</f>
        <v>514589.239858558</v>
      </c>
      <c r="I1120" s="73" t="n">
        <f aca="false">SUM(I1108:I1111)</f>
        <v>484166.667799993</v>
      </c>
      <c r="J1120" s="73" t="n">
        <f aca="false">SUM(J1108:J1111)</f>
        <v>489934.697993081</v>
      </c>
      <c r="K1120" s="73" t="n">
        <f aca="false">SUM(K1108:K1111)</f>
        <v>457239.638762704</v>
      </c>
      <c r="L1120" s="73" t="n">
        <f aca="false">SUM(L1108:L1111)</f>
        <v>463960.867184504</v>
      </c>
      <c r="M1120" s="73" t="n">
        <f aca="false">SUM(M1108:M1111)</f>
        <v>431401.61668285</v>
      </c>
      <c r="N1120" s="73" t="n">
        <f aca="false">SUM(N1108:N1111)</f>
        <v>438945.529106602</v>
      </c>
      <c r="O1120" s="73" t="n">
        <f aca="false">SUM(O1108:O1111)</f>
        <v>406556.793142072</v>
      </c>
    </row>
    <row r="1121" customFormat="false" ht="15" hidden="false" customHeight="false" outlineLevel="0" collapsed="false">
      <c r="B1121" s="65" t="s">
        <v>1052</v>
      </c>
      <c r="C1121" s="25"/>
      <c r="D1121" s="73" t="n">
        <f aca="false">IF(AND(Distrib_tension=1,OR(D1093&gt;0.000001,C1135&lt;Liq_min,C1099=1)),0,MIN(Dist_porteurs/4*Part_d*D1090,D1120))</f>
        <v>125000</v>
      </c>
      <c r="E1121" s="73" t="n">
        <f aca="false">IF(AND(Distrib_tension=1,OR(E1093&gt;0.000001,D1135&lt;Liq_min,D1099=1)),0,MIN(Dist_porteurs/4*Part_d*E1090,E1120))</f>
        <v>0</v>
      </c>
      <c r="F1121" s="73" t="n">
        <f aca="false">IF(AND(Distrib_tension=1,OR(F1093&gt;0.000001,E1135&lt;Liq_min,E1099=1)),0,MIN(Dist_porteurs/4*Part_d*F1090,F1120))</f>
        <v>0</v>
      </c>
      <c r="G1121" s="73" t="n">
        <f aca="false">IF(AND(Distrib_tension=1,OR(G1093&gt;0.000001,F1135&lt;Liq_min,F1099=1)),0,MIN(Dist_porteurs/4*Part_d*G1090,G1120))</f>
        <v>0</v>
      </c>
      <c r="H1121" s="73" t="n">
        <f aca="false">IF(AND(Distrib_tension=1,OR(H1093&gt;0.000001,G1135&lt;Liq_min,G1099=1)),0,MIN(Dist_porteurs/4*Part_d*H1090,H1120))</f>
        <v>0</v>
      </c>
      <c r="I1121" s="73" t="n">
        <f aca="false">IF(AND(Distrib_tension=1,OR(I1093&gt;0.000001,H1135&lt;Liq_min,H1099=1)),0,MIN(Dist_porteurs/4*Part_d*I1090,I1120))</f>
        <v>0</v>
      </c>
      <c r="J1121" s="73" t="n">
        <f aca="false">IF(AND(Distrib_tension=1,OR(J1093&gt;0.000001,I1135&lt;Liq_min,I1099=1)),0,MIN(Dist_porteurs/4*Part_d*J1090,J1120))</f>
        <v>0</v>
      </c>
      <c r="K1121" s="73" t="n">
        <f aca="false">IF(AND(Distrib_tension=1,OR(K1093&gt;0.000001,J1135&lt;Liq_min,J1099=1)),0,MIN(Dist_porteurs/4*Part_d*K1090,K1120))</f>
        <v>0</v>
      </c>
      <c r="L1121" s="73" t="n">
        <f aca="false">IF(AND(Distrib_tension=1,OR(L1093&gt;0.000001,K1135&lt;Liq_min,K1099=1)),0,MIN(Dist_porteurs/4*Part_d*L1090,L1120))</f>
        <v>0</v>
      </c>
      <c r="M1121" s="73" t="n">
        <f aca="false">IF(AND(Distrib_tension=1,OR(M1093&gt;0.000001,L1135&lt;Liq_min,L1099=1)),0,MIN(Dist_porteurs/4*Part_d*M1090,M1120))</f>
        <v>0</v>
      </c>
      <c r="N1121" s="73" t="n">
        <f aca="false">IF(AND(Distrib_tension=1,OR(N1093&gt;0.000001,M1135&lt;Liq_min,M1099=1)),0,MIN(Dist_porteurs/4*Part_d*N1090,N1120))</f>
        <v>0</v>
      </c>
      <c r="O1121" s="73" t="n">
        <f aca="false">IF(AND(Distrib_tension=1,OR(O1093&gt;0.000001,N1135&lt;Liq_min,N1099=1)),0,MIN(Dist_porteurs/4*Part_d*O1090,O1120))</f>
        <v>0</v>
      </c>
    </row>
    <row r="1122" customFormat="false" ht="15" hidden="false" customHeight="false" outlineLevel="0" collapsed="false">
      <c r="B1122" s="65" t="s">
        <v>1053</v>
      </c>
      <c r="C1122" s="25"/>
      <c r="D1122" s="73" t="n">
        <f aca="false">D1114+D1115</f>
        <v>625000</v>
      </c>
      <c r="E1122" s="73" t="n">
        <f aca="false">E1114+E1115</f>
        <v>625000</v>
      </c>
      <c r="F1122" s="73" t="n">
        <f aca="false">F1114+F1115</f>
        <v>625000</v>
      </c>
      <c r="G1122" s="73" t="n">
        <f aca="false">G1114+G1115</f>
        <v>625000</v>
      </c>
      <c r="H1122" s="73" t="n">
        <f aca="false">H1114+H1115</f>
        <v>625000</v>
      </c>
      <c r="I1122" s="73" t="n">
        <f aca="false">I1114+I1115</f>
        <v>625000</v>
      </c>
      <c r="J1122" s="73" t="n">
        <f aca="false">J1114+J1115</f>
        <v>625000</v>
      </c>
      <c r="K1122" s="73" t="n">
        <f aca="false">K1114+K1115</f>
        <v>625000</v>
      </c>
      <c r="L1122" s="73" t="n">
        <f aca="false">L1114+L1115</f>
        <v>625000</v>
      </c>
      <c r="M1122" s="73" t="n">
        <f aca="false">M1114+M1115</f>
        <v>625000</v>
      </c>
      <c r="N1122" s="73" t="n">
        <f aca="false">N1114+N1115</f>
        <v>625000</v>
      </c>
      <c r="O1122" s="73" t="n">
        <f aca="false">O1114+O1115</f>
        <v>625000</v>
      </c>
    </row>
    <row r="1123" customFormat="false" ht="15" hidden="false" customHeight="false" outlineLevel="0" collapsed="false">
      <c r="B1123" s="65" t="s">
        <v>1054</v>
      </c>
      <c r="C1123" s="25"/>
      <c r="D1123" s="73" t="n">
        <f aca="false">D1090*Frais_an/4</f>
        <v>250000</v>
      </c>
      <c r="E1123" s="73" t="n">
        <f aca="false">E1090*Frais_an/4</f>
        <v>228003.21875</v>
      </c>
      <c r="F1123" s="73" t="n">
        <f aca="false">F1090*Frais_an/4</f>
        <v>231600.133566406</v>
      </c>
      <c r="G1123" s="73" t="n">
        <f aca="false">G1090*Frais_an/4</f>
        <v>212040.37499288</v>
      </c>
      <c r="H1123" s="73" t="n">
        <f aca="false">H1090*Frais_an/4</f>
        <v>215617.595399427</v>
      </c>
      <c r="I1123" s="73" t="n">
        <f aca="false">I1090*Frais_an/4</f>
        <v>196315.898872683</v>
      </c>
      <c r="J1123" s="73" t="n">
        <f aca="false">J1090*Frais_an/4</f>
        <v>199769.25376718</v>
      </c>
      <c r="K1123" s="73" t="n">
        <f aca="false">K1090*Frais_an/4</f>
        <v>181699.330301536</v>
      </c>
      <c r="L1123" s="73" t="n">
        <f aca="false">L1090*Frais_an/4</f>
        <v>184895.903902115</v>
      </c>
      <c r="M1123" s="73" t="n">
        <f aca="false">M1090*Frais_an/4</f>
        <v>168064.29107977</v>
      </c>
      <c r="N1123" s="73" t="n">
        <f aca="false">N1090*Frais_an/4</f>
        <v>171020.801226394</v>
      </c>
      <c r="O1123" s="73" t="n">
        <f aca="false">O1090*Frais_an/4</f>
        <v>155349.622693794</v>
      </c>
    </row>
    <row r="1124" customFormat="false" ht="15" hidden="false" customHeight="false" outlineLevel="0" collapsed="false">
      <c r="B1124" s="65" t="s">
        <v>1055</v>
      </c>
      <c r="C1124" s="25"/>
      <c r="D1124" s="73" t="n">
        <f aca="false">C1133*Taux_emprunt/4</f>
        <v>0</v>
      </c>
      <c r="E1124" s="73" t="n">
        <f aca="false">D1133*Taux_emprunt/4</f>
        <v>0</v>
      </c>
      <c r="F1124" s="73" t="n">
        <f aca="false">E1133*Taux_emprunt/4</f>
        <v>0</v>
      </c>
      <c r="G1124" s="73" t="n">
        <f aca="false">F1133*Taux_emprunt/4</f>
        <v>0</v>
      </c>
      <c r="H1124" s="73" t="n">
        <f aca="false">G1133*Taux_emprunt/4</f>
        <v>0</v>
      </c>
      <c r="I1124" s="73" t="n">
        <f aca="false">H1133*Taux_emprunt/4</f>
        <v>0</v>
      </c>
      <c r="J1124" s="73" t="n">
        <f aca="false">I1133*Taux_emprunt/4</f>
        <v>0</v>
      </c>
      <c r="K1124" s="73" t="n">
        <f aca="false">J1133*Taux_emprunt/4</f>
        <v>0</v>
      </c>
      <c r="L1124" s="73" t="n">
        <f aca="false">K1133*Taux_emprunt/4</f>
        <v>0</v>
      </c>
      <c r="M1124" s="73" t="n">
        <f aca="false">L1133*Taux_emprunt/4</f>
        <v>0</v>
      </c>
      <c r="N1124" s="73" t="n">
        <f aca="false">M1133*Taux_emprunt/4</f>
        <v>0</v>
      </c>
      <c r="O1124" s="73" t="n">
        <f aca="false">N1133*Taux_emprunt/4</f>
        <v>0</v>
      </c>
    </row>
    <row r="1125" customFormat="false" ht="15" hidden="false" customHeight="false" outlineLevel="0" collapsed="false">
      <c r="B1125" s="65" t="s">
        <v>1056</v>
      </c>
      <c r="C1125" s="25"/>
      <c r="D1125" s="73" t="n">
        <f aca="false">D1118+D1119+D1120-D1121+D1091-D1122-D1123-D1124</f>
        <v>7045000</v>
      </c>
      <c r="E1125" s="73" t="n">
        <f aca="false">E1118+E1119+E1120-E1121+E1091-E1122-E1123-E1124</f>
        <v>2908261.84375</v>
      </c>
      <c r="F1125" s="73" t="n">
        <f aca="false">F1118+F1119+F1120-F1121+F1091-F1122-F1123-F1124</f>
        <v>3734109.37679766</v>
      </c>
      <c r="G1125" s="73" t="n">
        <f aca="false">G1118+G1119+G1120-G1121+G1091-G1122-G1123-G1124</f>
        <v>-113493.09057013</v>
      </c>
      <c r="H1125" s="73" t="n">
        <f aca="false">H1118+H1119+H1120-H1121+H1091-H1122-H1123-H1124</f>
        <v>636934.349303212</v>
      </c>
      <c r="I1125" s="73" t="n">
        <f aca="false">I1118+I1119+I1120-I1121+I1091-I1122-I1123-I1124</f>
        <v>-337149.23107269</v>
      </c>
      <c r="J1125" s="73" t="n">
        <f aca="false">J1118+J1119+J1120-J1121+J1091-J1122-J1123-J1124</f>
        <v>278820.592666291</v>
      </c>
      <c r="K1125" s="73" t="n">
        <f aca="false">K1118+K1119+K1120-K1121+K1091-K1122-K1123-K1124</f>
        <v>-349459.691538832</v>
      </c>
      <c r="L1125" s="73" t="n">
        <f aca="false">L1118+L1119+L1120-L1121+L1091-L1122-L1123-L1124</f>
        <v>115562.381238191</v>
      </c>
      <c r="M1125" s="73" t="n">
        <f aca="false">M1118+M1119+M1120-M1121+M1091-M1122-M1123-M1124</f>
        <v>-361662.67439692</v>
      </c>
      <c r="N1125" s="73" t="n">
        <f aca="false">N1118+N1119+N1120-N1121+N1091-N1122-N1123-N1124</f>
        <v>-31775.9539038946</v>
      </c>
      <c r="O1125" s="73" t="n">
        <f aca="false">O1118+O1119+O1120-O1121+O1091-O1122-O1123-O1124</f>
        <v>-373792.829551722</v>
      </c>
    </row>
    <row r="1126" customFormat="false" ht="15" hidden="false" customHeight="false" outlineLevel="0" collapsed="false">
      <c r="B1126" s="65" t="s">
        <v>1057</v>
      </c>
      <c r="C1126" s="25"/>
      <c r="D1126" s="73" t="n">
        <f aca="false">MIN(D1116+D1117,MAX(0,Liq_cible*D1090-(D1125-D1100)))</f>
        <v>1194375</v>
      </c>
      <c r="E1126" s="73" t="n">
        <f aca="false">MIN(E1116+E1117,MAX(0,Liq_cible*E1090-(E1125-E1100)))</f>
        <v>1151504.59375</v>
      </c>
      <c r="F1126" s="73" t="n">
        <f aca="false">MIN(F1116+F1117,MAX(0,Liq_cible*F1090-(F1125-F1100)))</f>
        <v>1110224.7562875</v>
      </c>
      <c r="G1126" s="73" t="n">
        <f aca="false">MIN(G1116+G1117,MAX(0,Liq_cible*G1090-(G1125-G1100)))</f>
        <v>1070474.66060151</v>
      </c>
      <c r="H1126" s="73" t="n">
        <f aca="false">MIN(H1116+H1117,MAX(0,Liq_cible*H1090-(H1125-H1100)))</f>
        <v>1057921.08531854</v>
      </c>
      <c r="I1126" s="73" t="n">
        <f aca="false">MIN(I1116+I1117,MAX(0,Liq_cible*I1090-(I1125-I1100)))</f>
        <v>946992.856851959</v>
      </c>
      <c r="J1126" s="73" t="n">
        <f aca="false">MIN(J1116+J1117,MAX(0,Liq_cible*J1090-(J1125-J1100)))</f>
        <v>913058.29082902</v>
      </c>
      <c r="K1126" s="73" t="n">
        <f aca="false">MIN(K1116+K1117,MAX(0,Liq_cible*K1090-(K1125-K1100)))</f>
        <v>808090.665904846</v>
      </c>
      <c r="L1126" s="73" t="n">
        <f aca="false">MIN(L1116+L1117,MAX(0,Liq_cible*L1090-(L1125-L1100)))</f>
        <v>779209.405327565</v>
      </c>
      <c r="M1126" s="73" t="n">
        <f aca="false">MIN(M1116+M1117,MAX(0,Liq_cible*M1090-(M1125-M1100)))</f>
        <v>684941.499953091</v>
      </c>
      <c r="N1126" s="73" t="n">
        <f aca="false">MIN(N1116+N1117,MAX(0,Liq_cible*N1090-(N1125-N1100)))</f>
        <v>660526.065645668</v>
      </c>
      <c r="O1126" s="73" t="n">
        <f aca="false">MIN(O1116+O1117,MAX(0,Liq_cible*O1090-(O1125-O1100)))</f>
        <v>576538.289281681</v>
      </c>
    </row>
    <row r="1127" customFormat="false" ht="15" hidden="false" customHeight="false" outlineLevel="0" collapsed="false">
      <c r="B1127" s="65" t="s">
        <v>1058</v>
      </c>
      <c r="C1127" s="25"/>
      <c r="D1127" s="73" t="n">
        <f aca="false">D1125-D1100+D1126</f>
        <v>3239375</v>
      </c>
      <c r="E1127" s="73" t="n">
        <f aca="false">E1125-E1100+E1126</f>
        <v>4059766.4375</v>
      </c>
      <c r="F1127" s="73" t="n">
        <f aca="false">F1125-F1100+F1126</f>
        <v>212331.46175703</v>
      </c>
      <c r="G1127" s="73" t="n">
        <f aca="false">G1125-G1100+G1126</f>
        <v>956981.570031384</v>
      </c>
      <c r="H1127" s="73" t="n">
        <f aca="false">H1125-H1100+H1126</f>
        <v>-2617496.47336678</v>
      </c>
      <c r="I1127" s="73" t="n">
        <f aca="false">I1125-I1100+I1126</f>
        <v>609843.625779269</v>
      </c>
      <c r="J1127" s="73" t="n">
        <f aca="false">J1125-J1100+J1126</f>
        <v>-2803506.19184828</v>
      </c>
      <c r="K1127" s="73" t="n">
        <f aca="false">K1125-K1100+K1126</f>
        <v>458630.974366014</v>
      </c>
      <c r="L1127" s="73" t="n">
        <f aca="false">L1125-L1100+L1126</f>
        <v>-2803146.29147655</v>
      </c>
      <c r="M1127" s="73" t="n">
        <f aca="false">M1125-M1100+M1126</f>
        <v>323278.825556171</v>
      </c>
      <c r="N1127" s="73" t="n">
        <f aca="false">N1125-N1100+N1126</f>
        <v>-2791665.91278611</v>
      </c>
      <c r="O1127" s="73" t="n">
        <f aca="false">O1125-O1100+O1126</f>
        <v>202745.45972996</v>
      </c>
    </row>
    <row r="1128" customFormat="false" ht="15" hidden="false" customHeight="false" outlineLevel="0" collapsed="false">
      <c r="B1128" s="65" t="s">
        <v>1059</v>
      </c>
      <c r="C1128" s="25"/>
      <c r="D1128" s="73" t="n">
        <f aca="false">MIN(MAX(0,MIN($S$20*AN_cible,Emprunt_max*D1090)-C1133),MAX(0,IF($S$20&gt;0,Poche_min_exec*D1090,0)-D1127))-IF(D1127&gt;Liq_cible*D1090,MIN(C1133,D1127-Liq_cible*D1090),0)</f>
        <v>0</v>
      </c>
      <c r="E1128" s="73" t="n">
        <f aca="false">MIN(MAX(0,MIN($S$20*AN_cible,Emprunt_max*E1090)-D1133),MAX(0,IF($S$20&gt;0,Poche_min_exec*E1090,0)-E1127))-IF(E1127&gt;Liq_cible*E1090,MIN(D1133,E1127-Liq_cible*E1090),0)</f>
        <v>0</v>
      </c>
      <c r="F1128" s="73" t="n">
        <f aca="false">MIN(MAX(0,MIN($S$20*AN_cible,Emprunt_max*F1090)-E1133),MAX(0,IF($S$20&gt;0,Poche_min_exec*F1090,0)-F1127))-IF(F1127&gt;Liq_cible*F1090,MIN(E1133,F1127-Liq_cible*F1090),0)</f>
        <v>0</v>
      </c>
      <c r="G1128" s="73" t="n">
        <f aca="false">MIN(MAX(0,MIN($S$20*AN_cible,Emprunt_max*G1090)-F1133),MAX(0,IF($S$20&gt;0,Poche_min_exec*G1090,0)-G1127))-IF(G1127&gt;Liq_cible*G1090,MIN(F1133,G1127-Liq_cible*G1090),0)</f>
        <v>0</v>
      </c>
      <c r="H1128" s="73" t="n">
        <f aca="false">MIN(MAX(0,MIN($S$20*AN_cible,Emprunt_max*H1090)-G1133),MAX(0,IF($S$20&gt;0,Poche_min_exec*H1090,0)-H1127))-IF(H1127&gt;Liq_cible*H1090,MIN(G1133,H1127-Liq_cible*H1090),0)</f>
        <v>0</v>
      </c>
      <c r="I1128" s="73" t="n">
        <f aca="false">MIN(MAX(0,MIN($S$20*AN_cible,Emprunt_max*I1090)-H1133),MAX(0,IF($S$20&gt;0,Poche_min_exec*I1090,0)-I1127))-IF(I1127&gt;Liq_cible*I1090,MIN(H1133,I1127-Liq_cible*I1090),0)</f>
        <v>0</v>
      </c>
      <c r="J1128" s="73" t="n">
        <f aca="false">MIN(MAX(0,MIN($S$20*AN_cible,Emprunt_max*J1090)-I1133),MAX(0,IF($S$20&gt;0,Poche_min_exec*J1090,0)-J1127))-IF(J1127&gt;Liq_cible*J1090,MIN(I1133,J1127-Liq_cible*J1090),0)</f>
        <v>0</v>
      </c>
      <c r="K1128" s="73" t="n">
        <f aca="false">MIN(MAX(0,MIN($S$20*AN_cible,Emprunt_max*K1090)-J1133),MAX(0,IF($S$20&gt;0,Poche_min_exec*K1090,0)-K1127))-IF(K1127&gt;Liq_cible*K1090,MIN(J1133,K1127-Liq_cible*K1090),0)</f>
        <v>0</v>
      </c>
      <c r="L1128" s="73" t="n">
        <f aca="false">MIN(MAX(0,MIN($S$20*AN_cible,Emprunt_max*L1090)-K1133),MAX(0,IF($S$20&gt;0,Poche_min_exec*L1090,0)-L1127))-IF(L1127&gt;Liq_cible*L1090,MIN(K1133,L1127-Liq_cible*L1090),0)</f>
        <v>0</v>
      </c>
      <c r="M1128" s="73" t="n">
        <f aca="false">MIN(MAX(0,MIN($S$20*AN_cible,Emprunt_max*M1090)-L1133),MAX(0,IF($S$20&gt;0,Poche_min_exec*M1090,0)-M1127))-IF(M1127&gt;Liq_cible*M1090,MIN(L1133,M1127-Liq_cible*M1090),0)</f>
        <v>0</v>
      </c>
      <c r="N1128" s="73" t="n">
        <f aca="false">MIN(MAX(0,MIN($S$20*AN_cible,Emprunt_max*N1090)-M1133),MAX(0,IF($S$20&gt;0,Poche_min_exec*N1090,0)-N1127))-IF(N1127&gt;Liq_cible*N1090,MIN(M1133,N1127-Liq_cible*N1090),0)</f>
        <v>0</v>
      </c>
      <c r="O1128" s="73" t="n">
        <f aca="false">MIN(MAX(0,MIN($S$20*AN_cible,Emprunt_max*O1090)-N1133),MAX(0,IF($S$20&gt;0,Poche_min_exec*O1090,0)-O1127))-IF(O1127&gt;Liq_cible*O1090,MIN(N1133,O1127-Liq_cible*O1090),0)</f>
        <v>0</v>
      </c>
    </row>
    <row r="1129" customFormat="false" ht="15" hidden="false" customHeight="false" outlineLevel="0" collapsed="false">
      <c r="B1129" s="65" t="s">
        <v>1060</v>
      </c>
      <c r="C1129" s="25"/>
      <c r="D1129" s="73" t="n">
        <f aca="false">MIN((C1104+C1105+C1106+C1107),MAX(0,-(D1127+D1128))/(1-Decote))</f>
        <v>0</v>
      </c>
      <c r="E1129" s="73" t="n">
        <f aca="false">MIN((D1104+D1105+D1106+D1107),MAX(0,-(E1127+E1128))/(1-Decote))</f>
        <v>0</v>
      </c>
      <c r="F1129" s="73" t="n">
        <f aca="false">MIN((E1104+E1105+E1106+E1107),MAX(0,-(F1127+F1128))/(1-Decote))</f>
        <v>0</v>
      </c>
      <c r="G1129" s="73" t="n">
        <f aca="false">MIN((F1104+F1105+F1106+F1107),MAX(0,-(G1127+G1128))/(1-Decote))</f>
        <v>0</v>
      </c>
      <c r="H1129" s="73" t="n">
        <f aca="false">MIN((G1104+G1105+G1106+G1107),MAX(0,-(H1127+H1128))/(1-Decote))</f>
        <v>2908329.41485198</v>
      </c>
      <c r="I1129" s="73" t="n">
        <f aca="false">MIN((H1104+H1105+H1106+H1107),MAX(0,-(I1127+I1128))/(1-Decote))</f>
        <v>0</v>
      </c>
      <c r="J1129" s="73" t="n">
        <f aca="false">MIN((I1104+I1105+I1106+I1107),MAX(0,-(J1127+J1128))/(1-Decote))</f>
        <v>3115006.87983143</v>
      </c>
      <c r="K1129" s="73" t="n">
        <f aca="false">MIN((J1104+J1105+J1106+J1107),MAX(0,-(K1127+K1128))/(1-Decote))</f>
        <v>0</v>
      </c>
      <c r="L1129" s="73" t="n">
        <f aca="false">MIN((K1104+K1105+K1106+K1107),MAX(0,-(L1127+L1128))/(1-Decote))</f>
        <v>3114606.9905295</v>
      </c>
      <c r="M1129" s="73" t="n">
        <f aca="false">MIN((L1104+L1105+L1106+L1107),MAX(0,-(M1127+M1128))/(1-Decote))</f>
        <v>0</v>
      </c>
      <c r="N1129" s="73" t="n">
        <f aca="false">MIN((M1104+M1105+M1106+M1107),MAX(0,-(N1127+N1128))/(1-Decote))</f>
        <v>3101851.01420679</v>
      </c>
      <c r="O1129" s="73" t="n">
        <f aca="false">MIN((N1104+N1105+N1106+N1107),MAX(0,-(O1127+O1128))/(1-Decote))</f>
        <v>0</v>
      </c>
    </row>
    <row r="1130" customFormat="false" ht="15" hidden="false" customHeight="false" outlineLevel="0" collapsed="false">
      <c r="B1130" s="65" t="s">
        <v>1061</v>
      </c>
      <c r="C1130" s="25"/>
      <c r="D1130" s="73" t="n">
        <f aca="false">D1129*Decote</f>
        <v>0</v>
      </c>
      <c r="E1130" s="73" t="n">
        <f aca="false">E1129*Decote</f>
        <v>0</v>
      </c>
      <c r="F1130" s="73" t="n">
        <f aca="false">F1129*Decote</f>
        <v>0</v>
      </c>
      <c r="G1130" s="73" t="n">
        <f aca="false">G1129*Decote</f>
        <v>0</v>
      </c>
      <c r="H1130" s="73" t="n">
        <f aca="false">H1129*Decote</f>
        <v>290832.941485198</v>
      </c>
      <c r="I1130" s="73" t="n">
        <f aca="false">I1129*Decote</f>
        <v>0</v>
      </c>
      <c r="J1130" s="73" t="n">
        <f aca="false">J1129*Decote</f>
        <v>311500.687983143</v>
      </c>
      <c r="K1130" s="73" t="n">
        <f aca="false">K1129*Decote</f>
        <v>0</v>
      </c>
      <c r="L1130" s="73" t="n">
        <f aca="false">L1129*Decote</f>
        <v>311460.69905295</v>
      </c>
      <c r="M1130" s="73" t="n">
        <f aca="false">M1129*Decote</f>
        <v>0</v>
      </c>
      <c r="N1130" s="73" t="n">
        <f aca="false">N1129*Decote</f>
        <v>310185.101420679</v>
      </c>
      <c r="O1130" s="73" t="n">
        <f aca="false">O1129*Decote</f>
        <v>0</v>
      </c>
    </row>
    <row r="1131" customFormat="false" ht="15" hidden="false" customHeight="false" outlineLevel="0" collapsed="false">
      <c r="B1131" s="65" t="s">
        <v>1062</v>
      </c>
      <c r="C1131" s="25"/>
      <c r="D1131" s="73" t="n">
        <f aca="false">IF(AND(D1101&lt;0.000001,C1133+D1128&lt;0.000001),MAX(0,D1127+D1128-Seuil_reinv*D1090),0)</f>
        <v>0</v>
      </c>
      <c r="E1131" s="73" t="n">
        <f aca="false">IF(AND(E1101&lt;0.000001,D1133+E1128&lt;0.000001),MAX(0,E1127+E1128-Seuil_reinv*E1090),0)</f>
        <v>0</v>
      </c>
      <c r="F1131" s="73" t="n">
        <f aca="false">IF(AND(F1101&lt;0.000001,E1133+F1128&lt;0.000001),MAX(0,F1127+F1128-Seuil_reinv*F1090),0)</f>
        <v>0</v>
      </c>
      <c r="G1131" s="73" t="n">
        <f aca="false">IF(AND(G1101&lt;0.000001,F1133+G1128&lt;0.000001),MAX(0,G1127+G1128-Seuil_reinv*G1090),0)</f>
        <v>0</v>
      </c>
      <c r="H1131" s="73" t="n">
        <f aca="false">IF(AND(H1101&lt;0.000001,G1133+H1128&lt;0.000001),MAX(0,H1127+H1128-Seuil_reinv*H1090),0)</f>
        <v>0</v>
      </c>
      <c r="I1131" s="73" t="n">
        <f aca="false">IF(AND(I1101&lt;0.000001,H1133+I1128&lt;0.000001),MAX(0,I1127+I1128-Seuil_reinv*I1090),0)</f>
        <v>0</v>
      </c>
      <c r="J1131" s="73" t="n">
        <f aca="false">IF(AND(J1101&lt;0.000001,I1133+J1128&lt;0.000001),MAX(0,J1127+J1128-Seuil_reinv*J1090),0)</f>
        <v>0</v>
      </c>
      <c r="K1131" s="73" t="n">
        <f aca="false">IF(AND(K1101&lt;0.000001,J1133+K1128&lt;0.000001),MAX(0,K1127+K1128-Seuil_reinv*K1090),0)</f>
        <v>0</v>
      </c>
      <c r="L1131" s="73" t="n">
        <f aca="false">IF(AND(L1101&lt;0.000001,K1133+L1128&lt;0.000001),MAX(0,L1127+L1128-Seuil_reinv*L1090),0)</f>
        <v>0</v>
      </c>
      <c r="M1131" s="73" t="n">
        <f aca="false">IF(AND(M1101&lt;0.000001,L1133+M1128&lt;0.000001),MAX(0,M1127+M1128-Seuil_reinv*M1090),0)</f>
        <v>0</v>
      </c>
      <c r="N1131" s="73" t="n">
        <f aca="false">IF(AND(N1101&lt;0.000001,M1133+N1128&lt;0.000001),MAX(0,N1127+N1128-Seuil_reinv*N1090),0)</f>
        <v>0</v>
      </c>
      <c r="O1131" s="73" t="n">
        <f aca="false">IF(AND(O1101&lt;0.000001,N1133+O1128&lt;0.000001),MAX(0,O1127+O1128-Seuil_reinv*O1090),0)</f>
        <v>0</v>
      </c>
    </row>
    <row r="1132" customFormat="false" ht="15" hidden="false" customHeight="false" outlineLevel="0" collapsed="false">
      <c r="B1132" s="65" t="s">
        <v>1063</v>
      </c>
      <c r="C1132" s="73" t="n">
        <f aca="false">AN_cible*Ws_LIQ</f>
        <v>7500000</v>
      </c>
      <c r="D1132" s="73" t="n">
        <f aca="false">D1127+D1128+D1129-D1130-D1131</f>
        <v>3239375</v>
      </c>
      <c r="E1132" s="73" t="n">
        <f aca="false">E1127+E1128+E1129-E1130-E1131</f>
        <v>4059766.4375</v>
      </c>
      <c r="F1132" s="73" t="n">
        <f aca="false">F1127+F1128+F1129-F1130-F1131</f>
        <v>212331.46175703</v>
      </c>
      <c r="G1132" s="73" t="n">
        <f aca="false">G1127+G1128+G1129-G1130-G1131</f>
        <v>956981.570031384</v>
      </c>
      <c r="H1132" s="73" t="n">
        <f aca="false">H1127+H1128+H1129-H1130-H1131</f>
        <v>0</v>
      </c>
      <c r="I1132" s="73" t="n">
        <f aca="false">I1127+I1128+I1129-I1130-I1131</f>
        <v>609843.625779269</v>
      </c>
      <c r="J1132" s="73" t="n">
        <f aca="false">J1127+J1128+J1129-J1130-J1131</f>
        <v>0</v>
      </c>
      <c r="K1132" s="73" t="n">
        <f aca="false">K1127+K1128+K1129-K1130-K1131</f>
        <v>458630.974366014</v>
      </c>
      <c r="L1132" s="73" t="n">
        <f aca="false">L1127+L1128+L1129-L1130-L1131</f>
        <v>0</v>
      </c>
      <c r="M1132" s="73" t="n">
        <f aca="false">M1127+M1128+M1129-M1130-M1131</f>
        <v>323278.825556171</v>
      </c>
      <c r="N1132" s="73" t="n">
        <f aca="false">N1127+N1128+N1129-N1130-N1131</f>
        <v>0</v>
      </c>
      <c r="O1132" s="73" t="n">
        <f aca="false">O1127+O1128+O1129-O1130-O1131</f>
        <v>202745.45972996</v>
      </c>
    </row>
    <row r="1133" customFormat="false" ht="15" hidden="false" customHeight="false" outlineLevel="0" collapsed="false">
      <c r="B1133" s="65" t="s">
        <v>1064</v>
      </c>
      <c r="C1133" s="73" t="n">
        <v>0</v>
      </c>
      <c r="D1133" s="73" t="n">
        <f aca="false">C1133+D1128</f>
        <v>0</v>
      </c>
      <c r="E1133" s="73" t="n">
        <f aca="false">D1133+E1128</f>
        <v>0</v>
      </c>
      <c r="F1133" s="73" t="n">
        <f aca="false">E1133+F1128</f>
        <v>0</v>
      </c>
      <c r="G1133" s="73" t="n">
        <f aca="false">F1133+G1128</f>
        <v>0</v>
      </c>
      <c r="H1133" s="73" t="n">
        <f aca="false">G1133+H1128</f>
        <v>0</v>
      </c>
      <c r="I1133" s="73" t="n">
        <f aca="false">H1133+I1128</f>
        <v>0</v>
      </c>
      <c r="J1133" s="73" t="n">
        <f aca="false">I1133+J1128</f>
        <v>0</v>
      </c>
      <c r="K1133" s="73" t="n">
        <f aca="false">J1133+K1128</f>
        <v>0</v>
      </c>
      <c r="L1133" s="73" t="n">
        <f aca="false">K1133+L1128</f>
        <v>0</v>
      </c>
      <c r="M1133" s="73" t="n">
        <f aca="false">L1133+M1128</f>
        <v>0</v>
      </c>
      <c r="N1133" s="73" t="n">
        <f aca="false">M1133+N1128</f>
        <v>0</v>
      </c>
      <c r="O1133" s="73" t="n">
        <f aca="false">N1133+O1128</f>
        <v>0</v>
      </c>
    </row>
    <row r="1134" customFormat="false" ht="15" hidden="false" customHeight="false" outlineLevel="0" collapsed="false">
      <c r="B1134" s="74" t="s">
        <v>1065</v>
      </c>
      <c r="C1134" s="73" t="n">
        <f aca="false">C1104+C1105+C1106+C1107+C1132-C1133</f>
        <v>50000000</v>
      </c>
      <c r="D1134" s="73" t="n">
        <f aca="false">D1104+D1105+D1106+D1107+D1132-D1133</f>
        <v>45600643.75</v>
      </c>
      <c r="E1134" s="73" t="n">
        <f aca="false">E1104+E1105+E1106+E1107+E1132-E1133</f>
        <v>46320026.7132813</v>
      </c>
      <c r="F1134" s="73" t="n">
        <f aca="false">F1104+F1105+F1106+F1107+F1132-F1133</f>
        <v>42408074.998576</v>
      </c>
      <c r="G1134" s="73" t="n">
        <f aca="false">G1104+G1105+G1106+G1107+G1132-G1133</f>
        <v>43123519.0798854</v>
      </c>
      <c r="H1134" s="73" t="n">
        <f aca="false">H1104+H1105+H1106+H1107+H1132-H1133</f>
        <v>39263179.7745366</v>
      </c>
      <c r="I1134" s="73" t="n">
        <f aca="false">I1104+I1105+I1106+I1107+I1132-I1133</f>
        <v>39953850.753436</v>
      </c>
      <c r="J1134" s="73" t="n">
        <f aca="false">J1104+J1105+J1106+J1107+J1132-J1133</f>
        <v>36339866.0603073</v>
      </c>
      <c r="K1134" s="73" t="n">
        <f aca="false">K1104+K1105+K1106+K1107+K1132-K1133</f>
        <v>36979180.780423</v>
      </c>
      <c r="L1134" s="73" t="n">
        <f aca="false">L1104+L1105+L1106+L1107+L1132-L1133</f>
        <v>33612858.215954</v>
      </c>
      <c r="M1134" s="73" t="n">
        <f aca="false">M1104+M1105+M1106+M1107+M1132-M1133</f>
        <v>34204160.2452788</v>
      </c>
      <c r="N1134" s="73" t="n">
        <f aca="false">N1104+N1105+N1106+N1107+N1132-N1133</f>
        <v>31069924.5387587</v>
      </c>
      <c r="O1134" s="73" t="n">
        <f aca="false">O1104+O1105+O1106+O1107+O1132-O1133</f>
        <v>31616372.2773163</v>
      </c>
    </row>
    <row r="1135" customFormat="false" ht="15" hidden="false" customHeight="false" outlineLevel="0" collapsed="false">
      <c r="B1135" s="65" t="s">
        <v>1066</v>
      </c>
      <c r="C1135" s="72" t="n">
        <f aca="false">IF((C1134+C1133)&gt;0,C1132/(C1134+C1133),0)</f>
        <v>0.15</v>
      </c>
      <c r="D1135" s="72" t="n">
        <f aca="false">IF((D1134+D1133)&gt;0,D1132/(D1134+D1133),0)</f>
        <v>0.0710379225731874</v>
      </c>
      <c r="E1135" s="72" t="n">
        <f aca="false">IF((E1134+E1133)&gt;0,E1132/(E1134+E1133),0)</f>
        <v>0.0876460297104266</v>
      </c>
      <c r="F1135" s="72" t="n">
        <f aca="false">IF((F1134+F1133)&gt;0,F1132/(F1134+F1133),0)</f>
        <v>0.00500686394664601</v>
      </c>
      <c r="G1135" s="72" t="n">
        <f aca="false">IF((G1134+G1133)&gt;0,G1132/(G1134+G1133),0)</f>
        <v>0.0221916390510384</v>
      </c>
      <c r="H1135" s="72" t="n">
        <f aca="false">IF((H1134+H1133)&gt;0,H1132/(H1134+H1133),0)</f>
        <v>0</v>
      </c>
      <c r="I1135" s="72" t="n">
        <f aca="false">IF((I1134+I1133)&gt;0,I1132/(I1134+I1133),0)</f>
        <v>0.015263700851834</v>
      </c>
      <c r="J1135" s="72" t="n">
        <f aca="false">IF((J1134+J1133)&gt;0,J1132/(J1134+J1133),0)</f>
        <v>0</v>
      </c>
      <c r="K1135" s="72" t="n">
        <f aca="false">IF((K1134+K1133)&gt;0,K1132/(K1134+K1133),0)</f>
        <v>0.0124024103478467</v>
      </c>
      <c r="L1135" s="72" t="n">
        <f aca="false">IF((L1134+L1133)&gt;0,L1132/(L1134+L1133),0)</f>
        <v>0</v>
      </c>
      <c r="M1135" s="72" t="n">
        <f aca="false">IF((M1134+M1133)&gt;0,M1132/(M1134+M1133),0)</f>
        <v>0.00945144752094281</v>
      </c>
      <c r="N1135" s="72" t="n">
        <f aca="false">IF((N1134+N1133)&gt;0,N1132/(N1134+N1133),0)</f>
        <v>0</v>
      </c>
      <c r="O1135" s="72" t="n">
        <f aca="false">IF((O1134+O1133)&gt;0,O1132/(O1134+O1133),0)</f>
        <v>0.0064126730907525</v>
      </c>
    </row>
    <row r="1136" customFormat="false" ht="15" hidden="false" customHeight="false" outlineLevel="0" collapsed="false">
      <c r="B1136" s="65" t="s">
        <v>1067</v>
      </c>
      <c r="C1136" s="72" t="n">
        <f aca="false">0</f>
        <v>0</v>
      </c>
      <c r="D1136" s="72" t="n">
        <f aca="false">IF(D1134&gt;0,D1101/D1134,0)</f>
        <v>0</v>
      </c>
      <c r="E1136" s="72" t="n">
        <f aca="false">IF(E1134&gt;0,E1101/E1134,0)</f>
        <v>0</v>
      </c>
      <c r="F1136" s="72" t="n">
        <f aca="false">IF(F1134&gt;0,F1101/F1134,0)</f>
        <v>0</v>
      </c>
      <c r="G1136" s="72" t="n">
        <f aca="false">IF(G1134&gt;0,G1101/G1134,0)</f>
        <v>0</v>
      </c>
      <c r="H1136" s="72" t="n">
        <f aca="false">IF(H1134&gt;0,H1101/H1134,0)</f>
        <v>0</v>
      </c>
      <c r="I1136" s="72" t="n">
        <f aca="false">IF(I1134&gt;0,I1101/I1134,0)</f>
        <v>0</v>
      </c>
      <c r="J1136" s="72" t="n">
        <f aca="false">IF(J1134&gt;0,J1101/J1134,0)</f>
        <v>0</v>
      </c>
      <c r="K1136" s="72" t="n">
        <f aca="false">IF(K1134&gt;0,K1101/K1134,0)</f>
        <v>0</v>
      </c>
      <c r="L1136" s="72" t="n">
        <f aca="false">IF(L1134&gt;0,L1101/L1134,0)</f>
        <v>0</v>
      </c>
      <c r="M1136" s="72" t="n">
        <f aca="false">IF(M1134&gt;0,M1101/M1134,0)</f>
        <v>0</v>
      </c>
      <c r="N1136" s="72" t="n">
        <f aca="false">IF(N1134&gt;0,N1101/N1134,0)</f>
        <v>0</v>
      </c>
      <c r="O1136" s="72" t="n">
        <f aca="false">IF(O1134&gt;0,O1101/O1134,0)</f>
        <v>0</v>
      </c>
    </row>
    <row r="1137" customFormat="false" ht="15" hidden="false" customHeight="false" outlineLevel="0" collapsed="false">
      <c r="B1137" s="65" t="s">
        <v>1068</v>
      </c>
      <c r="C1137" s="75" t="n">
        <f aca="false">IF((C1101+SUM(D1092:G1092)+SUM(D1122:G1122)+SUM(D1123:G1123)+SUM(D1121:G1121))&lt;=0,9.99,MIN(9.99,(C1132+SUM(D1120:G1120)+SUM(D1116:G1117)+MAX(0,MIN($S$20*AN_cible,Emprunt_max*C1134)-C1133))/(C1101+SUM(D1092:G1092)+SUM(D1122:G1122)+SUM(D1123:G1123)+SUM(D1121:G1121))))</f>
        <v>1.06549685288622</v>
      </c>
      <c r="D1137" s="73" t="n">
        <f aca="false">IF((D1101+SUM(E1092:H1092)+SUM(E1122:H1122)+SUM(E1123:H1123)+SUM(E1121:H1121))&lt;=0,9.99,MIN(9.99,(D1132+SUM(E1120:H1120)+SUM(E1116:H1117)+MAX(0,MIN($S$20*AN_cible,Emprunt_max*D1134)-D1133))/(D1101+SUM(E1092:H1092)+SUM(E1122:H1122)+SUM(E1123:H1123)+SUM(E1121:H1121))))</f>
        <v>0.783448954701773</v>
      </c>
      <c r="E1137" s="73" t="n">
        <f aca="false">IF((E1101+SUM(F1092:I1092)+SUM(F1122:I1122)+SUM(F1123:I1123)+SUM(F1121:I1121))&lt;=0,9.99,MIN(9.99,(E1132+SUM(F1120:I1120)+SUM(F1116:I1117)+MAX(0,MIN($S$20*AN_cible,Emprunt_max*E1134)-E1133))/(E1101+SUM(F1092:I1092)+SUM(F1122:I1122)+SUM(F1123:I1123)+SUM(F1121:I1121))))</f>
        <v>0.834118175512671</v>
      </c>
      <c r="F1137" s="73" t="n">
        <f aca="false">IF((F1101+SUM(G1092:J1092)+SUM(G1122:J1122)+SUM(G1123:J1123)+SUM(G1121:J1121))&lt;=0,9.99,MIN(9.99,(F1132+SUM(G1120:J1120)+SUM(G1116:J1117)+MAX(0,MIN($S$20*AN_cible,Emprunt_max*F1134)-F1133))/(F1101+SUM(G1092:J1092)+SUM(G1122:J1122)+SUM(G1123:J1123)+SUM(G1121:J1121))))</f>
        <v>0.532980983963287</v>
      </c>
      <c r="G1137" s="73" t="n">
        <f aca="false">IF((G1101+SUM(H1092:K1092)+SUM(H1122:K1122)+SUM(H1123:K1123)+SUM(H1121:K1121))&lt;=0,9.99,MIN(9.99,(G1132+SUM(H1120:K1120)+SUM(H1116:K1117)+MAX(0,MIN($S$20*AN_cible,Emprunt_max*G1134)-G1133))/(G1101+SUM(H1092:K1092)+SUM(H1122:K1122)+SUM(H1123:K1123)+SUM(H1121:K1121))))</f>
        <v>0.571407228041119</v>
      </c>
      <c r="H1137" s="73" t="n">
        <f aca="false">IF((H1101+SUM(I1092:L1092)+SUM(I1122:L1122)+SUM(I1123:L1123)+SUM(I1121:L1121))&lt;=0,9.99,MIN(9.99,(H1132+SUM(I1120:L1120)+SUM(I1116:L1117)+MAX(0,MIN($S$20*AN_cible,Emprunt_max*H1134)-H1133))/(H1101+SUM(I1092:L1092)+SUM(I1122:L1122)+SUM(I1123:L1123)+SUM(I1121:L1121))))</f>
        <v>0.487647053414777</v>
      </c>
      <c r="I1137" s="73" t="n">
        <f aca="false">IF((I1101+SUM(J1092:M1092)+SUM(J1122:M1122)+SUM(J1123:M1123)+SUM(J1121:M1121))&lt;=0,9.99,MIN(9.99,(I1132+SUM(J1120:M1120)+SUM(J1116:M1117)+MAX(0,MIN($S$20*AN_cible,Emprunt_max*I1134)-I1133))/(I1101+SUM(J1092:M1092)+SUM(J1122:M1122)+SUM(J1123:M1123)+SUM(J1121:M1121))))</f>
        <v>0.515905802162181</v>
      </c>
      <c r="J1137" s="73" t="n">
        <f aca="false">IF((J1101+SUM(K1092:N1092)+SUM(K1122:N1122)+SUM(K1123:N1123)+SUM(K1121:N1121))&lt;=0,9.99,MIN(9.99,(J1132+SUM(K1120:N1120)+SUM(K1116:N1117)+MAX(0,MIN($S$20*AN_cible,Emprunt_max*J1134)-J1133))/(J1101+SUM(K1092:N1092)+SUM(K1122:N1122)+SUM(K1123:N1123)+SUM(K1121:N1121))))</f>
        <v>0.45760448331617</v>
      </c>
      <c r="K1137" s="73" t="n">
        <f aca="false">IF((K1101+SUM(L1092:O1092)+SUM(L1122:O1122)+SUM(L1123:O1123)+SUM(L1121:O1121))&lt;=0,9.99,MIN(9.99,(K1132+SUM(L1120:O1120)+SUM(L1116:O1117)+MAX(0,MIN($S$20*AN_cible,Emprunt_max*K1134)-K1133))/(K1101+SUM(L1092:O1092)+SUM(L1122:O1122)+SUM(L1123:O1123)+SUM(L1121:O1121))))</f>
        <v>0.475905088507231</v>
      </c>
      <c r="L1137" s="73" t="n">
        <f aca="false">IF((L1101+SUM(M1092:O1092)+SUM(M1122:O1122)+SUM(M1123:O1123)+SUM(M1121:O1121))&lt;=0,9.99,MIN(9.99,(L1132+SUM(M1120:O1120)+SUM(M1116:O1117)+MAX(0,MIN($S$20*AN_cible,Emprunt_max*L1134)-L1133))/(L1101+SUM(M1092:O1092)+SUM(M1122:O1122)+SUM(M1123:O1123)+SUM(M1121:O1121))))</f>
        <v>0.552502981117063</v>
      </c>
      <c r="M1137" s="73" t="n">
        <f aca="false">IF((M1101+SUM(N1092:O1092)+SUM(N1122:O1122)+SUM(N1123:O1123)+SUM(N1121:O1121))&lt;=0,9.99,MIN(9.99,(M1132+SUM(N1120:O1120)+SUM(N1116:O1117)+MAX(0,MIN($S$20*AN_cible,Emprunt_max*M1134)-M1133))/(M1101+SUM(N1092:O1092)+SUM(N1122:O1122)+SUM(N1123:O1123)+SUM(N1121:O1121))))</f>
        <v>0.481478551775895</v>
      </c>
      <c r="N1137" s="73" t="n">
        <f aca="false">IF((N1101+SUM(O1092:O1092)+SUM(O1122:O1122)+SUM(O1123:O1123)+SUM(O1121:O1121))&lt;=0,9.99,MIN(9.99,(N1132+SUM(O1120:O1120)+SUM(O1116:O1117)+MAX(0,MIN($S$20*AN_cible,Emprunt_max*N1134)-N1133))/(N1101+SUM(O1092:O1092)+SUM(O1122:O1122)+SUM(O1123:O1123)+SUM(O1121:O1121))))</f>
        <v>1.25981361922118</v>
      </c>
      <c r="O1137" s="73" t="n">
        <f aca="false">9.99</f>
        <v>9.99</v>
      </c>
    </row>
    <row r="1138" customFormat="false" ht="15" hidden="false" customHeight="false" outlineLevel="0" collapsed="false">
      <c r="B1138" s="65" t="s">
        <v>1069</v>
      </c>
      <c r="C1138" s="72" t="n">
        <f aca="false">(C1104+C1105+C1106+C1107+C1112+C1113)/C1134</f>
        <v>1</v>
      </c>
      <c r="D1138" s="72" t="n">
        <f aca="false">(D1104+D1105+D1106+D1107+D1112+D1113)/D1134</f>
        <v>1.07972749288216</v>
      </c>
      <c r="E1138" s="72" t="n">
        <f aca="false">(E1104+E1105+E1106+E1107+E1112+E1113)/E1134</f>
        <v>1.04728480784472</v>
      </c>
      <c r="F1138" s="72" t="n">
        <f aca="false">(F1104+F1105+F1106+F1107+F1112+F1113)/F1134</f>
        <v>1.12763296939144</v>
      </c>
      <c r="G1138" s="72" t="n">
        <f aca="false">(G1104+G1105+G1106+G1107+G1112+G1113)/G1134</f>
        <v>1.09375437154095</v>
      </c>
      <c r="H1138" s="72" t="n">
        <f aca="false">(H1104+H1105+H1106+H1107+H1112+H1113)/H1134</f>
        <v>1.11142755184687</v>
      </c>
      <c r="I1138" s="72" t="n">
        <f aca="false">(I1104+I1105+I1106+I1107+I1112+I1113)/I1134</f>
        <v>1.07859458637915</v>
      </c>
      <c r="J1138" s="72" t="n">
        <f aca="false">(J1104+J1105+J1106+J1107+J1112+J1113)/J1134</f>
        <v>1.08599371265744</v>
      </c>
      <c r="K1138" s="72" t="n">
        <f aca="false">(K1104+K1105+K1106+K1107+K1112+K1113)/K1134</f>
        <v>1.05520319765209</v>
      </c>
      <c r="L1138" s="72" t="n">
        <f aca="false">(L1104+L1105+L1106+L1107+L1112+L1113)/L1134</f>
        <v>1.0557822244081</v>
      </c>
      <c r="M1138" s="72" t="n">
        <f aca="false">(M1104+M1105+M1106+M1107+M1112+M1113)/M1134</f>
        <v>1.02709381454765</v>
      </c>
      <c r="N1138" s="72" t="n">
        <f aca="false">(N1104+N1105+N1106+N1107+N1112+N1113)/N1134</f>
        <v>1.02011591625272</v>
      </c>
      <c r="O1138" s="72" t="n">
        <f aca="false">(O1104+O1105+O1106+O1107+O1112+O1113)/O1134</f>
        <v>0.993587326909248</v>
      </c>
    </row>
    <row r="1139" customFormat="false" ht="15" hidden="false" customHeight="false" outlineLevel="0" collapsed="false">
      <c r="B1139" s="65" t="s">
        <v>849</v>
      </c>
      <c r="C1139" s="72" t="n">
        <f aca="false">(C1134+C1133)/C1134</f>
        <v>1</v>
      </c>
      <c r="D1139" s="72" t="n">
        <f aca="false">(D1134+D1133)/D1134</f>
        <v>1</v>
      </c>
      <c r="E1139" s="72" t="n">
        <f aca="false">(E1134+E1133)/E1134</f>
        <v>1</v>
      </c>
      <c r="F1139" s="72" t="n">
        <f aca="false">(F1134+F1133)/F1134</f>
        <v>1</v>
      </c>
      <c r="G1139" s="72" t="n">
        <f aca="false">(G1134+G1133)/G1134</f>
        <v>1</v>
      </c>
      <c r="H1139" s="72" t="n">
        <f aca="false">(H1134+H1133)/H1134</f>
        <v>1</v>
      </c>
      <c r="I1139" s="72" t="n">
        <f aca="false">(I1134+I1133)/I1134</f>
        <v>1</v>
      </c>
      <c r="J1139" s="72" t="n">
        <f aca="false">(J1134+J1133)/J1134</f>
        <v>1</v>
      </c>
      <c r="K1139" s="72" t="n">
        <f aca="false">(K1134+K1133)/K1134</f>
        <v>1</v>
      </c>
      <c r="L1139" s="72" t="n">
        <f aca="false">(L1134+L1133)/L1134</f>
        <v>1</v>
      </c>
      <c r="M1139" s="72" t="n">
        <f aca="false">(M1134+M1133)/M1134</f>
        <v>1</v>
      </c>
      <c r="N1139" s="72" t="n">
        <f aca="false">(N1134+N1133)/N1134</f>
        <v>1</v>
      </c>
      <c r="O1139" s="72" t="n">
        <f aca="false">(O1134+O1133)/O1134</f>
        <v>1</v>
      </c>
    </row>
    <row r="1140" customFormat="false" ht="15" hidden="false" customHeight="false" outlineLevel="0" collapsed="false">
      <c r="B1140" s="65" t="s">
        <v>1070</v>
      </c>
      <c r="C1140" s="72" t="n">
        <f aca="false">(C1104+C1105*MSIG_USD)/C1134</f>
        <v>0.25</v>
      </c>
      <c r="D1140" s="72" t="n">
        <f aca="false">(D1104+D1105*MSIG_USD)/D1134</f>
        <v>0.28446007409709</v>
      </c>
      <c r="E1140" s="72" t="n">
        <f aca="false">(E1104+E1105*MSIG_USD)/E1134</f>
        <v>0.290301383104707</v>
      </c>
      <c r="F1140" s="72" t="n">
        <f aca="false">(F1104+F1105*MSIG_USD)/F1134</f>
        <v>0.328372464493897</v>
      </c>
      <c r="G1140" s="72" t="n">
        <f aca="false">(G1104+G1105*MSIG_USD)/G1134</f>
        <v>0.334115118845457</v>
      </c>
      <c r="H1140" s="72" t="n">
        <f aca="false">(H1104+H1105*MSIG_USD)/H1134</f>
        <v>0.354040428242709</v>
      </c>
      <c r="I1140" s="72" t="n">
        <f aca="false">(I1104+I1105*MSIG_USD)/I1134</f>
        <v>0.359993743458957</v>
      </c>
      <c r="J1140" s="72" t="n">
        <f aca="false">(J1104+J1105*MSIG_USD)/J1134</f>
        <v>0.377835219627966</v>
      </c>
      <c r="K1140" s="72" t="n">
        <f aca="false">(K1104+K1105*MSIG_USD)/K1134</f>
        <v>0.384312170850294</v>
      </c>
      <c r="L1140" s="72" t="n">
        <f aca="false">(L1104+L1105*MSIG_USD)/L1134</f>
        <v>0.401165533546169</v>
      </c>
      <c r="M1140" s="72" t="n">
        <f aca="false">(M1104+M1105*MSIG_USD)/M1134</f>
        <v>0.408239420983561</v>
      </c>
      <c r="N1140" s="72" t="n">
        <f aca="false">(N1104+N1105*MSIG_USD)/N1134</f>
        <v>0.423817382748012</v>
      </c>
      <c r="O1140" s="72" t="n">
        <f aca="false">(O1104+O1105*MSIG_USD)/O1134</f>
        <v>0.431570598310185</v>
      </c>
    </row>
    <row r="1141" customFormat="false" ht="15" hidden="false" customHeight="false" outlineLevel="0" collapsed="false">
      <c r="B1141" s="65" t="s">
        <v>1071</v>
      </c>
      <c r="C1141" s="25"/>
      <c r="D1141" s="65" t="n">
        <f aca="false">IF(AND($S$9&lt;0.5*Collecte_norm,IF(D1085&lt;=$S$11,0,$S$10)&lt;0.5,IF(D1085&lt;=4,$S$17,($S$18+$S$19)/2)&lt;0.7),1,0)</f>
        <v>0</v>
      </c>
      <c r="E1141" s="65" t="n">
        <f aca="false">IF(AND($S$9&lt;0.5*Collecte_norm,IF(E1085&lt;=$S$11,0,$S$10)&lt;0.5,IF(E1085&lt;=4,$S$17,($S$18+$S$19)/2)&lt;0.7),1,0)</f>
        <v>0</v>
      </c>
      <c r="F1141" s="65" t="n">
        <f aca="false">IF(AND($S$9&lt;0.5*Collecte_norm,IF(F1085&lt;=$S$11,0,$S$10)&lt;0.5,IF(F1085&lt;=4,$S$17,($S$18+$S$19)/2)&lt;0.7),1,0)</f>
        <v>0</v>
      </c>
      <c r="G1141" s="65" t="n">
        <f aca="false">IF(AND($S$9&lt;0.5*Collecte_norm,IF(G1085&lt;=$S$11,0,$S$10)&lt;0.5,IF(G1085&lt;=4,$S$17,($S$18+$S$19)/2)&lt;0.7),1,0)</f>
        <v>0</v>
      </c>
      <c r="H1141" s="65" t="n">
        <f aca="false">IF(AND($S$9&lt;0.5*Collecte_norm,IF(H1085&lt;=$S$11,0,$S$10)&lt;0.5,IF(H1085&lt;=4,$S$17,($S$18+$S$19)/2)&lt;0.7),1,0)</f>
        <v>0</v>
      </c>
      <c r="I1141" s="65" t="n">
        <f aca="false">IF(AND($S$9&lt;0.5*Collecte_norm,IF(I1085&lt;=$S$11,0,$S$10)&lt;0.5,IF(I1085&lt;=4,$S$17,($S$18+$S$19)/2)&lt;0.7),1,0)</f>
        <v>0</v>
      </c>
      <c r="J1141" s="65" t="n">
        <f aca="false">IF(AND($S$9&lt;0.5*Collecte_norm,IF(J1085&lt;=$S$11,0,$S$10)&lt;0.5,IF(J1085&lt;=4,$S$17,($S$18+$S$19)/2)&lt;0.7),1,0)</f>
        <v>0</v>
      </c>
      <c r="K1141" s="65" t="n">
        <f aca="false">IF(AND($S$9&lt;0.5*Collecte_norm,IF(K1085&lt;=$S$11,0,$S$10)&lt;0.5,IF(K1085&lt;=4,$S$17,($S$18+$S$19)/2)&lt;0.7),1,0)</f>
        <v>0</v>
      </c>
      <c r="L1141" s="65" t="n">
        <f aca="false">IF(AND($S$9&lt;0.5*Collecte_norm,IF(L1085&lt;=$S$11,0,$S$10)&lt;0.5,IF(L1085&lt;=4,$S$17,($S$18+$S$19)/2)&lt;0.7),1,0)</f>
        <v>0</v>
      </c>
      <c r="M1141" s="65" t="n">
        <f aca="false">IF(AND($S$9&lt;0.5*Collecte_norm,IF(M1085&lt;=$S$11,0,$S$10)&lt;0.5,IF(M1085&lt;=4,$S$17,($S$18+$S$19)/2)&lt;0.7),1,0)</f>
        <v>0</v>
      </c>
      <c r="N1141" s="65" t="n">
        <f aca="false">IF(AND($S$9&lt;0.5*Collecte_norm,IF(N1085&lt;=$S$11,0,$S$10)&lt;0.5,IF(N1085&lt;=4,$S$17,($S$18+$S$19)/2)&lt;0.7),1,0)</f>
        <v>0</v>
      </c>
      <c r="O1141" s="65" t="n">
        <f aca="false">IF(AND($S$9&lt;0.5*Collecte_norm,IF(O1085&lt;=$S$11,0,$S$10)&lt;0.5,IF(O1085&lt;=4,$S$17,($S$18+$S$19)/2)&lt;0.7),1,0)</f>
        <v>0</v>
      </c>
    </row>
    <row r="1142" customFormat="false" ht="15" hidden="false" customHeight="false" outlineLevel="0" collapsed="false">
      <c r="B1142" s="76" t="s">
        <v>1072</v>
      </c>
      <c r="C1142" s="76" t="n">
        <v>99</v>
      </c>
      <c r="D1142" s="76" t="n">
        <f aca="false">IF(D1102=1,D1088,99)</f>
        <v>99</v>
      </c>
      <c r="E1142" s="76" t="n">
        <f aca="false">IF(E1102=1,E1088,99)</f>
        <v>99</v>
      </c>
      <c r="F1142" s="76" t="n">
        <f aca="false">IF(F1102=1,F1088,99)</f>
        <v>99</v>
      </c>
      <c r="G1142" s="76" t="n">
        <f aca="false">IF(G1102=1,G1088,99)</f>
        <v>99</v>
      </c>
      <c r="H1142" s="76" t="n">
        <f aca="false">IF(H1102=1,H1088,99)</f>
        <v>99</v>
      </c>
      <c r="I1142" s="76" t="n">
        <f aca="false">IF(I1102=1,I1088,99)</f>
        <v>99</v>
      </c>
      <c r="J1142" s="76" t="n">
        <f aca="false">IF(J1102=1,J1088,99)</f>
        <v>99</v>
      </c>
      <c r="K1142" s="76" t="n">
        <f aca="false">IF(K1102=1,K1088,99)</f>
        <v>99</v>
      </c>
      <c r="L1142" s="76" t="n">
        <f aca="false">IF(L1102=1,L1088,99)</f>
        <v>99</v>
      </c>
      <c r="M1142" s="76" t="n">
        <f aca="false">IF(M1102=1,M1088,99)</f>
        <v>99</v>
      </c>
      <c r="N1142" s="76" t="n">
        <f aca="false">IF(N1102=1,N1088,99)</f>
        <v>99</v>
      </c>
      <c r="O1142" s="76" t="n">
        <f aca="false">IF(O1102=1,O1088,99)</f>
        <v>99</v>
      </c>
    </row>
    <row r="1143" customFormat="false" ht="15" hidden="false" customHeight="false" outlineLevel="0" collapsed="false">
      <c r="B1143" s="76" t="s">
        <v>1073</v>
      </c>
      <c r="C1143" s="76" t="n">
        <v>99</v>
      </c>
      <c r="D1143" s="76" t="n">
        <f aca="false">IF(AND(D1087=1,D1088&gt;MIN($D1142:$O1142),D1101&lt;=0.000001),D1088,99)</f>
        <v>99</v>
      </c>
      <c r="E1143" s="76" t="n">
        <f aca="false">IF(AND(E1087=1,E1088&gt;MIN($D1142:$O1142),E1101&lt;=0.000001),E1088,99)</f>
        <v>99</v>
      </c>
      <c r="F1143" s="76" t="n">
        <f aca="false">IF(AND(F1087=1,F1088&gt;MIN($D1142:$O1142),F1101&lt;=0.000001),F1088,99)</f>
        <v>99</v>
      </c>
      <c r="G1143" s="76" t="n">
        <f aca="false">IF(AND(G1087=1,G1088&gt;MIN($D1142:$O1142),G1101&lt;=0.000001),G1088,99)</f>
        <v>99</v>
      </c>
      <c r="H1143" s="76" t="n">
        <f aca="false">IF(AND(H1087=1,H1088&gt;MIN($D1142:$O1142),H1101&lt;=0.000001),H1088,99)</f>
        <v>99</v>
      </c>
      <c r="I1143" s="76" t="n">
        <f aca="false">IF(AND(I1087=1,I1088&gt;MIN($D1142:$O1142),I1101&lt;=0.000001),I1088,99)</f>
        <v>99</v>
      </c>
      <c r="J1143" s="76" t="n">
        <f aca="false">IF(AND(J1087=1,J1088&gt;MIN($D1142:$O1142),J1101&lt;=0.000001),J1088,99)</f>
        <v>99</v>
      </c>
      <c r="K1143" s="76" t="n">
        <f aca="false">IF(AND(K1087=1,K1088&gt;MIN($D1142:$O1142),K1101&lt;=0.000001),K1088,99)</f>
        <v>99</v>
      </c>
      <c r="L1143" s="76" t="n">
        <f aca="false">IF(AND(L1087=1,L1088&gt;MIN($D1142:$O1142),L1101&lt;=0.000001),L1088,99)</f>
        <v>99</v>
      </c>
      <c r="M1143" s="76" t="n">
        <f aca="false">IF(AND(M1087=1,M1088&gt;MIN($D1142:$O1142),M1101&lt;=0.000001),M1088,99)</f>
        <v>99</v>
      </c>
      <c r="N1143" s="76" t="n">
        <f aca="false">IF(AND(N1087=1,N1088&gt;MIN($D1142:$O1142),N1101&lt;=0.000001),N1088,99)</f>
        <v>99</v>
      </c>
      <c r="O1143" s="76" t="n">
        <f aca="false">IF(AND(O1087=1,O1088&gt;MIN($D1142:$O1142),O1101&lt;=0.000001),O1088,99)</f>
        <v>99</v>
      </c>
    </row>
    <row r="1144" customFormat="false" ht="15" hidden="false" customHeight="false" outlineLevel="0" collapsed="false">
      <c r="B1144" s="76" t="s">
        <v>1074</v>
      </c>
      <c r="C1144" s="76" t="n">
        <v>9999999</v>
      </c>
      <c r="D1144" s="76" t="n">
        <f aca="false">IF(D1099=1,D1086,9999999)</f>
        <v>9999999</v>
      </c>
      <c r="E1144" s="76" t="n">
        <f aca="false">IF(E1099=1,E1086,9999999)</f>
        <v>9999999</v>
      </c>
      <c r="F1144" s="76" t="n">
        <f aca="false">IF(F1099=1,F1086,9999999)</f>
        <v>9999999</v>
      </c>
      <c r="G1144" s="76" t="n">
        <f aca="false">IF(G1099=1,G1086,9999999)</f>
        <v>9999999</v>
      </c>
      <c r="H1144" s="76" t="n">
        <f aca="false">IF(H1099=1,H1086,9999999)</f>
        <v>9999999</v>
      </c>
      <c r="I1144" s="76" t="n">
        <f aca="false">IF(I1099=1,I1086,9999999)</f>
        <v>9999999</v>
      </c>
      <c r="J1144" s="76" t="n">
        <f aca="false">IF(J1099=1,J1086,9999999)</f>
        <v>9999999</v>
      </c>
      <c r="K1144" s="76" t="n">
        <f aca="false">IF(K1099=1,K1086,9999999)</f>
        <v>9999999</v>
      </c>
      <c r="L1144" s="76" t="n">
        <f aca="false">IF(L1099=1,L1086,9999999)</f>
        <v>9999999</v>
      </c>
      <c r="M1144" s="76" t="n">
        <f aca="false">IF(M1099=1,M1086,9999999)</f>
        <v>9999999</v>
      </c>
      <c r="N1144" s="76" t="n">
        <f aca="false">IF(N1099=1,N1086,9999999)</f>
        <v>9999999</v>
      </c>
      <c r="O1144" s="76" t="n">
        <f aca="false">IF(O1099=1,O1086,9999999)</f>
        <v>9999999</v>
      </c>
    </row>
    <row r="1145" customFormat="false" ht="15" hidden="false" customHeight="false" outlineLevel="0" collapsed="false">
      <c r="B1145" s="76" t="s">
        <v>1075</v>
      </c>
      <c r="C1145" s="76" t="n">
        <v>9999999</v>
      </c>
      <c r="D1145" s="76" t="n">
        <f aca="false">IF(D1141=1,D1086,9999999)</f>
        <v>9999999</v>
      </c>
      <c r="E1145" s="76" t="n">
        <f aca="false">IF(E1141=1,E1086,9999999)</f>
        <v>9999999</v>
      </c>
      <c r="F1145" s="76" t="n">
        <f aca="false">IF(F1141=1,F1086,9999999)</f>
        <v>9999999</v>
      </c>
      <c r="G1145" s="76" t="n">
        <f aca="false">IF(G1141=1,G1086,9999999)</f>
        <v>9999999</v>
      </c>
      <c r="H1145" s="76" t="n">
        <f aca="false">IF(H1141=1,H1086,9999999)</f>
        <v>9999999</v>
      </c>
      <c r="I1145" s="76" t="n">
        <f aca="false">IF(I1141=1,I1086,9999999)</f>
        <v>9999999</v>
      </c>
      <c r="J1145" s="76" t="n">
        <f aca="false">IF(J1141=1,J1086,9999999)</f>
        <v>9999999</v>
      </c>
      <c r="K1145" s="76" t="n">
        <f aca="false">IF(K1141=1,K1086,9999999)</f>
        <v>9999999</v>
      </c>
      <c r="L1145" s="76" t="n">
        <f aca="false">IF(L1141=1,L1086,9999999)</f>
        <v>9999999</v>
      </c>
      <c r="M1145" s="76" t="n">
        <f aca="false">IF(M1141=1,M1086,9999999)</f>
        <v>9999999</v>
      </c>
      <c r="N1145" s="76" t="n">
        <f aca="false">IF(N1141=1,N1086,9999999)</f>
        <v>9999999</v>
      </c>
      <c r="O1145" s="76" t="n">
        <f aca="false">IF(O1141=1,O1086,9999999)</f>
        <v>9999999</v>
      </c>
    </row>
    <row r="1150" customFormat="false" ht="15" hidden="false" customHeight="false" outlineLevel="0" collapsed="false">
      <c r="B1150" s="45" t="str">
        <f aca="false">T$5</f>
        <v>Sans plafonnement 12.5 % par date</v>
      </c>
      <c r="C1150" s="45" t="s">
        <v>55</v>
      </c>
      <c r="D1150" s="45" t="n">
        <v>18</v>
      </c>
      <c r="E1150" s="2"/>
      <c r="F1150" s="2"/>
      <c r="G1150" s="2"/>
      <c r="H1150" s="2"/>
      <c r="I1150" s="2"/>
      <c r="J1150" s="2"/>
      <c r="K1150" s="2"/>
      <c r="L1150" s="2"/>
      <c r="M1150" s="2"/>
      <c r="N1150" s="2"/>
      <c r="O1150" s="2"/>
    </row>
    <row r="1151" customFormat="false" ht="15" hidden="false" customHeight="false" outlineLevel="0" collapsed="false">
      <c r="B1151" s="65" t="s">
        <v>1019</v>
      </c>
      <c r="C1151" s="65" t="n">
        <v>0</v>
      </c>
      <c r="D1151" s="65" t="n">
        <v>1</v>
      </c>
      <c r="E1151" s="65" t="n">
        <v>2</v>
      </c>
      <c r="F1151" s="65" t="n">
        <v>3</v>
      </c>
      <c r="G1151" s="65" t="n">
        <v>4</v>
      </c>
      <c r="H1151" s="65" t="n">
        <v>5</v>
      </c>
      <c r="I1151" s="65" t="n">
        <v>6</v>
      </c>
      <c r="J1151" s="65" t="n">
        <v>7</v>
      </c>
      <c r="K1151" s="65" t="n">
        <v>8</v>
      </c>
      <c r="L1151" s="65" t="n">
        <v>9</v>
      </c>
      <c r="M1151" s="65" t="n">
        <v>10</v>
      </c>
      <c r="N1151" s="65" t="n">
        <v>11</v>
      </c>
      <c r="O1151" s="65" t="n">
        <v>12</v>
      </c>
    </row>
    <row r="1152" customFormat="false" ht="15" hidden="false" customHeight="false" outlineLevel="0" collapsed="false">
      <c r="B1152" s="65" t="s">
        <v>209</v>
      </c>
      <c r="C1152" s="71" t="n">
        <f aca="false">Date_depart</f>
        <v>47026</v>
      </c>
      <c r="D1152" s="71" t="n">
        <f aca="false">EOMONTH(Date_depart,3*D1151)</f>
        <v>47118</v>
      </c>
      <c r="E1152" s="71" t="n">
        <f aca="false">EOMONTH(Date_depart,3*E1151)</f>
        <v>47208</v>
      </c>
      <c r="F1152" s="71" t="n">
        <f aca="false">EOMONTH(Date_depart,3*F1151)</f>
        <v>47299</v>
      </c>
      <c r="G1152" s="71" t="n">
        <f aca="false">EOMONTH(Date_depart,3*G1151)</f>
        <v>47391</v>
      </c>
      <c r="H1152" s="71" t="n">
        <f aca="false">EOMONTH(Date_depart,3*H1151)</f>
        <v>47483</v>
      </c>
      <c r="I1152" s="71" t="n">
        <f aca="false">EOMONTH(Date_depart,3*I1151)</f>
        <v>47573</v>
      </c>
      <c r="J1152" s="71" t="n">
        <f aca="false">EOMONTH(Date_depart,3*J1151)</f>
        <v>47664</v>
      </c>
      <c r="K1152" s="71" t="n">
        <f aca="false">EOMONTH(Date_depart,3*K1151)</f>
        <v>47756</v>
      </c>
      <c r="L1152" s="71" t="n">
        <f aca="false">EOMONTH(Date_depart,3*L1151)</f>
        <v>47848</v>
      </c>
      <c r="M1152" s="71" t="n">
        <f aca="false">EOMONTH(Date_depart,3*M1151)</f>
        <v>47938</v>
      </c>
      <c r="N1152" s="71" t="n">
        <f aca="false">EOMONTH(Date_depart,3*N1151)</f>
        <v>48029</v>
      </c>
      <c r="O1152" s="71" t="n">
        <f aca="false">EOMONTH(Date_depart,3*O1151)</f>
        <v>48121</v>
      </c>
    </row>
    <row r="1153" customFormat="false" ht="15" hidden="false" customHeight="false" outlineLevel="0" collapsed="false">
      <c r="B1153" s="65" t="s">
        <v>1020</v>
      </c>
      <c r="C1153" s="65" t="n">
        <v>0</v>
      </c>
      <c r="D1153" s="65" t="n">
        <f aca="false">IF(OR(MONTH(D1152)=6,MONTH(D1152)=12),1,0)</f>
        <v>1</v>
      </c>
      <c r="E1153" s="65" t="n">
        <f aca="false">IF(OR(MONTH(E1152)=6,MONTH(E1152)=12),1,0)</f>
        <v>0</v>
      </c>
      <c r="F1153" s="65" t="n">
        <f aca="false">IF(OR(MONTH(F1152)=6,MONTH(F1152)=12),1,0)</f>
        <v>1</v>
      </c>
      <c r="G1153" s="65" t="n">
        <f aca="false">IF(OR(MONTH(G1152)=6,MONTH(G1152)=12),1,0)</f>
        <v>0</v>
      </c>
      <c r="H1153" s="65" t="n">
        <f aca="false">IF(OR(MONTH(H1152)=6,MONTH(H1152)=12),1,0)</f>
        <v>1</v>
      </c>
      <c r="I1153" s="65" t="n">
        <f aca="false">IF(OR(MONTH(I1152)=6,MONTH(I1152)=12),1,0)</f>
        <v>0</v>
      </c>
      <c r="J1153" s="65" t="n">
        <f aca="false">IF(OR(MONTH(J1152)=6,MONTH(J1152)=12),1,0)</f>
        <v>1</v>
      </c>
      <c r="K1153" s="65" t="n">
        <f aca="false">IF(OR(MONTH(K1152)=6,MONTH(K1152)=12),1,0)</f>
        <v>0</v>
      </c>
      <c r="L1153" s="65" t="n">
        <f aca="false">IF(OR(MONTH(L1152)=6,MONTH(L1152)=12),1,0)</f>
        <v>1</v>
      </c>
      <c r="M1153" s="65" t="n">
        <f aca="false">IF(OR(MONTH(M1152)=6,MONTH(M1152)=12),1,0)</f>
        <v>0</v>
      </c>
      <c r="N1153" s="65" t="n">
        <f aca="false">IF(OR(MONTH(N1152)=6,MONTH(N1152)=12),1,0)</f>
        <v>1</v>
      </c>
      <c r="O1153" s="65" t="n">
        <f aca="false">IF(OR(MONTH(O1152)=6,MONTH(O1152)=12),1,0)</f>
        <v>0</v>
      </c>
    </row>
    <row r="1154" customFormat="false" ht="15" hidden="false" customHeight="false" outlineLevel="0" collapsed="false">
      <c r="B1154" s="65" t="s">
        <v>1021</v>
      </c>
      <c r="C1154" s="65" t="n">
        <v>0</v>
      </c>
      <c r="D1154" s="65" t="n">
        <f aca="false">C1154+D1153</f>
        <v>1</v>
      </c>
      <c r="E1154" s="65" t="n">
        <f aca="false">D1154+E1153</f>
        <v>1</v>
      </c>
      <c r="F1154" s="65" t="n">
        <f aca="false">E1154+F1153</f>
        <v>2</v>
      </c>
      <c r="G1154" s="65" t="n">
        <f aca="false">F1154+G1153</f>
        <v>2</v>
      </c>
      <c r="H1154" s="65" t="n">
        <f aca="false">G1154+H1153</f>
        <v>3</v>
      </c>
      <c r="I1154" s="65" t="n">
        <f aca="false">H1154+I1153</f>
        <v>3</v>
      </c>
      <c r="J1154" s="65" t="n">
        <f aca="false">I1154+J1153</f>
        <v>4</v>
      </c>
      <c r="K1154" s="65" t="n">
        <f aca="false">J1154+K1153</f>
        <v>4</v>
      </c>
      <c r="L1154" s="65" t="n">
        <f aca="false">K1154+L1153</f>
        <v>5</v>
      </c>
      <c r="M1154" s="65" t="n">
        <f aca="false">L1154+M1153</f>
        <v>5</v>
      </c>
      <c r="N1154" s="65" t="n">
        <f aca="false">M1154+N1153</f>
        <v>6</v>
      </c>
      <c r="O1154" s="65" t="n">
        <f aca="false">N1154+O1153</f>
        <v>6</v>
      </c>
    </row>
    <row r="1155" customFormat="false" ht="15" hidden="false" customHeight="false" outlineLevel="0" collapsed="false">
      <c r="B1155" s="65" t="s">
        <v>1022</v>
      </c>
      <c r="C1155" s="25"/>
      <c r="D1155" s="72" t="n">
        <f aca="false">IF(D1153=1,IF(C1165=1,0,IF(D1154=1,$T$6,IF(D1154=2,$T$7,$T$8))),0)</f>
        <v>0.125</v>
      </c>
      <c r="E1155" s="72" t="n">
        <f aca="false">IF(E1153=1,IF(D1165=1,0,IF(E1154=1,$T$6,IF(E1154=2,$T$7,$T$8))),0)</f>
        <v>0</v>
      </c>
      <c r="F1155" s="72" t="n">
        <f aca="false">IF(F1153=1,IF(E1165=1,0,IF(F1154=1,$T$6,IF(F1154=2,$T$7,$T$8))),0)</f>
        <v>0.125</v>
      </c>
      <c r="G1155" s="72" t="n">
        <f aca="false">IF(G1153=1,IF(F1165=1,0,IF(G1154=1,$T$6,IF(G1154=2,$T$7,$T$8))),0)</f>
        <v>0</v>
      </c>
      <c r="H1155" s="72" t="n">
        <f aca="false">IF(H1153=1,IF(G1165=1,0,IF(H1154=1,$T$6,IF(H1154=2,$T$7,$T$8))),0)</f>
        <v>0.125</v>
      </c>
      <c r="I1155" s="72" t="n">
        <f aca="false">IF(I1153=1,IF(H1165=1,0,IF(I1154=1,$T$6,IF(I1154=2,$T$7,$T$8))),0)</f>
        <v>0</v>
      </c>
      <c r="J1155" s="72" t="n">
        <f aca="false">IF(J1153=1,IF(I1165=1,0,IF(J1154=1,$T$6,IF(J1154=2,$T$7,$T$8))),0)</f>
        <v>0.125</v>
      </c>
      <c r="K1155" s="72" t="n">
        <f aca="false">IF(K1153=1,IF(J1165=1,0,IF(K1154=1,$T$6,IF(K1154=2,$T$7,$T$8))),0)</f>
        <v>0</v>
      </c>
      <c r="L1155" s="72" t="n">
        <f aca="false">IF(L1153=1,IF(K1165=1,0,IF(L1154=1,$T$6,IF(L1154=2,$T$7,$T$8))),0)</f>
        <v>0.125</v>
      </c>
      <c r="M1155" s="72" t="n">
        <f aca="false">IF(M1153=1,IF(L1165=1,0,IF(M1154=1,$T$6,IF(M1154=2,$T$7,$T$8))),0)</f>
        <v>0</v>
      </c>
      <c r="N1155" s="72" t="n">
        <f aca="false">IF(N1153=1,IF(M1165=1,0,IF(N1154=1,$T$6,IF(N1154=2,$T$7,$T$8))),0)</f>
        <v>0.125</v>
      </c>
      <c r="O1155" s="72" t="n">
        <f aca="false">IF(O1153=1,IF(N1165=1,0,IF(O1154=1,$T$6,IF(O1154=2,$T$7,$T$8))),0)</f>
        <v>0</v>
      </c>
    </row>
    <row r="1156" customFormat="false" ht="15" hidden="false" customHeight="false" outlineLevel="0" collapsed="false">
      <c r="B1156" s="65" t="s">
        <v>1023</v>
      </c>
      <c r="C1156" s="25"/>
      <c r="D1156" s="73" t="n">
        <f aca="false">C1200</f>
        <v>50000000</v>
      </c>
      <c r="E1156" s="73" t="n">
        <f aca="false">D1200</f>
        <v>44350643.75</v>
      </c>
      <c r="F1156" s="73" t="n">
        <f aca="false">E1200</f>
        <v>45068464.2132813</v>
      </c>
      <c r="G1156" s="73" t="n">
        <f aca="false">F1200</f>
        <v>39926464.8182634</v>
      </c>
      <c r="H1156" s="73" t="n">
        <f aca="false">G1200</f>
        <v>40603250.9061517</v>
      </c>
      <c r="I1156" s="73" t="n">
        <f aca="false">H1200</f>
        <v>35815117.092231</v>
      </c>
      <c r="J1156" s="73" t="n">
        <f aca="false">I1200</f>
        <v>36445124.1307512</v>
      </c>
      <c r="K1156" s="73" t="n">
        <f aca="false">J1200</f>
        <v>32124067.7669631</v>
      </c>
      <c r="L1156" s="73" t="n">
        <f aca="false">K1200</f>
        <v>32689175.287149</v>
      </c>
      <c r="M1156" s="73" t="n">
        <f aca="false">L1200</f>
        <v>28789156.0639226</v>
      </c>
      <c r="N1156" s="73" t="n">
        <f aca="false">M1200</f>
        <v>29295523.4630234</v>
      </c>
      <c r="O1156" s="73" t="n">
        <f aca="false">N1200</f>
        <v>25777106.3078494</v>
      </c>
    </row>
    <row r="1157" customFormat="false" ht="15" hidden="false" customHeight="false" outlineLevel="0" collapsed="false">
      <c r="B1157" s="65" t="s">
        <v>177</v>
      </c>
      <c r="C1157" s="25"/>
      <c r="D1157" s="73" t="n">
        <f aca="false">IF(C1165=1,0,$T$9*D1156)</f>
        <v>0</v>
      </c>
      <c r="E1157" s="73" t="n">
        <f aca="false">IF(D1165=1,0,$T$9*E1156)</f>
        <v>0</v>
      </c>
      <c r="F1157" s="73" t="n">
        <f aca="false">IF(E1165=1,0,$T$9*F1156)</f>
        <v>0</v>
      </c>
      <c r="G1157" s="73" t="n">
        <f aca="false">IF(F1165=1,0,$T$9*G1156)</f>
        <v>0</v>
      </c>
      <c r="H1157" s="73" t="n">
        <f aca="false">IF(G1165=1,0,$T$9*H1156)</f>
        <v>0</v>
      </c>
      <c r="I1157" s="73" t="n">
        <f aca="false">IF(H1165=1,0,$T$9*I1156)</f>
        <v>0</v>
      </c>
      <c r="J1157" s="73" t="n">
        <f aca="false">IF(I1165=1,0,$T$9*J1156)</f>
        <v>0</v>
      </c>
      <c r="K1157" s="73" t="n">
        <f aca="false">IF(J1165=1,0,$T$9*K1156)</f>
        <v>0</v>
      </c>
      <c r="L1157" s="73" t="n">
        <f aca="false">IF(K1165=1,0,$T$9*L1156)</f>
        <v>0</v>
      </c>
      <c r="M1157" s="73" t="n">
        <f aca="false">IF(L1165=1,0,$T$9*M1156)</f>
        <v>0</v>
      </c>
      <c r="N1157" s="73" t="n">
        <f aca="false">IF(M1165=1,0,$T$9*N1156)</f>
        <v>0</v>
      </c>
      <c r="O1157" s="73" t="n">
        <f aca="false">IF(N1165=1,0,$T$9*O1156)</f>
        <v>0</v>
      </c>
    </row>
    <row r="1158" customFormat="false" ht="15" hidden="false" customHeight="false" outlineLevel="0" collapsed="false">
      <c r="B1158" s="65" t="s">
        <v>1024</v>
      </c>
      <c r="C1158" s="25"/>
      <c r="D1158" s="73" t="n">
        <f aca="false">D1155*D1156</f>
        <v>6250000</v>
      </c>
      <c r="E1158" s="73" t="n">
        <f aca="false">E1155*E1156</f>
        <v>0</v>
      </c>
      <c r="F1158" s="73" t="n">
        <f aca="false">F1155*F1156</f>
        <v>5633558.02666016</v>
      </c>
      <c r="G1158" s="73" t="n">
        <f aca="false">G1155*G1156</f>
        <v>0</v>
      </c>
      <c r="H1158" s="73" t="n">
        <f aca="false">H1155*H1156</f>
        <v>5075406.36326896</v>
      </c>
      <c r="I1158" s="73" t="n">
        <f aca="false">I1155*I1156</f>
        <v>0</v>
      </c>
      <c r="J1158" s="73" t="n">
        <f aca="false">J1155*J1156</f>
        <v>4555640.5163439</v>
      </c>
      <c r="K1158" s="73" t="n">
        <f aca="false">K1155*K1156</f>
        <v>0</v>
      </c>
      <c r="L1158" s="73" t="n">
        <f aca="false">L1155*L1156</f>
        <v>4086146.91089362</v>
      </c>
      <c r="M1158" s="73" t="n">
        <f aca="false">M1155*M1156</f>
        <v>0</v>
      </c>
      <c r="N1158" s="73" t="n">
        <f aca="false">N1155*N1156</f>
        <v>3661940.43287792</v>
      </c>
      <c r="O1158" s="73" t="n">
        <f aca="false">O1155*O1156</f>
        <v>0</v>
      </c>
    </row>
    <row r="1159" customFormat="false" ht="15" hidden="false" customHeight="false" outlineLevel="0" collapsed="false">
      <c r="B1159" s="65" t="s">
        <v>1025</v>
      </c>
      <c r="C1159" s="25"/>
      <c r="D1159" s="73" t="n">
        <f aca="false">C1167</f>
        <v>0</v>
      </c>
      <c r="E1159" s="73" t="n">
        <f aca="false">D1167</f>
        <v>0</v>
      </c>
      <c r="F1159" s="73" t="n">
        <f aca="false">E1167</f>
        <v>0</v>
      </c>
      <c r="G1159" s="73" t="n">
        <f aca="false">F1167</f>
        <v>0</v>
      </c>
      <c r="H1159" s="73" t="n">
        <f aca="false">G1167</f>
        <v>0</v>
      </c>
      <c r="I1159" s="73" t="n">
        <f aca="false">H1167</f>
        <v>0</v>
      </c>
      <c r="J1159" s="73" t="n">
        <f aca="false">I1167</f>
        <v>0</v>
      </c>
      <c r="K1159" s="73" t="n">
        <f aca="false">J1167</f>
        <v>0</v>
      </c>
      <c r="L1159" s="73" t="n">
        <f aca="false">K1167</f>
        <v>0</v>
      </c>
      <c r="M1159" s="73" t="n">
        <f aca="false">L1167</f>
        <v>0</v>
      </c>
      <c r="N1159" s="73" t="n">
        <f aca="false">M1167</f>
        <v>0</v>
      </c>
      <c r="O1159" s="73" t="n">
        <f aca="false">N1167</f>
        <v>0</v>
      </c>
    </row>
    <row r="1160" customFormat="false" ht="15" hidden="false" customHeight="false" outlineLevel="0" collapsed="false">
      <c r="B1160" s="65" t="s">
        <v>1026</v>
      </c>
      <c r="C1160" s="25"/>
      <c r="D1160" s="73" t="n">
        <f aca="false">D1158+D1159</f>
        <v>6250000</v>
      </c>
      <c r="E1160" s="73" t="n">
        <f aca="false">E1158+E1159</f>
        <v>0</v>
      </c>
      <c r="F1160" s="73" t="n">
        <f aca="false">F1158+F1159</f>
        <v>5633558.02666016</v>
      </c>
      <c r="G1160" s="73" t="n">
        <f aca="false">G1158+G1159</f>
        <v>0</v>
      </c>
      <c r="H1160" s="73" t="n">
        <f aca="false">H1158+H1159</f>
        <v>5075406.36326896</v>
      </c>
      <c r="I1160" s="73" t="n">
        <f aca="false">I1158+I1159</f>
        <v>0</v>
      </c>
      <c r="J1160" s="73" t="n">
        <f aca="false">J1158+J1159</f>
        <v>4555640.5163439</v>
      </c>
      <c r="K1160" s="73" t="n">
        <f aca="false">K1158+K1159</f>
        <v>0</v>
      </c>
      <c r="L1160" s="73" t="n">
        <f aca="false">L1158+L1159</f>
        <v>4086146.91089362</v>
      </c>
      <c r="M1160" s="73" t="n">
        <f aca="false">M1158+M1159</f>
        <v>0</v>
      </c>
      <c r="N1160" s="73" t="n">
        <f aca="false">N1158+N1159</f>
        <v>3661940.43287792</v>
      </c>
      <c r="O1160" s="73" t="n">
        <f aca="false">O1158+O1159</f>
        <v>0</v>
      </c>
    </row>
    <row r="1161" customFormat="false" ht="15" hidden="false" customHeight="false" outlineLevel="0" collapsed="false">
      <c r="B1161" s="65" t="s">
        <v>1027</v>
      </c>
      <c r="C1161" s="25"/>
      <c r="D1161" s="73" t="n">
        <f aca="false">IF($T$21=1,Gate*D1156+D1157,D1160)</f>
        <v>6250000</v>
      </c>
      <c r="E1161" s="73" t="n">
        <f aca="false">IF($T$21=1,Gate*E1156+E1157,E1160)</f>
        <v>0</v>
      </c>
      <c r="F1161" s="73" t="n">
        <f aca="false">IF($T$21=1,Gate*F1156+F1157,F1160)</f>
        <v>5633558.02666016</v>
      </c>
      <c r="G1161" s="73" t="n">
        <f aca="false">IF($T$21=1,Gate*G1156+G1157,G1160)</f>
        <v>0</v>
      </c>
      <c r="H1161" s="73" t="n">
        <f aca="false">IF($T$21=1,Gate*H1156+H1157,H1160)</f>
        <v>5075406.36326896</v>
      </c>
      <c r="I1161" s="73" t="n">
        <f aca="false">IF($T$21=1,Gate*I1156+I1157,I1160)</f>
        <v>0</v>
      </c>
      <c r="J1161" s="73" t="n">
        <f aca="false">IF($T$21=1,Gate*J1156+J1157,J1160)</f>
        <v>4555640.5163439</v>
      </c>
      <c r="K1161" s="73" t="n">
        <f aca="false">IF($T$21=1,Gate*K1156+K1157,K1160)</f>
        <v>0</v>
      </c>
      <c r="L1161" s="73" t="n">
        <f aca="false">IF($T$21=1,Gate*L1156+L1157,L1160)</f>
        <v>4086146.91089362</v>
      </c>
      <c r="M1161" s="73" t="n">
        <f aca="false">IF($T$21=1,Gate*M1156+M1157,M1160)</f>
        <v>0</v>
      </c>
      <c r="N1161" s="73" t="n">
        <f aca="false">IF($T$21=1,Gate*N1156+N1157,N1160)</f>
        <v>3661940.43287792</v>
      </c>
      <c r="O1161" s="73" t="n">
        <f aca="false">IF($T$21=1,Gate*O1156+O1157,O1160)</f>
        <v>0</v>
      </c>
    </row>
    <row r="1162" customFormat="false" ht="15" hidden="false" customHeight="false" outlineLevel="0" collapsed="false">
      <c r="B1162" s="65" t="s">
        <v>1028</v>
      </c>
      <c r="C1162" s="25"/>
      <c r="D1162" s="73" t="n">
        <f aca="false">IF(D1153=1,MIN(D1160,D1161),0)</f>
        <v>6250000</v>
      </c>
      <c r="E1162" s="73" t="n">
        <f aca="false">IF(E1153=1,MIN(E1160,E1161),0)</f>
        <v>0</v>
      </c>
      <c r="F1162" s="73" t="n">
        <f aca="false">IF(F1153=1,MIN(F1160,F1161),0)</f>
        <v>5633558.02666016</v>
      </c>
      <c r="G1162" s="73" t="n">
        <f aca="false">IF(G1153=1,MIN(G1160,G1161),0)</f>
        <v>0</v>
      </c>
      <c r="H1162" s="73" t="n">
        <f aca="false">IF(H1153=1,MIN(H1160,H1161),0)</f>
        <v>5075406.36326896</v>
      </c>
      <c r="I1162" s="73" t="n">
        <f aca="false">IF(I1153=1,MIN(I1160,I1161),0)</f>
        <v>0</v>
      </c>
      <c r="J1162" s="73" t="n">
        <f aca="false">IF(J1153=1,MIN(J1160,J1161),0)</f>
        <v>4555640.5163439</v>
      </c>
      <c r="K1162" s="73" t="n">
        <f aca="false">IF(K1153=1,MIN(K1160,K1161),0)</f>
        <v>0</v>
      </c>
      <c r="L1162" s="73" t="n">
        <f aca="false">IF(L1153=1,MIN(L1160,L1161),0)</f>
        <v>4086146.91089362</v>
      </c>
      <c r="M1162" s="73" t="n">
        <f aca="false">IF(M1153=1,MIN(M1160,M1161),0)</f>
        <v>0</v>
      </c>
      <c r="N1162" s="73" t="n">
        <f aca="false">IF(N1153=1,MIN(N1160,N1161),0)</f>
        <v>3661940.43287792</v>
      </c>
      <c r="O1162" s="73" t="n">
        <f aca="false">IF(O1153=1,MIN(O1160,O1161),0)</f>
        <v>0</v>
      </c>
    </row>
    <row r="1163" customFormat="false" ht="15" hidden="false" customHeight="false" outlineLevel="0" collapsed="false">
      <c r="B1163" s="65" t="s">
        <v>1029</v>
      </c>
      <c r="C1163" s="25"/>
      <c r="D1163" s="73" t="n">
        <f aca="false">MAX(0,D1191+D1182+D1183-Poche_min_exec*D1156-D1162-SUM(E1188:F1188)+MAX(0,MIN($T$20*AN_cible,Emprunt_max*D1156)-C1199))</f>
        <v>0</v>
      </c>
      <c r="E1163" s="73" t="n">
        <f aca="false">MAX(0,E1191+E1182+E1183-Poche_min_exec*E1156-E1162-SUM(F1188:G1188)+MAX(0,MIN($T$20*AN_cible,Emprunt_max*E1156)-D1199))</f>
        <v>0</v>
      </c>
      <c r="F1163" s="73" t="n">
        <f aca="false">MAX(0,F1191+F1182+F1183-Poche_min_exec*F1156-F1162-SUM(G1188:H1188)+MAX(0,MIN($T$20*AN_cible,Emprunt_max*F1156)-E1199))</f>
        <v>0</v>
      </c>
      <c r="G1163" s="73" t="n">
        <f aca="false">MAX(0,G1191+G1182+G1183-Poche_min_exec*G1156-G1162-SUM(H1188:I1188)+MAX(0,MIN($T$20*AN_cible,Emprunt_max*G1156)-F1199))</f>
        <v>0</v>
      </c>
      <c r="H1163" s="73" t="n">
        <f aca="false">MAX(0,H1191+H1182+H1183-Poche_min_exec*H1156-H1162-SUM(I1188:J1188)+MAX(0,MIN($T$20*AN_cible,Emprunt_max*H1156)-G1199))</f>
        <v>0</v>
      </c>
      <c r="I1163" s="73" t="n">
        <f aca="false">MAX(0,I1191+I1182+I1183-Poche_min_exec*I1156-I1162-SUM(J1188:K1188)+MAX(0,MIN($T$20*AN_cible,Emprunt_max*I1156)-H1199))</f>
        <v>0</v>
      </c>
      <c r="J1163" s="73" t="n">
        <f aca="false">MAX(0,J1191+J1182+J1183-Poche_min_exec*J1156-J1162-SUM(K1188:L1188)+MAX(0,MIN($T$20*AN_cible,Emprunt_max*J1156)-I1199))</f>
        <v>0</v>
      </c>
      <c r="K1163" s="73" t="n">
        <f aca="false">MAX(0,K1191+K1182+K1183-Poche_min_exec*K1156-K1162-SUM(L1188:M1188)+MAX(0,MIN($T$20*AN_cible,Emprunt_max*K1156)-J1199))</f>
        <v>0</v>
      </c>
      <c r="L1163" s="73" t="n">
        <f aca="false">MAX(0,L1191+L1182+L1183-Poche_min_exec*L1156-L1162-SUM(M1188:N1188)+MAX(0,MIN($T$20*AN_cible,Emprunt_max*L1156)-K1199))</f>
        <v>0</v>
      </c>
      <c r="M1163" s="73" t="n">
        <f aca="false">MAX(0,M1191+M1182+M1183-Poche_min_exec*M1156-M1162-SUM(N1188:O1188)+MAX(0,MIN($T$20*AN_cible,Emprunt_max*M1156)-L1199))</f>
        <v>0</v>
      </c>
      <c r="N1163" s="73" t="n">
        <f aca="false">MAX(0,N1191+N1182+N1183-Poche_min_exec*N1156-N1162-SUM(O1188:O1188)+MAX(0,MIN($T$20*AN_cible,Emprunt_max*N1156)-M1199))</f>
        <v>0</v>
      </c>
      <c r="O1163" s="73" t="n">
        <f aca="false">MAX(0,O1191+O1182+O1183-Poche_min_exec*O1156-O1162-0+MAX(0,MIN($T$20*AN_cible,Emprunt_max*O1156)-N1199))</f>
        <v>0</v>
      </c>
    </row>
    <row r="1164" customFormat="false" ht="15" hidden="false" customHeight="false" outlineLevel="0" collapsed="false">
      <c r="B1164" s="65" t="s">
        <v>1030</v>
      </c>
      <c r="C1164" s="25"/>
      <c r="D1164" s="73" t="n">
        <f aca="false">IF(AND(D1153=1,$T$21=1,$T$22=1),MIN(D1160-D1162,D1163),0)</f>
        <v>0</v>
      </c>
      <c r="E1164" s="73" t="n">
        <f aca="false">IF(AND(E1153=1,$T$21=1,$T$22=1),MIN(E1160-E1162,E1163),0)</f>
        <v>0</v>
      </c>
      <c r="F1164" s="73" t="n">
        <f aca="false">IF(AND(F1153=1,$T$21=1,$T$22=1),MIN(F1160-F1162,F1163),0)</f>
        <v>0</v>
      </c>
      <c r="G1164" s="73" t="n">
        <f aca="false">IF(AND(G1153=1,$T$21=1,$T$22=1),MIN(G1160-G1162,G1163),0)</f>
        <v>0</v>
      </c>
      <c r="H1164" s="73" t="n">
        <f aca="false">IF(AND(H1153=1,$T$21=1,$T$22=1),MIN(H1160-H1162,H1163),0)</f>
        <v>0</v>
      </c>
      <c r="I1164" s="73" t="n">
        <f aca="false">IF(AND(I1153=1,$T$21=1,$T$22=1),MIN(I1160-I1162,I1163),0)</f>
        <v>0</v>
      </c>
      <c r="J1164" s="73" t="n">
        <f aca="false">IF(AND(J1153=1,$T$21=1,$T$22=1),MIN(J1160-J1162,J1163),0)</f>
        <v>0</v>
      </c>
      <c r="K1164" s="73" t="n">
        <f aca="false">IF(AND(K1153=1,$T$21=1,$T$22=1),MIN(K1160-K1162,K1163),0)</f>
        <v>0</v>
      </c>
      <c r="L1164" s="73" t="n">
        <f aca="false">IF(AND(L1153=1,$T$21=1,$T$22=1),MIN(L1160-L1162,L1163),0)</f>
        <v>0</v>
      </c>
      <c r="M1164" s="73" t="n">
        <f aca="false">IF(AND(M1153=1,$T$21=1,$T$22=1),MIN(M1160-M1162,M1163),0)</f>
        <v>0</v>
      </c>
      <c r="N1164" s="73" t="n">
        <f aca="false">IF(AND(N1153=1,$T$21=1,$T$22=1),MIN(N1160-N1162,N1163),0)</f>
        <v>0</v>
      </c>
      <c r="O1164" s="73" t="n">
        <f aca="false">IF(AND(O1153=1,$T$21=1,$T$22=1),MIN(O1160-O1162,O1163),0)</f>
        <v>0</v>
      </c>
    </row>
    <row r="1165" customFormat="false" ht="15" hidden="false" customHeight="false" outlineLevel="0" collapsed="false">
      <c r="B1165" s="65" t="s">
        <v>1031</v>
      </c>
      <c r="C1165" s="65" t="n">
        <v>0</v>
      </c>
      <c r="D1165" s="65" t="n">
        <f aca="false">IF(C1165=1,1,IF(AND(D1153=1,$T$21=1,C1169&gt;=Gate_dates,D1160-D1162-D1164&gt;0.000001),1,0))</f>
        <v>0</v>
      </c>
      <c r="E1165" s="65" t="n">
        <f aca="false">IF(D1165=1,1,IF(AND(E1153=1,$T$21=1,D1169&gt;=Gate_dates,E1160-E1162-E1164&gt;0.000001),1,0))</f>
        <v>0</v>
      </c>
      <c r="F1165" s="65" t="n">
        <f aca="false">IF(E1165=1,1,IF(AND(F1153=1,$T$21=1,E1169&gt;=Gate_dates,F1160-F1162-F1164&gt;0.000001),1,0))</f>
        <v>0</v>
      </c>
      <c r="G1165" s="65" t="n">
        <f aca="false">IF(F1165=1,1,IF(AND(G1153=1,$T$21=1,F1169&gt;=Gate_dates,G1160-G1162-G1164&gt;0.000001),1,0))</f>
        <v>0</v>
      </c>
      <c r="H1165" s="65" t="n">
        <f aca="false">IF(G1165=1,1,IF(AND(H1153=1,$T$21=1,G1169&gt;=Gate_dates,H1160-H1162-H1164&gt;0.000001),1,0))</f>
        <v>0</v>
      </c>
      <c r="I1165" s="65" t="n">
        <f aca="false">IF(H1165=1,1,IF(AND(I1153=1,$T$21=1,H1169&gt;=Gate_dates,I1160-I1162-I1164&gt;0.000001),1,0))</f>
        <v>0</v>
      </c>
      <c r="J1165" s="65" t="n">
        <f aca="false">IF(I1165=1,1,IF(AND(J1153=1,$T$21=1,I1169&gt;=Gate_dates,J1160-J1162-J1164&gt;0.000001),1,0))</f>
        <v>0</v>
      </c>
      <c r="K1165" s="65" t="n">
        <f aca="false">IF(J1165=1,1,IF(AND(K1153=1,$T$21=1,J1169&gt;=Gate_dates,K1160-K1162-K1164&gt;0.000001),1,0))</f>
        <v>0</v>
      </c>
      <c r="L1165" s="65" t="n">
        <f aca="false">IF(K1165=1,1,IF(AND(L1153=1,$T$21=1,K1169&gt;=Gate_dates,L1160-L1162-L1164&gt;0.000001),1,0))</f>
        <v>0</v>
      </c>
      <c r="M1165" s="65" t="n">
        <f aca="false">IF(L1165=1,1,IF(AND(M1153=1,$T$21=1,L1169&gt;=Gate_dates,M1160-M1162-M1164&gt;0.000001),1,0))</f>
        <v>0</v>
      </c>
      <c r="N1165" s="65" t="n">
        <f aca="false">IF(M1165=1,1,IF(AND(N1153=1,$T$21=1,M1169&gt;=Gate_dates,N1160-N1162-N1164&gt;0.000001),1,0))</f>
        <v>0</v>
      </c>
      <c r="O1165" s="65" t="n">
        <f aca="false">IF(N1165=1,1,IF(AND(O1153=1,$T$21=1,N1169&gt;=Gate_dates,O1160-O1162-O1164&gt;0.000001),1,0))</f>
        <v>0</v>
      </c>
    </row>
    <row r="1166" customFormat="false" ht="15" hidden="false" customHeight="false" outlineLevel="0" collapsed="false">
      <c r="B1166" s="65" t="s">
        <v>1032</v>
      </c>
      <c r="C1166" s="25"/>
      <c r="D1166" s="73" t="n">
        <f aca="false">IF(D1165=1,0,D1162+D1164)</f>
        <v>6250000</v>
      </c>
      <c r="E1166" s="73" t="n">
        <f aca="false">IF(E1165=1,0,E1162+E1164)</f>
        <v>0</v>
      </c>
      <c r="F1166" s="73" t="n">
        <f aca="false">IF(F1165=1,0,F1162+F1164)</f>
        <v>5633558.02666016</v>
      </c>
      <c r="G1166" s="73" t="n">
        <f aca="false">IF(G1165=1,0,G1162+G1164)</f>
        <v>0</v>
      </c>
      <c r="H1166" s="73" t="n">
        <f aca="false">IF(H1165=1,0,H1162+H1164)</f>
        <v>5075406.36326896</v>
      </c>
      <c r="I1166" s="73" t="n">
        <f aca="false">IF(I1165=1,0,I1162+I1164)</f>
        <v>0</v>
      </c>
      <c r="J1166" s="73" t="n">
        <f aca="false">IF(J1165=1,0,J1162+J1164)</f>
        <v>4555640.5163439</v>
      </c>
      <c r="K1166" s="73" t="n">
        <f aca="false">IF(K1165=1,0,K1162+K1164)</f>
        <v>0</v>
      </c>
      <c r="L1166" s="73" t="n">
        <f aca="false">IF(L1165=1,0,L1162+L1164)</f>
        <v>4086146.91089362</v>
      </c>
      <c r="M1166" s="73" t="n">
        <f aca="false">IF(M1165=1,0,M1162+M1164)</f>
        <v>0</v>
      </c>
      <c r="N1166" s="73" t="n">
        <f aca="false">IF(N1165=1,0,N1162+N1164)</f>
        <v>3661940.43287792</v>
      </c>
      <c r="O1166" s="73" t="n">
        <f aca="false">IF(O1165=1,0,O1162+O1164)</f>
        <v>0</v>
      </c>
    </row>
    <row r="1167" customFormat="false" ht="15" hidden="false" customHeight="false" outlineLevel="0" collapsed="false">
      <c r="B1167" s="65" t="s">
        <v>1033</v>
      </c>
      <c r="C1167" s="73" t="n">
        <v>0</v>
      </c>
      <c r="D1167" s="73" t="n">
        <f aca="false">D1160-D1166</f>
        <v>0</v>
      </c>
      <c r="E1167" s="73" t="n">
        <f aca="false">E1160-E1166</f>
        <v>0</v>
      </c>
      <c r="F1167" s="73" t="n">
        <f aca="false">F1160-F1166</f>
        <v>0</v>
      </c>
      <c r="G1167" s="73" t="n">
        <f aca="false">G1160-G1166</f>
        <v>0</v>
      </c>
      <c r="H1167" s="73" t="n">
        <f aca="false">H1160-H1166</f>
        <v>0</v>
      </c>
      <c r="I1167" s="73" t="n">
        <f aca="false">I1160-I1166</f>
        <v>0</v>
      </c>
      <c r="J1167" s="73" t="n">
        <f aca="false">J1160-J1166</f>
        <v>0</v>
      </c>
      <c r="K1167" s="73" t="n">
        <f aca="false">K1160-K1166</f>
        <v>0</v>
      </c>
      <c r="L1167" s="73" t="n">
        <f aca="false">L1160-L1166</f>
        <v>0</v>
      </c>
      <c r="M1167" s="73" t="n">
        <f aca="false">M1160-M1166</f>
        <v>0</v>
      </c>
      <c r="N1167" s="73" t="n">
        <f aca="false">N1160-N1166</f>
        <v>0</v>
      </c>
      <c r="O1167" s="73" t="n">
        <f aca="false">O1160-O1166</f>
        <v>0</v>
      </c>
    </row>
    <row r="1168" customFormat="false" ht="15" hidden="false" customHeight="false" outlineLevel="0" collapsed="false">
      <c r="B1168" s="65" t="s">
        <v>1034</v>
      </c>
      <c r="C1168" s="25"/>
      <c r="D1168" s="65" t="n">
        <f aca="false">IF(AND(D1153=1,D1165=0,D1167&gt;0.000001),1,0)</f>
        <v>0</v>
      </c>
      <c r="E1168" s="65" t="n">
        <f aca="false">IF(AND(E1153=1,E1165=0,E1167&gt;0.000001),1,0)</f>
        <v>0</v>
      </c>
      <c r="F1168" s="65" t="n">
        <f aca="false">IF(AND(F1153=1,F1165=0,F1167&gt;0.000001),1,0)</f>
        <v>0</v>
      </c>
      <c r="G1168" s="65" t="n">
        <f aca="false">IF(AND(G1153=1,G1165=0,G1167&gt;0.000001),1,0)</f>
        <v>0</v>
      </c>
      <c r="H1168" s="65" t="n">
        <f aca="false">IF(AND(H1153=1,H1165=0,H1167&gt;0.000001),1,0)</f>
        <v>0</v>
      </c>
      <c r="I1168" s="65" t="n">
        <f aca="false">IF(AND(I1153=1,I1165=0,I1167&gt;0.000001),1,0)</f>
        <v>0</v>
      </c>
      <c r="J1168" s="65" t="n">
        <f aca="false">IF(AND(J1153=1,J1165=0,J1167&gt;0.000001),1,0)</f>
        <v>0</v>
      </c>
      <c r="K1168" s="65" t="n">
        <f aca="false">IF(AND(K1153=1,K1165=0,K1167&gt;0.000001),1,0)</f>
        <v>0</v>
      </c>
      <c r="L1168" s="65" t="n">
        <f aca="false">IF(AND(L1153=1,L1165=0,L1167&gt;0.000001),1,0)</f>
        <v>0</v>
      </c>
      <c r="M1168" s="65" t="n">
        <f aca="false">IF(AND(M1153=1,M1165=0,M1167&gt;0.000001),1,0)</f>
        <v>0</v>
      </c>
      <c r="N1168" s="65" t="n">
        <f aca="false">IF(AND(N1153=1,N1165=0,N1167&gt;0.000001),1,0)</f>
        <v>0</v>
      </c>
      <c r="O1168" s="65" t="n">
        <f aca="false">IF(AND(O1153=1,O1165=0,O1167&gt;0.000001),1,0)</f>
        <v>0</v>
      </c>
    </row>
    <row r="1169" customFormat="false" ht="15" hidden="false" customHeight="false" outlineLevel="0" collapsed="false">
      <c r="B1169" s="65" t="s">
        <v>843</v>
      </c>
      <c r="C1169" s="65" t="n">
        <v>0</v>
      </c>
      <c r="D1169" s="65" t="n">
        <f aca="false">IF(D1153=1,IF(D1168=1,C1169+1,0),C1169)</f>
        <v>0</v>
      </c>
      <c r="E1169" s="65" t="n">
        <f aca="false">IF(E1153=1,IF(E1168=1,D1169+1,0),D1169)</f>
        <v>0</v>
      </c>
      <c r="F1169" s="65" t="n">
        <f aca="false">IF(F1153=1,IF(F1168=1,E1169+1,0),E1169)</f>
        <v>0</v>
      </c>
      <c r="G1169" s="65" t="n">
        <f aca="false">IF(G1153=1,IF(G1168=1,F1169+1,0),F1169)</f>
        <v>0</v>
      </c>
      <c r="H1169" s="65" t="n">
        <f aca="false">IF(H1153=1,IF(H1168=1,G1169+1,0),G1169)</f>
        <v>0</v>
      </c>
      <c r="I1169" s="65" t="n">
        <f aca="false">IF(I1153=1,IF(I1168=1,H1169+1,0),H1169)</f>
        <v>0</v>
      </c>
      <c r="J1169" s="65" t="n">
        <f aca="false">IF(J1153=1,IF(J1168=1,I1169+1,0),I1169)</f>
        <v>0</v>
      </c>
      <c r="K1169" s="65" t="n">
        <f aca="false">IF(K1153=1,IF(K1168=1,J1169+1,0),J1169)</f>
        <v>0</v>
      </c>
      <c r="L1169" s="65" t="n">
        <f aca="false">IF(L1153=1,IF(L1168=1,K1169+1,0),K1169)</f>
        <v>0</v>
      </c>
      <c r="M1169" s="65" t="n">
        <f aca="false">IF(M1153=1,IF(M1168=1,L1169+1,0),L1169)</f>
        <v>0</v>
      </c>
      <c r="N1169" s="65" t="n">
        <f aca="false">IF(N1153=1,IF(N1168=1,M1169+1,0),M1169)</f>
        <v>0</v>
      </c>
      <c r="O1169" s="65" t="n">
        <f aca="false">IF(O1153=1,IF(O1168=1,N1169+1,0),N1169)</f>
        <v>0</v>
      </c>
    </row>
    <row r="1170" customFormat="false" ht="15" hidden="false" customHeight="false" outlineLevel="0" collapsed="false">
      <c r="B1170" s="65" t="s">
        <v>1035</v>
      </c>
      <c r="C1170" s="73" t="n">
        <f aca="false">AN_cible*Ws_MAPIF</f>
        <v>12500000</v>
      </c>
      <c r="D1170" s="73" t="n">
        <f aca="false">C1170*(1+Rend_MAPIF/4)*IF(D1151=1,(1-(Cap_MAPIF*$T$15+(1-Cap_MAPIF)*$T$16))*(1+1*$T$14),1)+D1180-D1174-D1195*IF((C1170+C1171+C1172+C1173)&gt;0,C1170/(C1170+C1171+C1172+C1173),0)</f>
        <v>12971562.5</v>
      </c>
      <c r="E1170" s="73" t="n">
        <f aca="false">D1170*(1+Rend_MAPIF/4)*IF(E1151=1,(1-(Cap_MAPIF*$T$15+(1-Cap_MAPIF)*$T$16))*(1+1*$T$14),1)+E1180-E1174-E1195*IF((D1170+D1171+D1172+D1173)&gt;0,D1170/(D1170+D1171+D1172+D1173),0)</f>
        <v>13446767.8203125</v>
      </c>
      <c r="F1170" s="73" t="n">
        <f aca="false">E1170*(1+Rend_MAPIF/4)*IF(F1151=1,(1-(Cap_MAPIF*$T$15+(1-Cap_MAPIF)*$T$16))*(1+1*$T$14),1)+F1180-F1174-F1195*IF((E1170+E1171+E1172+E1173)&gt;0,E1170/(E1170+E1171+E1172+E1173),0)</f>
        <v>13203583.6163213</v>
      </c>
      <c r="G1170" s="73" t="n">
        <f aca="false">F1170*(1+Rend_MAPIF/4)*IF(G1151=1,(1-(Cap_MAPIF*$T$15+(1-Cap_MAPIF)*$T$16))*(1+1*$T$14),1)+G1180-G1174-G1195*IF((F1170+F1171+F1172+F1173)&gt;0,F1170/(F1170+F1171+F1172+F1173),0)</f>
        <v>13680581.2997574</v>
      </c>
      <c r="H1170" s="73" t="n">
        <f aca="false">G1170*(1+Rend_MAPIF/4)*IF(H1151=1,(1-(Cap_MAPIF*$T$15+(1-Cap_MAPIF)*$T$16))*(1+1*$T$14),1)+H1180-H1174-H1195*IF((G1170+G1171+G1172+G1173)&gt;0,G1170/(G1170+G1171+G1172+G1173),0)</f>
        <v>12736319.9899712</v>
      </c>
      <c r="I1170" s="73" t="n">
        <f aca="false">H1170*(1+Rend_MAPIF/4)*IF(I1151=1,(1-(Cap_MAPIF*$T$15+(1-Cap_MAPIF)*$T$16))*(1+1*$T$14),1)+I1180-I1174-I1195*IF((H1170+H1171+H1172+H1173)&gt;0,H1170/(H1170+H1171+H1172+H1173),0)</f>
        <v>13209708.0618937</v>
      </c>
      <c r="J1170" s="73" t="n">
        <f aca="false">I1170*(1+Rend_MAPIF/4)*IF(J1151=1,(1-(Cap_MAPIF*$T$15+(1-Cap_MAPIF)*$T$16))*(1+1*$T$14),1)+J1180-J1174-J1195*IF((I1170+I1171+I1172+I1173)&gt;0,I1170/(I1170+I1171+I1172+I1173),0)</f>
        <v>12222743.1707282</v>
      </c>
      <c r="K1170" s="73" t="n">
        <f aca="false">J1170*(1+Rend_MAPIF/4)*IF(K1151=1,(1-(Cap_MAPIF*$T$15+(1-Cap_MAPIF)*$T$16))*(1+1*$T$14),1)+K1180-K1174-K1195*IF((J1170+J1171+J1172+J1173)&gt;0,J1170/(J1170+J1171+J1172+J1173),0)</f>
        <v>12692163.861722</v>
      </c>
      <c r="L1170" s="73" t="n">
        <f aca="false">K1170*(1+Rend_MAPIF/4)*IF(L1151=1,(1-(Cap_MAPIF*$T$15+(1-Cap_MAPIF)*$T$16))*(1+1*$T$14),1)+L1180-L1174-L1195*IF((K1170+K1171+K1172+K1173)&gt;0,K1170/(K1170+K1171+K1172+K1173),0)</f>
        <v>11660969.3136877</v>
      </c>
      <c r="M1170" s="73" t="n">
        <f aca="false">L1170*(1+Rend_MAPIF/4)*IF(M1151=1,(1-(Cap_MAPIF*$T$15+(1-Cap_MAPIF)*$T$16))*(1+1*$T$14),1)+M1180-M1174-M1195*IF((L1170+L1171+L1172+L1173)&gt;0,L1170/(L1170+L1171+L1172+L1173),0)</f>
        <v>12126050.3016359</v>
      </c>
      <c r="N1170" s="73" t="n">
        <f aca="false">M1170*(1+Rend_MAPIF/4)*IF(N1151=1,(1-(Cap_MAPIF*$T$15+(1-Cap_MAPIF)*$T$16))*(1+1*$T$14),1)+N1180-N1174-N1195*IF((M1170+M1171+M1172+M1173)&gt;0,M1170/(M1170+M1171+M1172+M1173),0)</f>
        <v>11058990.5015484</v>
      </c>
      <c r="O1170" s="73" t="n">
        <f aca="false">N1170*(1+Rend_MAPIF/4)*IF(O1151=1,(1-(Cap_MAPIF*$T$15+(1-Cap_MAPIF)*$T$16))*(1+1*$T$14),1)+O1180-O1174-O1195*IF((N1170+N1171+N1172+N1173)&gt;0,N1170/(N1170+N1171+N1172+N1173),0)</f>
        <v>11519421.2031729</v>
      </c>
    </row>
    <row r="1171" customFormat="false" ht="15" hidden="false" customHeight="false" outlineLevel="0" collapsed="false">
      <c r="B1171" s="65" t="s">
        <v>1036</v>
      </c>
      <c r="C1171" s="73" t="n">
        <f aca="false">AN_cible*Ws_MSIG</f>
        <v>5500000</v>
      </c>
      <c r="D1171" s="73" t="n">
        <f aca="false">C1171*(1+Rend_MSIG/4)*IF(D1151=1,(1-(Cap_MSIG*$T$15+(1-Cap_MSIG)*$T$16))*(1+MSIG_USD*$T$14),1)+D1181-D1175-D1195*IF((C1170+C1171+C1172+C1173)&gt;0,C1171/(C1170+C1171+C1172+C1173),0)</f>
        <v>5773237.5</v>
      </c>
      <c r="E1171" s="73" t="n">
        <f aca="false">D1171*(1+Rend_MSIG/4)*IF(E1151=1,(1-(Cap_MSIG*$T$15+(1-Cap_MSIG)*$T$16))*(1+MSIG_USD*$T$14),1)+E1181-E1175-E1195*IF((D1170+D1171+D1172+D1173)&gt;0,D1171/(D1170+D1171+D1172+D1173),0)</f>
        <v>6047629.4284375</v>
      </c>
      <c r="F1171" s="73" t="n">
        <f aca="false">E1171*(1+Rend_MSIG/4)*IF(F1151=1,(1-(Cap_MSIG*$T$15+(1-Cap_MSIG)*$T$16))*(1+MSIG_USD*$T$14),1)+F1181-F1175-F1195*IF((E1170+E1171+E1172+E1173)&gt;0,E1171/(E1170+E1171+E1172+E1173),0)</f>
        <v>5998436.88055017</v>
      </c>
      <c r="G1171" s="73" t="n">
        <f aca="false">F1171*(1+Rend_MSIG/4)*IF(G1151=1,(1-(Cap_MSIG*$T$15+(1-Cap_MSIG)*$T$16))*(1+MSIG_USD*$T$14),1)+G1181-G1175-G1195*IF((F1170+F1171+F1172+F1173)&gt;0,F1171/(F1170+F1171+F1172+F1173),0)</f>
        <v>6273780.2763705</v>
      </c>
      <c r="H1171" s="73" t="n">
        <f aca="false">G1171*(1+Rend_MSIG/4)*IF(H1151=1,(1-(Cap_MSIG*$T$15+(1-Cap_MSIG)*$T$16))*(1+MSIG_USD*$T$14),1)+H1181-H1175-H1195*IF((G1170+G1171+G1172+G1173)&gt;0,G1171/(G1170+G1171+G1172+G1173),0)</f>
        <v>5896821.76044732</v>
      </c>
      <c r="I1171" s="73" t="n">
        <f aca="false">H1171*(1+Rend_MSIG/4)*IF(I1151=1,(1-(Cap_MSIG*$T$15+(1-Cap_MSIG)*$T$16))*(1+MSIG_USD*$T$14),1)+I1181-I1175-I1195*IF((H1170+H1171+H1172+H1173)&gt;0,H1171/(H1170+H1171+H1172+H1173),0)</f>
        <v>6171735.83238521</v>
      </c>
      <c r="J1171" s="73" t="n">
        <f aca="false">I1171*(1+Rend_MSIG/4)*IF(J1151=1,(1-(Cap_MSIG*$T$15+(1-Cap_MSIG)*$T$16))*(1+MSIG_USD*$T$14),1)+J1181-J1175-J1195*IF((I1170+I1171+I1172+I1173)&gt;0,I1171/(I1170+I1171+I1172+I1173),0)</f>
        <v>5763808.2399987</v>
      </c>
      <c r="K1171" s="73" t="n">
        <f aca="false">J1171*(1+Rend_MSIG/4)*IF(K1151=1,(1-(Cap_MSIG*$T$15+(1-Cap_MSIG)*$T$16))*(1+MSIG_USD*$T$14),1)+K1181-K1175-K1195*IF((J1170+J1171+J1172+J1173)&gt;0,J1171/(J1170+J1171+J1172+J1173),0)</f>
        <v>6038160.3298127</v>
      </c>
      <c r="L1171" s="73" t="n">
        <f aca="false">K1171*(1+Rend_MSIG/4)*IF(L1151=1,(1-(Cap_MSIG*$T$15+(1-Cap_MSIG)*$T$16))*(1+MSIG_USD*$T$14),1)+L1181-L1175-L1195*IF((K1170+K1171+K1172+K1173)&gt;0,K1171/(K1170+K1171+K1172+K1173),0)</f>
        <v>5598044.84970069</v>
      </c>
      <c r="M1171" s="73" t="n">
        <f aca="false">L1171*(1+Rend_MSIG/4)*IF(M1151=1,(1-(Cap_MSIG*$T$15+(1-Cap_MSIG)*$T$16))*(1+MSIG_USD*$T$14),1)+M1181-M1175-M1195*IF((L1170+L1171+L1172+L1173)&gt;0,L1171/(L1170+L1171+L1172+L1173),0)</f>
        <v>5871696.58919068</v>
      </c>
      <c r="N1171" s="73" t="n">
        <f aca="false">M1171*(1+Rend_MSIG/4)*IF(N1151=1,(1-(Cap_MSIG*$T$15+(1-Cap_MSIG)*$T$16))*(1+MSIG_USD*$T$14),1)+N1181-N1175-N1195*IF((M1170+M1171+M1172+M1173)&gt;0,M1171/(M1170+M1171+M1172+M1173),0)</f>
        <v>5402869.01537677</v>
      </c>
      <c r="O1171" s="73" t="n">
        <f aca="false">N1171*(1+Rend_MSIG/4)*IF(O1151=1,(1-(Cap_MSIG*$T$15+(1-Cap_MSIG)*$T$16))*(1+MSIG_USD*$T$14),1)+O1181-O1175-O1195*IF((N1170+N1171+N1172+N1173)&gt;0,N1171/(N1170+N1171+N1172+N1173),0)</f>
        <v>5675696.13696673</v>
      </c>
    </row>
    <row r="1172" customFormat="false" ht="15" hidden="false" customHeight="false" outlineLevel="0" collapsed="false">
      <c r="B1172" s="65" t="s">
        <v>1037</v>
      </c>
      <c r="C1172" s="73" t="n">
        <f aca="false">AN_cible*Ws_PG</f>
        <v>12250000</v>
      </c>
      <c r="D1172" s="73" t="n">
        <f aca="false">C1172*(1+Rend_PG/4)*IF(D1151=1,(1-(Cap_PG*$T$15+(1-Cap_PG)*$T$16))*(1+0*$T$14),1)-D1176-D1192*IF((D1182+D1183)&gt;0,D1182/(D1182+D1183),0)+D1197/2-D1195*IF((C1170+C1171+C1172+C1173)&gt;0,C1172/(C1170+C1171+C1172+C1173),0)</f>
        <v>11888931.25</v>
      </c>
      <c r="E1172" s="73" t="n">
        <f aca="false">D1172*(1+Rend_PG/4)*IF(E1151=1,(1-(Cap_PG*$T$15+(1-Cap_PG)*$T$16))*(1+0*$T$14),1)-E1176-E1192*IF((E1182+E1183)&gt;0,E1182/(E1182+E1183),0)+E1197/2-E1195*IF((D1170+D1171+D1172+D1173)&gt;0,D1172/(D1170+D1171+D1172+D1173),0)</f>
        <v>11538505.0014063</v>
      </c>
      <c r="F1172" s="73" t="n">
        <f aca="false">E1172*(1+Rend_PG/4)*IF(F1151=1,(1-(Cap_PG*$T$15+(1-Cap_PG)*$T$16))*(1+0*$T$14),1)-F1176-F1192*IF((F1182+F1183)&gt;0,F1182/(F1182+F1183),0)+F1197/2-F1195*IF((E1170+E1171+E1172+E1173)&gt;0,E1172/(E1170+E1171+E1172+E1173),0)</f>
        <v>10578816.4027637</v>
      </c>
      <c r="G1172" s="73" t="n">
        <f aca="false">F1172*(1+Rend_PG/4)*IF(G1151=1,(1-(Cap_PG*$T$15+(1-Cap_PG)*$T$16))*(1+0*$T$14),1)-G1176-G1192*IF((G1182+G1183)&gt;0,G1182/(G1182+G1183),0)+G1197/2-G1195*IF((F1170+F1171+F1172+F1173)&gt;0,F1172/(F1170+F1171+F1172+F1173),0)</f>
        <v>10267005.7892923</v>
      </c>
      <c r="H1172" s="73" t="n">
        <f aca="false">G1172*(1+Rend_PG/4)*IF(H1151=1,(1-(Cap_PG*$T$15+(1-Cap_PG)*$T$16))*(1+0*$T$14),1)-H1176-H1192*IF((H1182+H1183)&gt;0,H1182/(H1182+H1183),0)+H1197/2-H1195*IF((G1170+G1171+G1172+G1173)&gt;0,G1172/(G1170+G1171+G1172+G1173),0)</f>
        <v>8894993.64380095</v>
      </c>
      <c r="I1172" s="73" t="n">
        <f aca="false">H1172*(1+Rend_PG/4)*IF(I1151=1,(1-(Cap_PG*$T$15+(1-Cap_PG)*$T$16))*(1+0*$T$14),1)-I1176-I1192*IF((I1182+I1183)&gt;0,I1182/(I1182+I1183),0)+I1197/2-I1195*IF((H1170+H1171+H1172+H1173)&gt;0,H1172/(H1170+H1171+H1172+H1173),0)</f>
        <v>8632813.70614992</v>
      </c>
      <c r="J1172" s="73" t="n">
        <f aca="false">I1172*(1+Rend_PG/4)*IF(J1151=1,(1-(Cap_PG*$T$15+(1-Cap_PG)*$T$16))*(1+0*$T$14),1)-J1176-J1192*IF((J1182+J1183)&gt;0,J1182/(J1182+J1183),0)+J1197/2-J1195*IF((I1170+I1171+I1172+I1173)&gt;0,I1172/(I1170+I1171+I1172+I1173),0)</f>
        <v>7421601.19482491</v>
      </c>
      <c r="K1172" s="73" t="n">
        <f aca="false">J1172*(1+Rend_PG/4)*IF(K1151=1,(1-(Cap_PG*$T$15+(1-Cap_PG)*$T$16))*(1+0*$T$14),1)-K1176-K1192*IF((K1182+K1183)&gt;0,K1182/(K1182+K1183),0)+K1197/2-K1195*IF((J1170+J1171+J1172+J1173)&gt;0,J1172/(J1170+J1171+J1172+J1173),0)</f>
        <v>7202849.49960745</v>
      </c>
      <c r="L1172" s="73" t="n">
        <f aca="false">K1172*(1+Rend_PG/4)*IF(L1151=1,(1-(Cap_PG*$T$15+(1-Cap_PG)*$T$16))*(1+0*$T$14),1)-L1176-L1192*IF((L1182+L1183)&gt;0,L1182/(L1182+L1183),0)+L1197/2-L1195*IF((K1170+K1171+K1172+K1173)&gt;0,K1172/(K1170+K1171+K1172+K1173),0)</f>
        <v>6136882.93947347</v>
      </c>
      <c r="M1172" s="73" t="n">
        <f aca="false">L1172*(1+Rend_PG/4)*IF(M1151=1,(1-(Cap_PG*$T$15+(1-Cap_PG)*$T$16))*(1+0*$T$14),1)-M1176-M1192*IF((M1182+M1183)&gt;0,M1182/(M1182+M1183),0)+M1197/2-M1195*IF((L1170+L1171+L1172+L1173)&gt;0,L1172/(L1170+L1171+L1172+L1173),0)</f>
        <v>5955998.31483249</v>
      </c>
      <c r="N1172" s="73" t="n">
        <f aca="false">M1172*(1+Rend_PG/4)*IF(N1151=1,(1-(Cap_PG*$T$15+(1-Cap_PG)*$T$16))*(1+0*$T$14),1)-N1176-N1192*IF((N1182+N1183)&gt;0,N1182/(N1182+N1183),0)+N1197/2-N1195*IF((M1170+M1171+M1172+M1173)&gt;0,M1172/(M1170+M1171+M1172+M1173),0)</f>
        <v>5026133.17269974</v>
      </c>
      <c r="O1172" s="73" t="n">
        <f aca="false">N1172*(1+Rend_PG/4)*IF(O1151=1,(1-(Cap_PG*$T$15+(1-Cap_PG)*$T$16))*(1+0*$T$14),1)-O1176-O1192*IF((O1182+O1183)&gt;0,O1182/(O1182+O1183),0)+O1197/2-O1195*IF((N1170+N1171+N1172+N1173)&gt;0,N1172/(N1170+N1171+N1172+N1173),0)</f>
        <v>4877987.89743442</v>
      </c>
    </row>
    <row r="1173" customFormat="false" ht="15" hidden="false" customHeight="false" outlineLevel="0" collapsed="false">
      <c r="B1173" s="65" t="s">
        <v>1038</v>
      </c>
      <c r="C1173" s="73" t="n">
        <f aca="false">AN_cible*Ws_ARES</f>
        <v>12250000</v>
      </c>
      <c r="D1173" s="73" t="n">
        <f aca="false">C1173*(1+Rend_ARES/4)*IF(D1151=1,(1-(Cap_ARES*$T$15+(1-Cap_ARES)*$T$16))*(1+0*$T$14),1)-D1177-D1192*IF((D1182+D1183)&gt;0,D1183/(D1182+D1183),0)/(1-IF(D1151&lt;=Deduc_trim,Deduc_ares,0))+D1197/2-D1195*IF((C1170+C1171+C1172+C1173)&gt;0,C1173/(C1170+C1171+C1172+C1173),0)</f>
        <v>11727537.5</v>
      </c>
      <c r="E1173" s="73" t="n">
        <f aca="false">D1173*(1+Rend_ARES/4)*IF(E1151=1,(1-(Cap_ARES*$T$15+(1-Cap_ARES)*$T$16))*(1+0*$T$14),1)-E1177-E1192*IF((E1182+E1183)&gt;0,E1183/(E1182+E1183),0)/(1-IF(E1151&lt;=Deduc_trim,Deduc_ares,0))+E1197/2-E1195*IF((D1170+D1171+D1172+D1173)&gt;0,D1173/(D1170+D1171+D1172+D1173),0)</f>
        <v>11227358.025625</v>
      </c>
      <c r="F1173" s="73" t="n">
        <f aca="false">E1173*(1+Rend_ARES/4)*IF(F1151=1,(1-(Cap_ARES*$T$15+(1-Cap_ARES)*$T$16))*(1+0*$T$14),1)-F1177-F1192*IF((F1182+F1183)&gt;0,F1183/(F1182+F1183),0)/(1-IF(F1151&lt;=Deduc_trim,Deduc_ares,0))+F1197/2-F1195*IF((E1170+E1171+E1172+E1173)&gt;0,E1173/(E1170+E1171+E1172+E1173),0)</f>
        <v>10145627.9186282</v>
      </c>
      <c r="G1173" s="73" t="n">
        <f aca="false">F1173*(1+Rend_ARES/4)*IF(G1151=1,(1-(Cap_ARES*$T$15+(1-Cap_ARES)*$T$16))*(1+0*$T$14),1)-G1177-G1192*IF((G1182+G1183)&gt;0,G1183/(G1182+G1183),0)/(1-IF(G1151&lt;=Deduc_trim,Deduc_ares,0))+G1197/2-G1195*IF((F1170+F1171+F1172+F1173)&gt;0,F1173/(F1170+F1171+F1172+F1173),0)</f>
        <v>9712916.88789871</v>
      </c>
      <c r="H1173" s="73" t="n">
        <f aca="false">G1173*(1+Rend_ARES/4)*IF(H1151=1,(1-(Cap_ARES*$T$15+(1-Cap_ARES)*$T$16))*(1+0*$T$14),1)-H1177-H1192*IF((H1182+H1183)&gt;0,H1183/(H1182+H1183),0)/(1-IF(H1151&lt;=Deduc_trim,Deduc_ares,0))+H1197/2-H1195*IF((G1170+G1171+G1172+G1173)&gt;0,G1173/(G1170+G1171+G1172+G1173),0)</f>
        <v>8286981.69801154</v>
      </c>
      <c r="I1173" s="73" t="n">
        <f aca="false">H1173*(1+Rend_ARES/4)*IF(I1151=1,(1-(Cap_ARES*$T$15+(1-Cap_ARES)*$T$16))*(1+0*$T$14),1)-I1177-I1192*IF((I1182+I1183)&gt;0,I1183/(I1182+I1183),0)/(1-IF(I1151&lt;=Deduc_trim,Deduc_ares,0))+I1197/2-I1195*IF((H1170+H1171+H1172+H1173)&gt;0,H1173/(H1170+H1171+H1172+H1173),0)</f>
        <v>7933541.92859135</v>
      </c>
      <c r="J1173" s="73" t="n">
        <f aca="false">I1173*(1+Rend_ARES/4)*IF(J1151=1,(1-(Cap_ARES*$T$15+(1-Cap_ARES)*$T$16))*(1+0*$T$14),1)-J1177-J1192*IF((J1182+J1183)&gt;0,J1183/(J1182+J1183),0)/(1-IF(J1151&lt;=Deduc_trim,Deduc_ares,0))+J1197/2-J1195*IF((I1170+I1171+I1172+I1173)&gt;0,I1173/(I1170+I1171+I1172+I1173),0)</f>
        <v>6715915.16141132</v>
      </c>
      <c r="K1173" s="73" t="n">
        <f aca="false">J1173*(1+Rend_ARES/4)*IF(K1151=1,(1-(Cap_ARES*$T$15+(1-Cap_ARES)*$T$16))*(1+0*$T$14),1)-K1177-K1192*IF((K1182+K1183)&gt;0,K1183/(K1182+K1183),0)/(1-IF(K1151&lt;=Deduc_trim,Deduc_ares,0))+K1197/2-K1195*IF((J1170+J1171+J1172+J1173)&gt;0,J1173/(J1170+J1171+J1172+J1173),0)</f>
        <v>6429481.37977713</v>
      </c>
      <c r="L1173" s="73" t="n">
        <f aca="false">K1173*(1+Rend_ARES/4)*IF(L1151=1,(1-(Cap_ARES*$T$15+(1-Cap_ARES)*$T$16))*(1+0*$T$14),1)-L1177-L1192*IF((L1182+L1183)&gt;0,L1183/(L1182+L1183),0)/(1-IF(L1151&lt;=Deduc_trim,Deduc_ares,0))+L1197/2-L1195*IF((K1170+K1171+K1172+K1173)&gt;0,K1173/(K1170+K1171+K1172+K1173),0)</f>
        <v>5393258.9610607</v>
      </c>
      <c r="M1173" s="73" t="n">
        <f aca="false">L1173*(1+Rend_ARES/4)*IF(M1151=1,(1-(Cap_ARES*$T$15+(1-Cap_ARES)*$T$16))*(1+0*$T$14),1)-M1177-M1192*IF((M1182+M1183)&gt;0,M1183/(M1182+M1183),0)/(1-IF(M1151&lt;=Deduc_trim,Deduc_ares,0))+M1197/2-M1195*IF((L1170+L1171+L1172+L1173)&gt;0,L1173/(L1170+L1171+L1172+L1173),0)</f>
        <v>5163236.46637146</v>
      </c>
      <c r="N1173" s="73" t="n">
        <f aca="false">M1173*(1+Rend_ARES/4)*IF(N1151=1,(1-(Cap_ARES*$T$15+(1-Cap_ARES)*$T$16))*(1+0*$T$14),1)-N1177-N1192*IF((N1182+N1183)&gt;0,N1183/(N1182+N1183),0)/(1-IF(N1151&lt;=Deduc_trim,Deduc_ares,0))+N1197/2-N1195*IF((M1170+M1171+M1172+M1173)&gt;0,M1173/(M1170+M1171+M1172+M1173),0)</f>
        <v>4289113.61822448</v>
      </c>
      <c r="O1173" s="73" t="n">
        <f aca="false">N1173*(1+Rend_ARES/4)*IF(O1151=1,(1-(Cap_ARES*$T$15+(1-Cap_ARES)*$T$16))*(1+0*$T$14),1)-O1177-O1192*IF((O1182+O1183)&gt;0,O1183/(O1182+O1183),0)/(1-IF(O1151&lt;=Deduc_trim,Deduc_ares,0))+O1197/2-O1195*IF((N1170+N1171+N1172+N1173)&gt;0,N1173/(N1170+N1171+N1172+N1173),0)</f>
        <v>4106182.9224072</v>
      </c>
    </row>
    <row r="1174" customFormat="false" ht="15" hidden="false" customHeight="false" outlineLevel="0" collapsed="false">
      <c r="B1174" s="65" t="s">
        <v>1039</v>
      </c>
      <c r="C1174" s="25"/>
      <c r="D1174" s="73" t="n">
        <f aca="false">C1170*Dist_MAPIF/4*IF(D1151&lt;=$T$11,0,$T$10)</f>
        <v>187500</v>
      </c>
      <c r="E1174" s="73" t="n">
        <f aca="false">D1170*Dist_MAPIF/4*IF(E1151&lt;=$T$11,0,$T$10)</f>
        <v>194573.4375</v>
      </c>
      <c r="F1174" s="73" t="n">
        <f aca="false">E1170*Dist_MAPIF/4*IF(F1151&lt;=$T$11,0,$T$10)</f>
        <v>201701.517304688</v>
      </c>
      <c r="G1174" s="73" t="n">
        <f aca="false">F1170*Dist_MAPIF/4*IF(G1151&lt;=$T$11,0,$T$10)</f>
        <v>198053.75424482</v>
      </c>
      <c r="H1174" s="73" t="n">
        <f aca="false">G1170*Dist_MAPIF/4*IF(H1151&lt;=$T$11,0,$T$10)</f>
        <v>205208.719496361</v>
      </c>
      <c r="I1174" s="73" t="n">
        <f aca="false">H1170*Dist_MAPIF/4*IF(I1151&lt;=$T$11,0,$T$10)</f>
        <v>191044.799849568</v>
      </c>
      <c r="J1174" s="73" t="n">
        <f aca="false">I1170*Dist_MAPIF/4*IF(J1151&lt;=$T$11,0,$T$10)</f>
        <v>198145.620928406</v>
      </c>
      <c r="K1174" s="73" t="n">
        <f aca="false">J1170*Dist_MAPIF/4*IF(K1151&lt;=$T$11,0,$T$10)</f>
        <v>183341.147560923</v>
      </c>
      <c r="L1174" s="73" t="n">
        <f aca="false">K1170*Dist_MAPIF/4*IF(L1151&lt;=$T$11,0,$T$10)</f>
        <v>190382.457925831</v>
      </c>
      <c r="M1174" s="73" t="n">
        <f aca="false">L1170*Dist_MAPIF/4*IF(M1151&lt;=$T$11,0,$T$10)</f>
        <v>174914.539705315</v>
      </c>
      <c r="N1174" s="73" t="n">
        <f aca="false">M1170*Dist_MAPIF/4*IF(N1151&lt;=$T$11,0,$T$10)</f>
        <v>181890.754524539</v>
      </c>
      <c r="O1174" s="73" t="n">
        <f aca="false">N1170*Dist_MAPIF/4*IF(O1151&lt;=$T$11,0,$T$10)</f>
        <v>165884.857523227</v>
      </c>
    </row>
    <row r="1175" customFormat="false" ht="15" hidden="false" customHeight="false" outlineLevel="0" collapsed="false">
      <c r="B1175" s="65" t="s">
        <v>1040</v>
      </c>
      <c r="C1175" s="25"/>
      <c r="D1175" s="73" t="n">
        <f aca="false">C1171*Dist_MSIG/4*IF(D1151&lt;=$T$11,0,$T$10)</f>
        <v>96250</v>
      </c>
      <c r="E1175" s="73" t="n">
        <f aca="false">D1171*Dist_MSIG/4*IF(E1151&lt;=$T$11,0,$T$10)</f>
        <v>101031.65625</v>
      </c>
      <c r="F1175" s="73" t="n">
        <f aca="false">E1171*Dist_MSIG/4*IF(F1151&lt;=$T$11,0,$T$10)</f>
        <v>105833.514997656</v>
      </c>
      <c r="G1175" s="73" t="n">
        <f aca="false">F1171*Dist_MSIG/4*IF(G1151&lt;=$T$11,0,$T$10)</f>
        <v>104972.645409628</v>
      </c>
      <c r="H1175" s="73" t="n">
        <f aca="false">G1171*Dist_MSIG/4*IF(H1151&lt;=$T$11,0,$T$10)</f>
        <v>109791.154836484</v>
      </c>
      <c r="I1175" s="73" t="n">
        <f aca="false">H1171*Dist_MSIG/4*IF(I1151&lt;=$T$11,0,$T$10)</f>
        <v>103194.380807828</v>
      </c>
      <c r="J1175" s="73" t="n">
        <f aca="false">I1171*Dist_MSIG/4*IF(J1151&lt;=$T$11,0,$T$10)</f>
        <v>108005.377066741</v>
      </c>
      <c r="K1175" s="73" t="n">
        <f aca="false">J1171*Dist_MSIG/4*IF(K1151&lt;=$T$11,0,$T$10)</f>
        <v>100866.644199977</v>
      </c>
      <c r="L1175" s="73" t="n">
        <f aca="false">K1171*Dist_MSIG/4*IF(L1151&lt;=$T$11,0,$T$10)</f>
        <v>105667.805771722</v>
      </c>
      <c r="M1175" s="73" t="n">
        <f aca="false">L1171*Dist_MSIG/4*IF(M1151&lt;=$T$11,0,$T$10)</f>
        <v>97965.7848697621</v>
      </c>
      <c r="N1175" s="73" t="n">
        <f aca="false">M1171*Dist_MSIG/4*IF(N1151&lt;=$T$11,0,$T$10)</f>
        <v>102754.690310837</v>
      </c>
      <c r="O1175" s="73" t="n">
        <f aca="false">N1171*Dist_MSIG/4*IF(O1151&lt;=$T$11,0,$T$10)</f>
        <v>94550.2077690934</v>
      </c>
    </row>
    <row r="1176" customFormat="false" ht="15" hidden="false" customHeight="false" outlineLevel="0" collapsed="false">
      <c r="B1176" s="65" t="s">
        <v>1041</v>
      </c>
      <c r="C1176" s="25"/>
      <c r="D1176" s="73" t="n">
        <f aca="false">C1172*Dist_PG/4*IF(D1151&lt;=$T$11,0,$T$10)</f>
        <v>61250</v>
      </c>
      <c r="E1176" s="73" t="n">
        <f aca="false">D1172*Dist_PG/4*IF(E1151&lt;=$T$11,0,$T$10)</f>
        <v>59444.65625</v>
      </c>
      <c r="F1176" s="73" t="n">
        <f aca="false">E1172*Dist_PG/4*IF(F1151&lt;=$T$11,0,$T$10)</f>
        <v>57692.5250070313</v>
      </c>
      <c r="G1176" s="73" t="n">
        <f aca="false">F1172*Dist_PG/4*IF(G1151&lt;=$T$11,0,$T$10)</f>
        <v>52894.0820138186</v>
      </c>
      <c r="H1176" s="73" t="n">
        <f aca="false">G1172*Dist_PG/4*IF(H1151&lt;=$T$11,0,$T$10)</f>
        <v>51335.0289464613</v>
      </c>
      <c r="I1176" s="73" t="n">
        <f aca="false">H1172*Dist_PG/4*IF(I1151&lt;=$T$11,0,$T$10)</f>
        <v>44474.9682190048</v>
      </c>
      <c r="J1176" s="73" t="n">
        <f aca="false">I1172*Dist_PG/4*IF(J1151&lt;=$T$11,0,$T$10)</f>
        <v>43164.0685307496</v>
      </c>
      <c r="K1176" s="73" t="n">
        <f aca="false">J1172*Dist_PG/4*IF(K1151&lt;=$T$11,0,$T$10)</f>
        <v>37108.0059741246</v>
      </c>
      <c r="L1176" s="73" t="n">
        <f aca="false">K1172*Dist_PG/4*IF(L1151&lt;=$T$11,0,$T$10)</f>
        <v>36014.2474980372</v>
      </c>
      <c r="M1176" s="73" t="n">
        <f aca="false">L1172*Dist_PG/4*IF(M1151&lt;=$T$11,0,$T$10)</f>
        <v>30684.4146973674</v>
      </c>
      <c r="N1176" s="73" t="n">
        <f aca="false">M1172*Dist_PG/4*IF(N1151&lt;=$T$11,0,$T$10)</f>
        <v>29779.9915741625</v>
      </c>
      <c r="O1176" s="73" t="n">
        <f aca="false">N1172*Dist_PG/4*IF(O1151&lt;=$T$11,0,$T$10)</f>
        <v>25130.6658634987</v>
      </c>
    </row>
    <row r="1177" customFormat="false" ht="15" hidden="false" customHeight="false" outlineLevel="0" collapsed="false">
      <c r="B1177" s="65" t="s">
        <v>1042</v>
      </c>
      <c r="C1177" s="25"/>
      <c r="D1177" s="73" t="n">
        <f aca="false">C1173*Dist_ARES/4*IF(D1151&lt;=$T$11,0,$T$10)</f>
        <v>153125</v>
      </c>
      <c r="E1177" s="73" t="n">
        <f aca="false">D1173*Dist_ARES/4*IF(E1151&lt;=$T$11,0,$T$10)</f>
        <v>146594.21875</v>
      </c>
      <c r="F1177" s="73" t="n">
        <f aca="false">E1173*Dist_ARES/4*IF(F1151&lt;=$T$11,0,$T$10)</f>
        <v>140341.975320313</v>
      </c>
      <c r="G1177" s="73" t="n">
        <f aca="false">F1173*Dist_ARES/4*IF(G1151&lt;=$T$11,0,$T$10)</f>
        <v>126820.348982853</v>
      </c>
      <c r="H1177" s="73" t="n">
        <f aca="false">G1173*Dist_ARES/4*IF(H1151&lt;=$T$11,0,$T$10)</f>
        <v>121411.461098734</v>
      </c>
      <c r="I1177" s="73" t="n">
        <f aca="false">H1173*Dist_ARES/4*IF(I1151&lt;=$T$11,0,$T$10)</f>
        <v>103587.271225144</v>
      </c>
      <c r="J1177" s="73" t="n">
        <f aca="false">I1173*Dist_ARES/4*IF(J1151&lt;=$T$11,0,$T$10)</f>
        <v>99169.2741073918</v>
      </c>
      <c r="K1177" s="73" t="n">
        <f aca="false">J1173*Dist_ARES/4*IF(K1151&lt;=$T$11,0,$T$10)</f>
        <v>83948.9395176415</v>
      </c>
      <c r="L1177" s="73" t="n">
        <f aca="false">K1173*Dist_ARES/4*IF(L1151&lt;=$T$11,0,$T$10)</f>
        <v>80368.5172472141</v>
      </c>
      <c r="M1177" s="73" t="n">
        <f aca="false">L1173*Dist_ARES/4*IF(M1151&lt;=$T$11,0,$T$10)</f>
        <v>67415.7370132588</v>
      </c>
      <c r="N1177" s="73" t="n">
        <f aca="false">M1173*Dist_ARES/4*IF(N1151&lt;=$T$11,0,$T$10)</f>
        <v>64540.4558296433</v>
      </c>
      <c r="O1177" s="73" t="n">
        <f aca="false">N1173*Dist_ARES/4*IF(O1151&lt;=$T$11,0,$T$10)</f>
        <v>53613.920227806</v>
      </c>
    </row>
    <row r="1178" customFormat="false" ht="15" hidden="false" customHeight="false" outlineLevel="0" collapsed="false">
      <c r="B1178" s="65" t="s">
        <v>1043</v>
      </c>
      <c r="C1178" s="73" t="n">
        <f aca="false">AN_cible*$T$12*Part_MAPIF_NA</f>
        <v>4500000</v>
      </c>
      <c r="D1178" s="73" t="n">
        <f aca="false">C1178*IF(D1151=1,1+$T$14,1)-D1180</f>
        <v>4125000</v>
      </c>
      <c r="E1178" s="73" t="n">
        <f aca="false">D1178*IF(E1151=1,1+$T$14,1)-E1180</f>
        <v>3750000</v>
      </c>
      <c r="F1178" s="73" t="n">
        <f aca="false">E1178*IF(F1151=1,1+$T$14,1)-F1180</f>
        <v>3375000</v>
      </c>
      <c r="G1178" s="73" t="n">
        <f aca="false">F1178*IF(G1151=1,1+$T$14,1)-G1180</f>
        <v>3000000</v>
      </c>
      <c r="H1178" s="73" t="n">
        <f aca="false">G1178*IF(H1151=1,1+$T$14,1)-H1180</f>
        <v>2625000</v>
      </c>
      <c r="I1178" s="73" t="n">
        <f aca="false">H1178*IF(I1151=1,1+$T$14,1)-I1180</f>
        <v>2250000</v>
      </c>
      <c r="J1178" s="73" t="n">
        <f aca="false">I1178*IF(J1151=1,1+$T$14,1)-J1180</f>
        <v>1875000</v>
      </c>
      <c r="K1178" s="73" t="n">
        <f aca="false">J1178*IF(K1151=1,1+$T$14,1)-K1180</f>
        <v>1500000</v>
      </c>
      <c r="L1178" s="73" t="n">
        <f aca="false">K1178*IF(L1151=1,1+$T$14,1)-L1180</f>
        <v>1125000</v>
      </c>
      <c r="M1178" s="73" t="n">
        <f aca="false">L1178*IF(M1151=1,1+$T$14,1)-M1180</f>
        <v>750000</v>
      </c>
      <c r="N1178" s="73" t="n">
        <f aca="false">M1178*IF(N1151=1,1+$T$14,1)-N1180</f>
        <v>375000</v>
      </c>
      <c r="O1178" s="73" t="n">
        <f aca="false">N1178*IF(O1151=1,1+$T$14,1)-O1180</f>
        <v>0</v>
      </c>
    </row>
    <row r="1179" customFormat="false" ht="15" hidden="false" customHeight="false" outlineLevel="0" collapsed="false">
      <c r="B1179" s="65" t="s">
        <v>1044</v>
      </c>
      <c r="C1179" s="73" t="n">
        <f aca="false">AN_cible*$T$12*(1-Part_MAPIF_NA)</f>
        <v>3000000</v>
      </c>
      <c r="D1179" s="73" t="n">
        <f aca="false">C1179*IF(D1151=1,1+MSIG_USD*$T$14,1)-D1181</f>
        <v>2750000</v>
      </c>
      <c r="E1179" s="73" t="n">
        <f aca="false">D1179*IF(E1151=1,1+MSIG_USD*$T$14,1)-E1181</f>
        <v>2500000</v>
      </c>
      <c r="F1179" s="73" t="n">
        <f aca="false">E1179*IF(F1151=1,1+MSIG_USD*$T$14,1)-F1181</f>
        <v>2250000</v>
      </c>
      <c r="G1179" s="73" t="n">
        <f aca="false">F1179*IF(G1151=1,1+MSIG_USD*$T$14,1)-G1181</f>
        <v>2000000</v>
      </c>
      <c r="H1179" s="73" t="n">
        <f aca="false">G1179*IF(H1151=1,1+MSIG_USD*$T$14,1)-H1181</f>
        <v>1750000</v>
      </c>
      <c r="I1179" s="73" t="n">
        <f aca="false">H1179*IF(I1151=1,1+MSIG_USD*$T$14,1)-I1181</f>
        <v>1500000</v>
      </c>
      <c r="J1179" s="73" t="n">
        <f aca="false">I1179*IF(J1151=1,1+MSIG_USD*$T$14,1)-J1181</f>
        <v>1250000</v>
      </c>
      <c r="K1179" s="73" t="n">
        <f aca="false">J1179*IF(K1151=1,1+MSIG_USD*$T$14,1)-K1181</f>
        <v>1000000</v>
      </c>
      <c r="L1179" s="73" t="n">
        <f aca="false">K1179*IF(L1151=1,1+MSIG_USD*$T$14,1)-L1181</f>
        <v>750000</v>
      </c>
      <c r="M1179" s="73" t="n">
        <f aca="false">L1179*IF(M1151=1,1+MSIG_USD*$T$14,1)-M1181</f>
        <v>500000</v>
      </c>
      <c r="N1179" s="73" t="n">
        <f aca="false">M1179*IF(N1151=1,1+MSIG_USD*$T$14,1)-N1181</f>
        <v>250000</v>
      </c>
      <c r="O1179" s="73" t="n">
        <f aca="false">N1179*IF(O1151=1,1+MSIG_USD*$T$14,1)-O1181</f>
        <v>0</v>
      </c>
    </row>
    <row r="1180" customFormat="false" ht="15" hidden="false" customHeight="false" outlineLevel="0" collapsed="false">
      <c r="B1180" s="65" t="s">
        <v>1045</v>
      </c>
      <c r="C1180" s="25"/>
      <c r="D1180" s="73" t="n">
        <f aca="false">MIN(C1178*IF(D1151=1,1+$T$14,1),$C1178*(1+$T$14)*IF(D1151&lt;=4,$T$13/4,Appels_base))</f>
        <v>375000</v>
      </c>
      <c r="E1180" s="73" t="n">
        <f aca="false">MIN(D1178*IF(E1151=1,1+$T$14,1),$C1178*(1+$T$14)*IF(E1151&lt;=4,$T$13/4,Appels_base))</f>
        <v>375000</v>
      </c>
      <c r="F1180" s="73" t="n">
        <f aca="false">MIN(E1178*IF(F1151=1,1+$T$14,1),$C1178*(1+$T$14)*IF(F1151&lt;=4,$T$13/4,Appels_base))</f>
        <v>375000</v>
      </c>
      <c r="G1180" s="73" t="n">
        <f aca="false">MIN(F1178*IF(G1151=1,1+$T$14,1),$C1178*(1+$T$14)*IF(G1151&lt;=4,$T$13/4,Appels_base))</f>
        <v>375000</v>
      </c>
      <c r="H1180" s="73" t="n">
        <f aca="false">MIN(G1178*IF(H1151=1,1+$T$14,1),$C1178*(1+$T$14)*IF(H1151&lt;=4,$T$13/4,Appels_base))</f>
        <v>375000</v>
      </c>
      <c r="I1180" s="73" t="n">
        <f aca="false">MIN(H1178*IF(I1151=1,1+$T$14,1),$C1178*(1+$T$14)*IF(I1151&lt;=4,$T$13/4,Appels_base))</f>
        <v>375000</v>
      </c>
      <c r="J1180" s="73" t="n">
        <f aca="false">MIN(I1178*IF(J1151=1,1+$T$14,1),$C1178*(1+$T$14)*IF(J1151&lt;=4,$T$13/4,Appels_base))</f>
        <v>375000</v>
      </c>
      <c r="K1180" s="73" t="n">
        <f aca="false">MIN(J1178*IF(K1151=1,1+$T$14,1),$C1178*(1+$T$14)*IF(K1151&lt;=4,$T$13/4,Appels_base))</f>
        <v>375000</v>
      </c>
      <c r="L1180" s="73" t="n">
        <f aca="false">MIN(K1178*IF(L1151=1,1+$T$14,1),$C1178*(1+$T$14)*IF(L1151&lt;=4,$T$13/4,Appels_base))</f>
        <v>375000</v>
      </c>
      <c r="M1180" s="73" t="n">
        <f aca="false">MIN(L1178*IF(M1151=1,1+$T$14,1),$C1178*(1+$T$14)*IF(M1151&lt;=4,$T$13/4,Appels_base))</f>
        <v>375000</v>
      </c>
      <c r="N1180" s="73" t="n">
        <f aca="false">MIN(M1178*IF(N1151=1,1+$T$14,1),$C1178*(1+$T$14)*IF(N1151&lt;=4,$T$13/4,Appels_base))</f>
        <v>375000</v>
      </c>
      <c r="O1180" s="73" t="n">
        <f aca="false">MIN(N1178*IF(O1151=1,1+$T$14,1),$C1178*(1+$T$14)*IF(O1151&lt;=4,$T$13/4,Appels_base))</f>
        <v>375000</v>
      </c>
    </row>
    <row r="1181" customFormat="false" ht="15" hidden="false" customHeight="false" outlineLevel="0" collapsed="false">
      <c r="B1181" s="65" t="s">
        <v>1046</v>
      </c>
      <c r="C1181" s="25"/>
      <c r="D1181" s="73" t="n">
        <f aca="false">MIN(C1179*IF(D1151=1,1+MSIG_USD*$T$14,1),$C1179*(1+MSIG_USD*$T$14)*IF(D1151&lt;=4,$T$13/4,Appels_base))</f>
        <v>250000</v>
      </c>
      <c r="E1181" s="73" t="n">
        <f aca="false">MIN(D1179*IF(E1151=1,1+MSIG_USD*$T$14,1),$C1179*(1+MSIG_USD*$T$14)*IF(E1151&lt;=4,$T$13/4,Appels_base))</f>
        <v>250000</v>
      </c>
      <c r="F1181" s="73" t="n">
        <f aca="false">MIN(E1179*IF(F1151=1,1+MSIG_USD*$T$14,1),$C1179*(1+MSIG_USD*$T$14)*IF(F1151&lt;=4,$T$13/4,Appels_base))</f>
        <v>250000</v>
      </c>
      <c r="G1181" s="73" t="n">
        <f aca="false">MIN(F1179*IF(G1151=1,1+MSIG_USD*$T$14,1),$C1179*(1+MSIG_USD*$T$14)*IF(G1151&lt;=4,$T$13/4,Appels_base))</f>
        <v>250000</v>
      </c>
      <c r="H1181" s="73" t="n">
        <f aca="false">MIN(G1179*IF(H1151=1,1+MSIG_USD*$T$14,1),$C1179*(1+MSIG_USD*$T$14)*IF(H1151&lt;=4,$T$13/4,Appels_base))</f>
        <v>250000</v>
      </c>
      <c r="I1181" s="73" t="n">
        <f aca="false">MIN(H1179*IF(I1151=1,1+MSIG_USD*$T$14,1),$C1179*(1+MSIG_USD*$T$14)*IF(I1151&lt;=4,$T$13/4,Appels_base))</f>
        <v>250000</v>
      </c>
      <c r="J1181" s="73" t="n">
        <f aca="false">MIN(I1179*IF(J1151=1,1+MSIG_USD*$T$14,1),$C1179*(1+MSIG_USD*$T$14)*IF(J1151&lt;=4,$T$13/4,Appels_base))</f>
        <v>250000</v>
      </c>
      <c r="K1181" s="73" t="n">
        <f aca="false">MIN(J1179*IF(K1151=1,1+MSIG_USD*$T$14,1),$C1179*(1+MSIG_USD*$T$14)*IF(K1151&lt;=4,$T$13/4,Appels_base))</f>
        <v>250000</v>
      </c>
      <c r="L1181" s="73" t="n">
        <f aca="false">MIN(K1179*IF(L1151=1,1+MSIG_USD*$T$14,1),$C1179*(1+MSIG_USD*$T$14)*IF(L1151&lt;=4,$T$13/4,Appels_base))</f>
        <v>250000</v>
      </c>
      <c r="M1181" s="73" t="n">
        <f aca="false">MIN(L1179*IF(M1151=1,1+MSIG_USD*$T$14,1),$C1179*(1+MSIG_USD*$T$14)*IF(M1151&lt;=4,$T$13/4,Appels_base))</f>
        <v>250000</v>
      </c>
      <c r="N1181" s="73" t="n">
        <f aca="false">MIN(M1179*IF(N1151=1,1+MSIG_USD*$T$14,1),$C1179*(1+MSIG_USD*$T$14)*IF(N1151&lt;=4,$T$13/4,Appels_base))</f>
        <v>250000</v>
      </c>
      <c r="O1181" s="73" t="n">
        <f aca="false">MIN(N1179*IF(O1151=1,1+MSIG_USD*$T$14,1),$C1179*(1+MSIG_USD*$T$14)*IF(O1151&lt;=4,$T$13/4,Appels_base))</f>
        <v>250000</v>
      </c>
    </row>
    <row r="1182" customFormat="false" ht="15" hidden="false" customHeight="false" outlineLevel="0" collapsed="false">
      <c r="B1182" s="65" t="s">
        <v>1047</v>
      </c>
      <c r="C1182" s="25"/>
      <c r="D1182" s="73" t="n">
        <f aca="false">C1172*Capacite_evg*IF(D1151&lt;=4,$T$17,$T$18)</f>
        <v>612500</v>
      </c>
      <c r="E1182" s="73" t="n">
        <f aca="false">D1172*Capacite_evg*IF(E1151&lt;=4,$T$17,$T$18)</f>
        <v>594446.5625</v>
      </c>
      <c r="F1182" s="73" t="n">
        <f aca="false">E1172*Capacite_evg*IF(F1151&lt;=4,$T$17,$T$18)</f>
        <v>576925.250070313</v>
      </c>
      <c r="G1182" s="73" t="n">
        <f aca="false">F1172*Capacite_evg*IF(G1151&lt;=4,$T$17,$T$18)</f>
        <v>528940.820138186</v>
      </c>
      <c r="H1182" s="73" t="n">
        <f aca="false">G1172*Capacite_evg*IF(H1151&lt;=4,$T$17,$T$18)</f>
        <v>513350.289464613</v>
      </c>
      <c r="I1182" s="73" t="n">
        <f aca="false">H1172*Capacite_evg*IF(I1151&lt;=4,$T$17,$T$18)</f>
        <v>444749.682190048</v>
      </c>
      <c r="J1182" s="73" t="n">
        <f aca="false">I1172*Capacite_evg*IF(J1151&lt;=4,$T$17,$T$18)</f>
        <v>431640.685307496</v>
      </c>
      <c r="K1182" s="73" t="n">
        <f aca="false">J1172*Capacite_evg*IF(K1151&lt;=4,$T$17,$T$18)</f>
        <v>371080.059741246</v>
      </c>
      <c r="L1182" s="73" t="n">
        <f aca="false">K1172*Capacite_evg*IF(L1151&lt;=4,$T$17,$T$18)</f>
        <v>360142.474980372</v>
      </c>
      <c r="M1182" s="73" t="n">
        <f aca="false">L1172*Capacite_evg*IF(M1151&lt;=4,$T$17,$T$18)</f>
        <v>306844.146973674</v>
      </c>
      <c r="N1182" s="73" t="n">
        <f aca="false">M1172*Capacite_evg*IF(N1151&lt;=4,$T$17,$T$18)</f>
        <v>297799.915741625</v>
      </c>
      <c r="O1182" s="73" t="n">
        <f aca="false">N1172*Capacite_evg*IF(O1151&lt;=4,$T$17,$T$18)</f>
        <v>251306.658634987</v>
      </c>
    </row>
    <row r="1183" customFormat="false" ht="15" hidden="false" customHeight="false" outlineLevel="0" collapsed="false">
      <c r="B1183" s="65" t="s">
        <v>1048</v>
      </c>
      <c r="C1183" s="25"/>
      <c r="D1183" s="73" t="n">
        <f aca="false">C1173*Capacite_evg*IF(D1151&lt;=4,$T$17,$T$19)*(1-IF(D1151&lt;=Deduc_trim,Deduc_ares,0))</f>
        <v>581875</v>
      </c>
      <c r="E1183" s="73" t="n">
        <f aca="false">D1173*Capacite_evg*IF(E1151&lt;=4,$T$17,$T$19)*(1-IF(E1151&lt;=Deduc_trim,Deduc_ares,0))</f>
        <v>557058.03125</v>
      </c>
      <c r="F1183" s="73" t="n">
        <f aca="false">E1173*Capacite_evg*IF(F1151&lt;=4,$T$17,$T$19)*(1-IF(F1151&lt;=Deduc_trim,Deduc_ares,0))</f>
        <v>533299.506217187</v>
      </c>
      <c r="G1183" s="73" t="n">
        <f aca="false">F1173*Capacite_evg*IF(G1151&lt;=4,$T$17,$T$19)*(1-IF(G1151&lt;=Deduc_trim,Deduc_ares,0))</f>
        <v>481917.32613484</v>
      </c>
      <c r="H1183" s="73" t="n">
        <f aca="false">G1173*Capacite_evg*IF(H1151&lt;=4,$T$17,$T$19)*(1-IF(H1151&lt;=Deduc_trim,Deduc_ares,0))</f>
        <v>485645.844394936</v>
      </c>
      <c r="I1183" s="73" t="n">
        <f aca="false">H1173*Capacite_evg*IF(I1151&lt;=4,$T$17,$T$19)*(1-IF(I1151&lt;=Deduc_trim,Deduc_ares,0))</f>
        <v>414349.084900577</v>
      </c>
      <c r="J1183" s="73" t="n">
        <f aca="false">I1173*Capacite_evg*IF(J1151&lt;=4,$T$17,$T$19)*(1-IF(J1151&lt;=Deduc_trim,Deduc_ares,0))</f>
        <v>396677.096429567</v>
      </c>
      <c r="K1183" s="73" t="n">
        <f aca="false">J1173*Capacite_evg*IF(K1151&lt;=4,$T$17,$T$19)*(1-IF(K1151&lt;=Deduc_trim,Deduc_ares,0))</f>
        <v>335795.758070566</v>
      </c>
      <c r="L1183" s="73" t="n">
        <f aca="false">K1173*Capacite_evg*IF(L1151&lt;=4,$T$17,$T$19)*(1-IF(L1151&lt;=Deduc_trim,Deduc_ares,0))</f>
        <v>321474.068988856</v>
      </c>
      <c r="M1183" s="73" t="n">
        <f aca="false">L1173*Capacite_evg*IF(M1151&lt;=4,$T$17,$T$19)*(1-IF(M1151&lt;=Deduc_trim,Deduc_ares,0))</f>
        <v>269662.948053035</v>
      </c>
      <c r="N1183" s="73" t="n">
        <f aca="false">M1173*Capacite_evg*IF(N1151&lt;=4,$T$17,$T$19)*(1-IF(N1151&lt;=Deduc_trim,Deduc_ares,0))</f>
        <v>258161.823318573</v>
      </c>
      <c r="O1183" s="73" t="n">
        <f aca="false">N1173*Capacite_evg*IF(O1151&lt;=4,$T$17,$T$19)*(1-IF(O1151&lt;=Deduc_trim,Deduc_ares,0))</f>
        <v>214455.680911224</v>
      </c>
    </row>
    <row r="1184" customFormat="false" ht="15" hidden="false" customHeight="false" outlineLevel="0" collapsed="false">
      <c r="B1184" s="65" t="s">
        <v>1049</v>
      </c>
      <c r="C1184" s="25"/>
      <c r="D1184" s="73" t="n">
        <f aca="false">C1198</f>
        <v>7500000</v>
      </c>
      <c r="E1184" s="73" t="n">
        <f aca="false">D1198</f>
        <v>1989375</v>
      </c>
      <c r="F1184" s="73" t="n">
        <f aca="false">E1198</f>
        <v>2808203.9375</v>
      </c>
      <c r="G1184" s="73" t="n">
        <f aca="false">F1198</f>
        <v>0</v>
      </c>
      <c r="H1184" s="73" t="n">
        <f aca="false">G1198</f>
        <v>668966.652832828</v>
      </c>
      <c r="I1184" s="73" t="n">
        <f aca="false">H1198</f>
        <v>0</v>
      </c>
      <c r="J1184" s="73" t="n">
        <f aca="false">I1198</f>
        <v>497324.601731014</v>
      </c>
      <c r="K1184" s="73" t="n">
        <f aca="false">J1198</f>
        <v>0</v>
      </c>
      <c r="L1184" s="73" t="n">
        <f aca="false">K1198</f>
        <v>326520.216229662</v>
      </c>
      <c r="M1184" s="73" t="n">
        <f aca="false">L1198</f>
        <v>0</v>
      </c>
      <c r="N1184" s="73" t="n">
        <f aca="false">M1198</f>
        <v>178541.7909928</v>
      </c>
      <c r="O1184" s="73" t="n">
        <f aca="false">N1198</f>
        <v>0</v>
      </c>
    </row>
    <row r="1185" customFormat="false" ht="15" hidden="false" customHeight="false" outlineLevel="0" collapsed="false">
      <c r="B1185" s="65" t="s">
        <v>1050</v>
      </c>
      <c r="C1185" s="25"/>
      <c r="D1185" s="73" t="n">
        <f aca="false">D1184*Taux_treso/4</f>
        <v>46875</v>
      </c>
      <c r="E1185" s="73" t="n">
        <f aca="false">E1184*Taux_treso/4</f>
        <v>12433.59375</v>
      </c>
      <c r="F1185" s="73" t="n">
        <f aca="false">F1184*Taux_treso/4</f>
        <v>17551.274609375</v>
      </c>
      <c r="G1185" s="73" t="n">
        <f aca="false">G1184*Taux_treso/4</f>
        <v>0</v>
      </c>
      <c r="H1185" s="73" t="n">
        <f aca="false">H1184*Taux_treso/4</f>
        <v>4181.04158020518</v>
      </c>
      <c r="I1185" s="73" t="n">
        <f aca="false">I1184*Taux_treso/4</f>
        <v>0</v>
      </c>
      <c r="J1185" s="73" t="n">
        <f aca="false">J1184*Taux_treso/4</f>
        <v>3108.27876081884</v>
      </c>
      <c r="K1185" s="73" t="n">
        <f aca="false">K1184*Taux_treso/4</f>
        <v>0</v>
      </c>
      <c r="L1185" s="73" t="n">
        <f aca="false">L1184*Taux_treso/4</f>
        <v>2040.75135143539</v>
      </c>
      <c r="M1185" s="73" t="n">
        <f aca="false">M1184*Taux_treso/4</f>
        <v>0</v>
      </c>
      <c r="N1185" s="73" t="n">
        <f aca="false">N1184*Taux_treso/4</f>
        <v>1115.886193705</v>
      </c>
      <c r="O1185" s="73" t="n">
        <f aca="false">O1184*Taux_treso/4</f>
        <v>0</v>
      </c>
    </row>
    <row r="1186" customFormat="false" ht="15" hidden="false" customHeight="false" outlineLevel="0" collapsed="false">
      <c r="B1186" s="65" t="s">
        <v>1051</v>
      </c>
      <c r="C1186" s="25"/>
      <c r="D1186" s="73" t="n">
        <f aca="false">SUM(D1174:D1177)</f>
        <v>498125</v>
      </c>
      <c r="E1186" s="73" t="n">
        <f aca="false">SUM(E1174:E1177)</f>
        <v>501643.96875</v>
      </c>
      <c r="F1186" s="73" t="n">
        <f aca="false">SUM(F1174:F1177)</f>
        <v>505569.532629688</v>
      </c>
      <c r="G1186" s="73" t="n">
        <f aca="false">SUM(G1174:G1177)</f>
        <v>482740.830651119</v>
      </c>
      <c r="H1186" s="73" t="n">
        <f aca="false">SUM(H1174:H1177)</f>
        <v>487746.36437804</v>
      </c>
      <c r="I1186" s="73" t="n">
        <f aca="false">SUM(I1174:I1177)</f>
        <v>442301.420101545</v>
      </c>
      <c r="J1186" s="73" t="n">
        <f aca="false">SUM(J1174:J1177)</f>
        <v>448484.340633288</v>
      </c>
      <c r="K1186" s="73" t="n">
        <f aca="false">SUM(K1174:K1177)</f>
        <v>405264.737252666</v>
      </c>
      <c r="L1186" s="73" t="n">
        <f aca="false">SUM(L1174:L1177)</f>
        <v>412433.028442804</v>
      </c>
      <c r="M1186" s="73" t="n">
        <f aca="false">SUM(M1174:M1177)</f>
        <v>370980.476285704</v>
      </c>
      <c r="N1186" s="73" t="n">
        <f aca="false">SUM(N1174:N1177)</f>
        <v>378965.892239182</v>
      </c>
      <c r="O1186" s="73" t="n">
        <f aca="false">SUM(O1174:O1177)</f>
        <v>339179.651383625</v>
      </c>
    </row>
    <row r="1187" customFormat="false" ht="15" hidden="false" customHeight="false" outlineLevel="0" collapsed="false">
      <c r="B1187" s="65" t="s">
        <v>1052</v>
      </c>
      <c r="C1187" s="25"/>
      <c r="D1187" s="73" t="n">
        <f aca="false">IF(AND(Distrib_tension=1,OR(D1159&gt;0.000001,C1201&lt;Liq_min,C1165=1)),0,MIN(Dist_porteurs/4*Part_d*D1156,D1186))</f>
        <v>125000</v>
      </c>
      <c r="E1187" s="73" t="n">
        <f aca="false">IF(AND(Distrib_tension=1,OR(E1159&gt;0.000001,D1201&lt;Liq_min,D1165=1)),0,MIN(Dist_porteurs/4*Part_d*E1156,E1186))</f>
        <v>0</v>
      </c>
      <c r="F1187" s="73" t="n">
        <f aca="false">IF(AND(Distrib_tension=1,OR(F1159&gt;0.000001,E1201&lt;Liq_min,E1165=1)),0,MIN(Dist_porteurs/4*Part_d*F1156,F1186))</f>
        <v>0</v>
      </c>
      <c r="G1187" s="73" t="n">
        <f aca="false">IF(AND(Distrib_tension=1,OR(G1159&gt;0.000001,F1201&lt;Liq_min,F1165=1)),0,MIN(Dist_porteurs/4*Part_d*G1156,G1186))</f>
        <v>0</v>
      </c>
      <c r="H1187" s="73" t="n">
        <f aca="false">IF(AND(Distrib_tension=1,OR(H1159&gt;0.000001,G1201&lt;Liq_min,G1165=1)),0,MIN(Dist_porteurs/4*Part_d*H1156,H1186))</f>
        <v>0</v>
      </c>
      <c r="I1187" s="73" t="n">
        <f aca="false">IF(AND(Distrib_tension=1,OR(I1159&gt;0.000001,H1201&lt;Liq_min,H1165=1)),0,MIN(Dist_porteurs/4*Part_d*I1156,I1186))</f>
        <v>0</v>
      </c>
      <c r="J1187" s="73" t="n">
        <f aca="false">IF(AND(Distrib_tension=1,OR(J1159&gt;0.000001,I1201&lt;Liq_min,I1165=1)),0,MIN(Dist_porteurs/4*Part_d*J1156,J1186))</f>
        <v>0</v>
      </c>
      <c r="K1187" s="73" t="n">
        <f aca="false">IF(AND(Distrib_tension=1,OR(K1159&gt;0.000001,J1201&lt;Liq_min,J1165=1)),0,MIN(Dist_porteurs/4*Part_d*K1156,K1186))</f>
        <v>0</v>
      </c>
      <c r="L1187" s="73" t="n">
        <f aca="false">IF(AND(Distrib_tension=1,OR(L1159&gt;0.000001,K1201&lt;Liq_min,K1165=1)),0,MIN(Dist_porteurs/4*Part_d*L1156,L1186))</f>
        <v>0</v>
      </c>
      <c r="M1187" s="73" t="n">
        <f aca="false">IF(AND(Distrib_tension=1,OR(M1159&gt;0.000001,L1201&lt;Liq_min,L1165=1)),0,MIN(Dist_porteurs/4*Part_d*M1156,M1186))</f>
        <v>0</v>
      </c>
      <c r="N1187" s="73" t="n">
        <f aca="false">IF(AND(Distrib_tension=1,OR(N1159&gt;0.000001,M1201&lt;Liq_min,M1165=1)),0,MIN(Dist_porteurs/4*Part_d*N1156,N1186))</f>
        <v>0</v>
      </c>
      <c r="O1187" s="73" t="n">
        <f aca="false">IF(AND(Distrib_tension=1,OR(O1159&gt;0.000001,N1201&lt;Liq_min,N1165=1)),0,MIN(Dist_porteurs/4*Part_d*O1156,O1186))</f>
        <v>0</v>
      </c>
    </row>
    <row r="1188" customFormat="false" ht="15" hidden="false" customHeight="false" outlineLevel="0" collapsed="false">
      <c r="B1188" s="65" t="s">
        <v>1053</v>
      </c>
      <c r="C1188" s="25"/>
      <c r="D1188" s="73" t="n">
        <f aca="false">D1180+D1181</f>
        <v>625000</v>
      </c>
      <c r="E1188" s="73" t="n">
        <f aca="false">E1180+E1181</f>
        <v>625000</v>
      </c>
      <c r="F1188" s="73" t="n">
        <f aca="false">F1180+F1181</f>
        <v>625000</v>
      </c>
      <c r="G1188" s="73" t="n">
        <f aca="false">G1180+G1181</f>
        <v>625000</v>
      </c>
      <c r="H1188" s="73" t="n">
        <f aca="false">H1180+H1181</f>
        <v>625000</v>
      </c>
      <c r="I1188" s="73" t="n">
        <f aca="false">I1180+I1181</f>
        <v>625000</v>
      </c>
      <c r="J1188" s="73" t="n">
        <f aca="false">J1180+J1181</f>
        <v>625000</v>
      </c>
      <c r="K1188" s="73" t="n">
        <f aca="false">K1180+K1181</f>
        <v>625000</v>
      </c>
      <c r="L1188" s="73" t="n">
        <f aca="false">L1180+L1181</f>
        <v>625000</v>
      </c>
      <c r="M1188" s="73" t="n">
        <f aca="false">M1180+M1181</f>
        <v>625000</v>
      </c>
      <c r="N1188" s="73" t="n">
        <f aca="false">N1180+N1181</f>
        <v>625000</v>
      </c>
      <c r="O1188" s="73" t="n">
        <f aca="false">O1180+O1181</f>
        <v>625000</v>
      </c>
    </row>
    <row r="1189" customFormat="false" ht="15" hidden="false" customHeight="false" outlineLevel="0" collapsed="false">
      <c r="B1189" s="65" t="s">
        <v>1054</v>
      </c>
      <c r="C1189" s="25"/>
      <c r="D1189" s="73" t="n">
        <f aca="false">D1156*Frais_an/4</f>
        <v>250000</v>
      </c>
      <c r="E1189" s="73" t="n">
        <f aca="false">E1156*Frais_an/4</f>
        <v>221753.21875</v>
      </c>
      <c r="F1189" s="73" t="n">
        <f aca="false">F1156*Frais_an/4</f>
        <v>225342.321066406</v>
      </c>
      <c r="G1189" s="73" t="n">
        <f aca="false">G1156*Frais_an/4</f>
        <v>199632.324091317</v>
      </c>
      <c r="H1189" s="73" t="n">
        <f aca="false">H1156*Frais_an/4</f>
        <v>203016.254530758</v>
      </c>
      <c r="I1189" s="73" t="n">
        <f aca="false">I1156*Frais_an/4</f>
        <v>179075.585461155</v>
      </c>
      <c r="J1189" s="73" t="n">
        <f aca="false">J1156*Frais_an/4</f>
        <v>182225.620653756</v>
      </c>
      <c r="K1189" s="73" t="n">
        <f aca="false">K1156*Frais_an/4</f>
        <v>160620.338834815</v>
      </c>
      <c r="L1189" s="73" t="n">
        <f aca="false">L1156*Frais_an/4</f>
        <v>163445.876435745</v>
      </c>
      <c r="M1189" s="73" t="n">
        <f aca="false">M1156*Frais_an/4</f>
        <v>143945.780319613</v>
      </c>
      <c r="N1189" s="73" t="n">
        <f aca="false">N1156*Frais_an/4</f>
        <v>146477.617315117</v>
      </c>
      <c r="O1189" s="73" t="n">
        <f aca="false">O1156*Frais_an/4</f>
        <v>128885.531539247</v>
      </c>
    </row>
    <row r="1190" customFormat="false" ht="15" hidden="false" customHeight="false" outlineLevel="0" collapsed="false">
      <c r="B1190" s="65" t="s">
        <v>1055</v>
      </c>
      <c r="C1190" s="25"/>
      <c r="D1190" s="73" t="n">
        <f aca="false">C1199*Taux_emprunt/4</f>
        <v>0</v>
      </c>
      <c r="E1190" s="73" t="n">
        <f aca="false">D1199*Taux_emprunt/4</f>
        <v>0</v>
      </c>
      <c r="F1190" s="73" t="n">
        <f aca="false">E1199*Taux_emprunt/4</f>
        <v>0</v>
      </c>
      <c r="G1190" s="73" t="n">
        <f aca="false">F1199*Taux_emprunt/4</f>
        <v>0</v>
      </c>
      <c r="H1190" s="73" t="n">
        <f aca="false">G1199*Taux_emprunt/4</f>
        <v>0</v>
      </c>
      <c r="I1190" s="73" t="n">
        <f aca="false">H1199*Taux_emprunt/4</f>
        <v>0</v>
      </c>
      <c r="J1190" s="73" t="n">
        <f aca="false">I1199*Taux_emprunt/4</f>
        <v>0</v>
      </c>
      <c r="K1190" s="73" t="n">
        <f aca="false">J1199*Taux_emprunt/4</f>
        <v>0</v>
      </c>
      <c r="L1190" s="73" t="n">
        <f aca="false">K1199*Taux_emprunt/4</f>
        <v>0</v>
      </c>
      <c r="M1190" s="73" t="n">
        <f aca="false">L1199*Taux_emprunt/4</f>
        <v>0</v>
      </c>
      <c r="N1190" s="73" t="n">
        <f aca="false">M1199*Taux_emprunt/4</f>
        <v>0</v>
      </c>
      <c r="O1190" s="73" t="n">
        <f aca="false">N1199*Taux_emprunt/4</f>
        <v>0</v>
      </c>
    </row>
    <row r="1191" customFormat="false" ht="15" hidden="false" customHeight="false" outlineLevel="0" collapsed="false">
      <c r="B1191" s="65" t="s">
        <v>1056</v>
      </c>
      <c r="C1191" s="25"/>
      <c r="D1191" s="73" t="n">
        <f aca="false">D1184+D1185+D1186-D1187+D1157-D1188-D1189-D1190</f>
        <v>7045000</v>
      </c>
      <c r="E1191" s="73" t="n">
        <f aca="false">E1184+E1185+E1186-E1187+E1157-E1188-E1189-E1190</f>
        <v>1656699.34375</v>
      </c>
      <c r="F1191" s="73" t="n">
        <f aca="false">F1184+F1185+F1186-F1187+F1157-F1188-F1189-F1190</f>
        <v>2480982.42367266</v>
      </c>
      <c r="G1191" s="73" t="n">
        <f aca="false">G1184+G1185+G1186-G1187+G1157-G1188-G1189-G1190</f>
        <v>-341891.493440198</v>
      </c>
      <c r="H1191" s="73" t="n">
        <f aca="false">H1184+H1185+H1186-H1187+H1157-H1188-H1189-H1190</f>
        <v>332877.804260315</v>
      </c>
      <c r="I1191" s="73" t="n">
        <f aca="false">I1184+I1185+I1186-I1187+I1157-I1188-I1189-I1190</f>
        <v>-361774.16535961</v>
      </c>
      <c r="J1191" s="73" t="n">
        <f aca="false">J1184+J1185+J1186-J1187+J1157-J1188-J1189-J1190</f>
        <v>141691.600471365</v>
      </c>
      <c r="K1191" s="73" t="n">
        <f aca="false">K1184+K1185+K1186-K1187+K1157-K1188-K1189-K1190</f>
        <v>-380355.60158215</v>
      </c>
      <c r="L1191" s="73" t="n">
        <f aca="false">L1184+L1185+L1186-L1187+L1157-L1188-L1189-L1190</f>
        <v>-47451.8804118434</v>
      </c>
      <c r="M1191" s="73" t="n">
        <f aca="false">M1184+M1185+M1186-M1187+M1157-M1188-M1189-M1190</f>
        <v>-397965.304033909</v>
      </c>
      <c r="N1191" s="73" t="n">
        <f aca="false">N1184+N1185+N1186-N1187+N1157-N1188-N1189-N1190</f>
        <v>-212854.047889431</v>
      </c>
      <c r="O1191" s="73" t="n">
        <f aca="false">O1184+O1185+O1186-O1187+O1157-O1188-O1189-O1190</f>
        <v>-414705.880155622</v>
      </c>
    </row>
    <row r="1192" customFormat="false" ht="15" hidden="false" customHeight="false" outlineLevel="0" collapsed="false">
      <c r="B1192" s="65" t="s">
        <v>1057</v>
      </c>
      <c r="C1192" s="25"/>
      <c r="D1192" s="73" t="n">
        <f aca="false">MIN(D1182+D1183,MAX(0,Liq_cible*D1156-(D1191-D1166)))</f>
        <v>1194375</v>
      </c>
      <c r="E1192" s="73" t="n">
        <f aca="false">MIN(E1182+E1183,MAX(0,Liq_cible*E1156-(E1191-E1166)))</f>
        <v>1151504.59375</v>
      </c>
      <c r="F1192" s="73" t="n">
        <f aca="false">MIN(F1182+F1183,MAX(0,Liq_cible*F1156-(F1191-F1166)))</f>
        <v>1110224.7562875</v>
      </c>
      <c r="G1192" s="73" t="n">
        <f aca="false">MIN(G1182+G1183,MAX(0,Liq_cible*G1156-(G1191-G1166)))</f>
        <v>1010858.14627303</v>
      </c>
      <c r="H1192" s="73" t="n">
        <f aca="false">MIN(H1182+H1183,MAX(0,Liq_cible*H1156-(H1191-H1166)))</f>
        <v>998996.133859549</v>
      </c>
      <c r="I1192" s="73" t="n">
        <f aca="false">MIN(I1182+I1183,MAX(0,Liq_cible*I1156-(I1191-I1166)))</f>
        <v>859098.767090624</v>
      </c>
      <c r="J1192" s="73" t="n">
        <f aca="false">MIN(J1182+J1183,MAX(0,Liq_cible*J1156-(J1191-J1166)))</f>
        <v>828317.781737063</v>
      </c>
      <c r="K1192" s="73" t="n">
        <f aca="false">MIN(K1182+K1183,MAX(0,Liq_cible*K1156-(K1191-K1166)))</f>
        <v>706875.817811812</v>
      </c>
      <c r="L1192" s="73" t="n">
        <f aca="false">MIN(L1182+L1183,MAX(0,Liq_cible*L1156-(L1191-L1166)))</f>
        <v>681616.543969229</v>
      </c>
      <c r="M1192" s="73" t="n">
        <f aca="false">MIN(M1182+M1183,MAX(0,Liq_cible*M1156-(M1191-M1166)))</f>
        <v>576507.095026709</v>
      </c>
      <c r="N1192" s="73" t="n">
        <f aca="false">MIN(N1182+N1183,MAX(0,Liq_cible*N1156-(N1191-N1166)))</f>
        <v>555961.739060198</v>
      </c>
      <c r="O1192" s="73" t="n">
        <f aca="false">MIN(O1182+O1183,MAX(0,Liq_cible*O1156-(O1191-O1166)))</f>
        <v>465762.339546211</v>
      </c>
    </row>
    <row r="1193" customFormat="false" ht="15" hidden="false" customHeight="false" outlineLevel="0" collapsed="false">
      <c r="B1193" s="65" t="s">
        <v>1058</v>
      </c>
      <c r="C1193" s="25"/>
      <c r="D1193" s="73" t="n">
        <f aca="false">D1191-D1166+D1192</f>
        <v>1989375</v>
      </c>
      <c r="E1193" s="73" t="n">
        <f aca="false">E1191-E1166+E1192</f>
        <v>2808203.9375</v>
      </c>
      <c r="F1193" s="73" t="n">
        <f aca="false">F1191-F1166+F1192</f>
        <v>-2042350.8467</v>
      </c>
      <c r="G1193" s="73" t="n">
        <f aca="false">G1191-G1166+G1192</f>
        <v>668966.652832828</v>
      </c>
      <c r="H1193" s="73" t="n">
        <f aca="false">H1191-H1166+H1192</f>
        <v>-3743532.4251491</v>
      </c>
      <c r="I1193" s="73" t="n">
        <f aca="false">I1191-I1166+I1192</f>
        <v>497324.601731014</v>
      </c>
      <c r="J1193" s="73" t="n">
        <f aca="false">J1191-J1166+J1192</f>
        <v>-3585631.13413547</v>
      </c>
      <c r="K1193" s="73" t="n">
        <f aca="false">K1191-K1166+K1192</f>
        <v>326520.216229662</v>
      </c>
      <c r="L1193" s="73" t="n">
        <f aca="false">L1191-L1166+L1192</f>
        <v>-3451982.24733624</v>
      </c>
      <c r="M1193" s="73" t="n">
        <f aca="false">M1191-M1166+M1192</f>
        <v>178541.7909928</v>
      </c>
      <c r="N1193" s="73" t="n">
        <f aca="false">N1191-N1166+N1192</f>
        <v>-3318832.74170715</v>
      </c>
      <c r="O1193" s="73" t="n">
        <f aca="false">O1191-O1166+O1192</f>
        <v>51056.4593905887</v>
      </c>
    </row>
    <row r="1194" customFormat="false" ht="15" hidden="false" customHeight="false" outlineLevel="0" collapsed="false">
      <c r="B1194" s="65" t="s">
        <v>1059</v>
      </c>
      <c r="C1194" s="25"/>
      <c r="D1194" s="73" t="n">
        <f aca="false">MIN(MAX(0,MIN($T$20*AN_cible,Emprunt_max*D1156)-C1199),MAX(0,IF($T$20&gt;0,Poche_min_exec*D1156,0)-D1193))-IF(D1193&gt;Liq_cible*D1156,MIN(C1199,D1193-Liq_cible*D1156),0)</f>
        <v>0</v>
      </c>
      <c r="E1194" s="73" t="n">
        <f aca="false">MIN(MAX(0,MIN($T$20*AN_cible,Emprunt_max*E1156)-D1199),MAX(0,IF($T$20&gt;0,Poche_min_exec*E1156,0)-E1193))-IF(E1193&gt;Liq_cible*E1156,MIN(D1199,E1193-Liq_cible*E1156),0)</f>
        <v>0</v>
      </c>
      <c r="F1194" s="73" t="n">
        <f aca="false">MIN(MAX(0,MIN($T$20*AN_cible,Emprunt_max*F1156)-E1199),MAX(0,IF($T$20&gt;0,Poche_min_exec*F1156,0)-F1193))-IF(F1193&gt;Liq_cible*F1156,MIN(E1199,F1193-Liq_cible*F1156),0)</f>
        <v>0</v>
      </c>
      <c r="G1194" s="73" t="n">
        <f aca="false">MIN(MAX(0,MIN($T$20*AN_cible,Emprunt_max*G1156)-F1199),MAX(0,IF($T$20&gt;0,Poche_min_exec*G1156,0)-G1193))-IF(G1193&gt;Liq_cible*G1156,MIN(F1199,G1193-Liq_cible*G1156),0)</f>
        <v>0</v>
      </c>
      <c r="H1194" s="73" t="n">
        <f aca="false">MIN(MAX(0,MIN($T$20*AN_cible,Emprunt_max*H1156)-G1199),MAX(0,IF($T$20&gt;0,Poche_min_exec*H1156,0)-H1193))-IF(H1193&gt;Liq_cible*H1156,MIN(G1199,H1193-Liq_cible*H1156),0)</f>
        <v>0</v>
      </c>
      <c r="I1194" s="73" t="n">
        <f aca="false">MIN(MAX(0,MIN($T$20*AN_cible,Emprunt_max*I1156)-H1199),MAX(0,IF($T$20&gt;0,Poche_min_exec*I1156,0)-I1193))-IF(I1193&gt;Liq_cible*I1156,MIN(H1199,I1193-Liq_cible*I1156),0)</f>
        <v>0</v>
      </c>
      <c r="J1194" s="73" t="n">
        <f aca="false">MIN(MAX(0,MIN($T$20*AN_cible,Emprunt_max*J1156)-I1199),MAX(0,IF($T$20&gt;0,Poche_min_exec*J1156,0)-J1193))-IF(J1193&gt;Liq_cible*J1156,MIN(I1199,J1193-Liq_cible*J1156),0)</f>
        <v>0</v>
      </c>
      <c r="K1194" s="73" t="n">
        <f aca="false">MIN(MAX(0,MIN($T$20*AN_cible,Emprunt_max*K1156)-J1199),MAX(0,IF($T$20&gt;0,Poche_min_exec*K1156,0)-K1193))-IF(K1193&gt;Liq_cible*K1156,MIN(J1199,K1193-Liq_cible*K1156),0)</f>
        <v>0</v>
      </c>
      <c r="L1194" s="73" t="n">
        <f aca="false">MIN(MAX(0,MIN($T$20*AN_cible,Emprunt_max*L1156)-K1199),MAX(0,IF($T$20&gt;0,Poche_min_exec*L1156,0)-L1193))-IF(L1193&gt;Liq_cible*L1156,MIN(K1199,L1193-Liq_cible*L1156),0)</f>
        <v>0</v>
      </c>
      <c r="M1194" s="73" t="n">
        <f aca="false">MIN(MAX(0,MIN($T$20*AN_cible,Emprunt_max*M1156)-L1199),MAX(0,IF($T$20&gt;0,Poche_min_exec*M1156,0)-M1193))-IF(M1193&gt;Liq_cible*M1156,MIN(L1199,M1193-Liq_cible*M1156),0)</f>
        <v>0</v>
      </c>
      <c r="N1194" s="73" t="n">
        <f aca="false">MIN(MAX(0,MIN($T$20*AN_cible,Emprunt_max*N1156)-M1199),MAX(0,IF($T$20&gt;0,Poche_min_exec*N1156,0)-N1193))-IF(N1193&gt;Liq_cible*N1156,MIN(M1199,N1193-Liq_cible*N1156),0)</f>
        <v>0</v>
      </c>
      <c r="O1194" s="73" t="n">
        <f aca="false">MIN(MAX(0,MIN($T$20*AN_cible,Emprunt_max*O1156)-N1199),MAX(0,IF($T$20&gt;0,Poche_min_exec*O1156,0)-O1193))-IF(O1193&gt;Liq_cible*O1156,MIN(N1199,O1193-Liq_cible*O1156),0)</f>
        <v>0</v>
      </c>
    </row>
    <row r="1195" customFormat="false" ht="15" hidden="false" customHeight="false" outlineLevel="0" collapsed="false">
      <c r="B1195" s="65" t="s">
        <v>1060</v>
      </c>
      <c r="C1195" s="25"/>
      <c r="D1195" s="73" t="n">
        <f aca="false">MIN((C1170+C1171+C1172+C1173),MAX(0,-(D1193+D1194))/(1-Decote))</f>
        <v>0</v>
      </c>
      <c r="E1195" s="73" t="n">
        <f aca="false">MIN((D1170+D1171+D1172+D1173),MAX(0,-(E1193+E1194))/(1-Decote))</f>
        <v>0</v>
      </c>
      <c r="F1195" s="73" t="n">
        <f aca="false">MIN((E1170+E1171+E1172+E1173),MAX(0,-(F1193+F1194))/(1-Decote))</f>
        <v>2269278.71855556</v>
      </c>
      <c r="G1195" s="73" t="n">
        <f aca="false">MIN((F1170+F1171+F1172+F1173),MAX(0,-(G1193+G1194))/(1-Decote))</f>
        <v>0</v>
      </c>
      <c r="H1195" s="73" t="n">
        <f aca="false">MIN((G1170+G1171+G1172+G1173),MAX(0,-(H1193+H1194))/(1-Decote))</f>
        <v>4159480.47238789</v>
      </c>
      <c r="I1195" s="73" t="n">
        <f aca="false">MIN((H1170+H1171+H1172+H1173),MAX(0,-(I1193+I1194))/(1-Decote))</f>
        <v>0</v>
      </c>
      <c r="J1195" s="73" t="n">
        <f aca="false">MIN((I1170+I1171+I1172+I1173),MAX(0,-(J1193+J1194))/(1-Decote))</f>
        <v>3984034.59348386</v>
      </c>
      <c r="K1195" s="73" t="n">
        <f aca="false">MIN((J1170+J1171+J1172+J1173),MAX(0,-(K1193+K1194))/(1-Decote))</f>
        <v>0</v>
      </c>
      <c r="L1195" s="73" t="n">
        <f aca="false">MIN((K1170+K1171+K1172+K1173),MAX(0,-(L1193+L1194))/(1-Decote))</f>
        <v>3835535.8303736</v>
      </c>
      <c r="M1195" s="73" t="n">
        <f aca="false">MIN((L1170+L1171+L1172+L1173),MAX(0,-(M1193+M1194))/(1-Decote))</f>
        <v>0</v>
      </c>
      <c r="N1195" s="73" t="n">
        <f aca="false">MIN((M1170+M1171+M1172+M1173),MAX(0,-(N1193+N1194))/(1-Decote))</f>
        <v>3687591.93523017</v>
      </c>
      <c r="O1195" s="73" t="n">
        <f aca="false">MIN((N1170+N1171+N1172+N1173),MAX(0,-(O1193+O1194))/(1-Decote))</f>
        <v>0</v>
      </c>
    </row>
    <row r="1196" customFormat="false" ht="15" hidden="false" customHeight="false" outlineLevel="0" collapsed="false">
      <c r="B1196" s="65" t="s">
        <v>1061</v>
      </c>
      <c r="C1196" s="25"/>
      <c r="D1196" s="73" t="n">
        <f aca="false">D1195*Decote</f>
        <v>0</v>
      </c>
      <c r="E1196" s="73" t="n">
        <f aca="false">E1195*Decote</f>
        <v>0</v>
      </c>
      <c r="F1196" s="73" t="n">
        <f aca="false">F1195*Decote</f>
        <v>226927.871855556</v>
      </c>
      <c r="G1196" s="73" t="n">
        <f aca="false">G1195*Decote</f>
        <v>0</v>
      </c>
      <c r="H1196" s="73" t="n">
        <f aca="false">H1195*Decote</f>
        <v>415948.047238789</v>
      </c>
      <c r="I1196" s="73" t="n">
        <f aca="false">I1195*Decote</f>
        <v>0</v>
      </c>
      <c r="J1196" s="73" t="n">
        <f aca="false">J1195*Decote</f>
        <v>398403.459348386</v>
      </c>
      <c r="K1196" s="73" t="n">
        <f aca="false">K1195*Decote</f>
        <v>0</v>
      </c>
      <c r="L1196" s="73" t="n">
        <f aca="false">L1195*Decote</f>
        <v>383553.58303736</v>
      </c>
      <c r="M1196" s="73" t="n">
        <f aca="false">M1195*Decote</f>
        <v>0</v>
      </c>
      <c r="N1196" s="73" t="n">
        <f aca="false">N1195*Decote</f>
        <v>368759.193523017</v>
      </c>
      <c r="O1196" s="73" t="n">
        <f aca="false">O1195*Decote</f>
        <v>0</v>
      </c>
    </row>
    <row r="1197" customFormat="false" ht="15" hidden="false" customHeight="false" outlineLevel="0" collapsed="false">
      <c r="B1197" s="65" t="s">
        <v>1062</v>
      </c>
      <c r="C1197" s="25"/>
      <c r="D1197" s="73" t="n">
        <f aca="false">IF(AND(D1167&lt;0.000001,C1199+D1194&lt;0.000001),MAX(0,D1193+D1194-Seuil_reinv*D1156),0)</f>
        <v>0</v>
      </c>
      <c r="E1197" s="73" t="n">
        <f aca="false">IF(AND(E1167&lt;0.000001,D1199+E1194&lt;0.000001),MAX(0,E1193+E1194-Seuil_reinv*E1156),0)</f>
        <v>0</v>
      </c>
      <c r="F1197" s="73" t="n">
        <f aca="false">IF(AND(F1167&lt;0.000001,E1199+F1194&lt;0.000001),MAX(0,F1193+F1194-Seuil_reinv*F1156),0)</f>
        <v>0</v>
      </c>
      <c r="G1197" s="73" t="n">
        <f aca="false">IF(AND(G1167&lt;0.000001,F1199+G1194&lt;0.000001),MAX(0,G1193+G1194-Seuil_reinv*G1156),0)</f>
        <v>0</v>
      </c>
      <c r="H1197" s="73" t="n">
        <f aca="false">IF(AND(H1167&lt;0.000001,G1199+H1194&lt;0.000001),MAX(0,H1193+H1194-Seuil_reinv*H1156),0)</f>
        <v>0</v>
      </c>
      <c r="I1197" s="73" t="n">
        <f aca="false">IF(AND(I1167&lt;0.000001,H1199+I1194&lt;0.000001),MAX(0,I1193+I1194-Seuil_reinv*I1156),0)</f>
        <v>0</v>
      </c>
      <c r="J1197" s="73" t="n">
        <f aca="false">IF(AND(J1167&lt;0.000001,I1199+J1194&lt;0.000001),MAX(0,J1193+J1194-Seuil_reinv*J1156),0)</f>
        <v>0</v>
      </c>
      <c r="K1197" s="73" t="n">
        <f aca="false">IF(AND(K1167&lt;0.000001,J1199+K1194&lt;0.000001),MAX(0,K1193+K1194-Seuil_reinv*K1156),0)</f>
        <v>0</v>
      </c>
      <c r="L1197" s="73" t="n">
        <f aca="false">IF(AND(L1167&lt;0.000001,K1199+L1194&lt;0.000001),MAX(0,L1193+L1194-Seuil_reinv*L1156),0)</f>
        <v>0</v>
      </c>
      <c r="M1197" s="73" t="n">
        <f aca="false">IF(AND(M1167&lt;0.000001,L1199+M1194&lt;0.000001),MAX(0,M1193+M1194-Seuil_reinv*M1156),0)</f>
        <v>0</v>
      </c>
      <c r="N1197" s="73" t="n">
        <f aca="false">IF(AND(N1167&lt;0.000001,M1199+N1194&lt;0.000001),MAX(0,N1193+N1194-Seuil_reinv*N1156),0)</f>
        <v>0</v>
      </c>
      <c r="O1197" s="73" t="n">
        <f aca="false">IF(AND(O1167&lt;0.000001,N1199+O1194&lt;0.000001),MAX(0,O1193+O1194-Seuil_reinv*O1156),0)</f>
        <v>0</v>
      </c>
    </row>
    <row r="1198" customFormat="false" ht="15" hidden="false" customHeight="false" outlineLevel="0" collapsed="false">
      <c r="B1198" s="65" t="s">
        <v>1063</v>
      </c>
      <c r="C1198" s="73" t="n">
        <f aca="false">AN_cible*Ws_LIQ</f>
        <v>7500000</v>
      </c>
      <c r="D1198" s="73" t="n">
        <f aca="false">D1193+D1194+D1195-D1196-D1197</f>
        <v>1989375</v>
      </c>
      <c r="E1198" s="73" t="n">
        <f aca="false">E1193+E1194+E1195-E1196-E1197</f>
        <v>2808203.9375</v>
      </c>
      <c r="F1198" s="73" t="n">
        <f aca="false">F1193+F1194+F1195-F1196-F1197</f>
        <v>0</v>
      </c>
      <c r="G1198" s="73" t="n">
        <f aca="false">G1193+G1194+G1195-G1196-G1197</f>
        <v>668966.652832828</v>
      </c>
      <c r="H1198" s="73" t="n">
        <f aca="false">H1193+H1194+H1195-H1196-H1197</f>
        <v>0</v>
      </c>
      <c r="I1198" s="73" t="n">
        <f aca="false">I1193+I1194+I1195-I1196-I1197</f>
        <v>497324.601731014</v>
      </c>
      <c r="J1198" s="73" t="n">
        <f aca="false">J1193+J1194+J1195-J1196-J1197</f>
        <v>0</v>
      </c>
      <c r="K1198" s="73" t="n">
        <f aca="false">K1193+K1194+K1195-K1196-K1197</f>
        <v>326520.216229662</v>
      </c>
      <c r="L1198" s="73" t="n">
        <f aca="false">L1193+L1194+L1195-L1196-L1197</f>
        <v>0</v>
      </c>
      <c r="M1198" s="73" t="n">
        <f aca="false">M1193+M1194+M1195-M1196-M1197</f>
        <v>178541.7909928</v>
      </c>
      <c r="N1198" s="73" t="n">
        <f aca="false">N1193+N1194+N1195-N1196-N1197</f>
        <v>0</v>
      </c>
      <c r="O1198" s="73" t="n">
        <f aca="false">O1193+O1194+O1195-O1196-O1197</f>
        <v>51056.4593905887</v>
      </c>
    </row>
    <row r="1199" customFormat="false" ht="15" hidden="false" customHeight="false" outlineLevel="0" collapsed="false">
      <c r="B1199" s="65" t="s">
        <v>1064</v>
      </c>
      <c r="C1199" s="73" t="n">
        <v>0</v>
      </c>
      <c r="D1199" s="73" t="n">
        <f aca="false">C1199+D1194</f>
        <v>0</v>
      </c>
      <c r="E1199" s="73" t="n">
        <f aca="false">D1199+E1194</f>
        <v>0</v>
      </c>
      <c r="F1199" s="73" t="n">
        <f aca="false">E1199+F1194</f>
        <v>0</v>
      </c>
      <c r="G1199" s="73" t="n">
        <f aca="false">F1199+G1194</f>
        <v>0</v>
      </c>
      <c r="H1199" s="73" t="n">
        <f aca="false">G1199+H1194</f>
        <v>0</v>
      </c>
      <c r="I1199" s="73" t="n">
        <f aca="false">H1199+I1194</f>
        <v>0</v>
      </c>
      <c r="J1199" s="73" t="n">
        <f aca="false">I1199+J1194</f>
        <v>0</v>
      </c>
      <c r="K1199" s="73" t="n">
        <f aca="false">J1199+K1194</f>
        <v>0</v>
      </c>
      <c r="L1199" s="73" t="n">
        <f aca="false">K1199+L1194</f>
        <v>0</v>
      </c>
      <c r="M1199" s="73" t="n">
        <f aca="false">L1199+M1194</f>
        <v>0</v>
      </c>
      <c r="N1199" s="73" t="n">
        <f aca="false">M1199+N1194</f>
        <v>0</v>
      </c>
      <c r="O1199" s="73" t="n">
        <f aca="false">N1199+O1194</f>
        <v>0</v>
      </c>
    </row>
    <row r="1200" customFormat="false" ht="15" hidden="false" customHeight="false" outlineLevel="0" collapsed="false">
      <c r="B1200" s="74" t="s">
        <v>1065</v>
      </c>
      <c r="C1200" s="73" t="n">
        <f aca="false">C1170+C1171+C1172+C1173+C1198-C1199</f>
        <v>50000000</v>
      </c>
      <c r="D1200" s="73" t="n">
        <f aca="false">D1170+D1171+D1172+D1173+D1198-D1199</f>
        <v>44350643.75</v>
      </c>
      <c r="E1200" s="73" t="n">
        <f aca="false">E1170+E1171+E1172+E1173+E1198-E1199</f>
        <v>45068464.2132813</v>
      </c>
      <c r="F1200" s="73" t="n">
        <f aca="false">F1170+F1171+F1172+F1173+F1198-F1199</f>
        <v>39926464.8182634</v>
      </c>
      <c r="G1200" s="73" t="n">
        <f aca="false">G1170+G1171+G1172+G1173+G1198-G1199</f>
        <v>40603250.9061517</v>
      </c>
      <c r="H1200" s="73" t="n">
        <f aca="false">H1170+H1171+H1172+H1173+H1198-H1199</f>
        <v>35815117.092231</v>
      </c>
      <c r="I1200" s="73" t="n">
        <f aca="false">I1170+I1171+I1172+I1173+I1198-I1199</f>
        <v>36445124.1307512</v>
      </c>
      <c r="J1200" s="73" t="n">
        <f aca="false">J1170+J1171+J1172+J1173+J1198-J1199</f>
        <v>32124067.7669631</v>
      </c>
      <c r="K1200" s="73" t="n">
        <f aca="false">K1170+K1171+K1172+K1173+K1198-K1199</f>
        <v>32689175.287149</v>
      </c>
      <c r="L1200" s="73" t="n">
        <f aca="false">L1170+L1171+L1172+L1173+L1198-L1199</f>
        <v>28789156.0639226</v>
      </c>
      <c r="M1200" s="73" t="n">
        <f aca="false">M1170+M1171+M1172+M1173+M1198-M1199</f>
        <v>29295523.4630234</v>
      </c>
      <c r="N1200" s="73" t="n">
        <f aca="false">N1170+N1171+N1172+N1173+N1198-N1199</f>
        <v>25777106.3078494</v>
      </c>
      <c r="O1200" s="73" t="n">
        <f aca="false">O1170+O1171+O1172+O1173+O1198-O1199</f>
        <v>26230344.6193719</v>
      </c>
    </row>
    <row r="1201" customFormat="false" ht="15" hidden="false" customHeight="false" outlineLevel="0" collapsed="false">
      <c r="B1201" s="65" t="s">
        <v>1066</v>
      </c>
      <c r="C1201" s="72" t="n">
        <f aca="false">IF((C1200+C1199)&gt;0,C1198/(C1200+C1199),0)</f>
        <v>0.15</v>
      </c>
      <c r="D1201" s="72" t="n">
        <f aca="false">IF((D1200+D1199)&gt;0,D1198/(D1200+D1199),0)</f>
        <v>0.0448556059572416</v>
      </c>
      <c r="E1201" s="72" t="n">
        <f aca="false">IF((E1200+E1199)&gt;0,E1198/(E1200+E1199),0)</f>
        <v>0.0623097322378349</v>
      </c>
      <c r="F1201" s="72" t="n">
        <f aca="false">IF((F1200+F1199)&gt;0,F1198/(F1200+F1199),0)</f>
        <v>0</v>
      </c>
      <c r="G1201" s="72" t="n">
        <f aca="false">IF((G1200+G1199)&gt;0,G1198/(G1200+G1199),0)</f>
        <v>0.0164756919188329</v>
      </c>
      <c r="H1201" s="72" t="n">
        <f aca="false">IF((H1200+H1199)&gt;0,H1198/(H1200+H1199),0)</f>
        <v>0</v>
      </c>
      <c r="I1201" s="72" t="n">
        <f aca="false">IF((I1200+I1199)&gt;0,I1198/(I1200+I1199),0)</f>
        <v>0.0136458473826788</v>
      </c>
      <c r="J1201" s="72" t="n">
        <f aca="false">IF((J1200+J1199)&gt;0,J1198/(J1200+J1199),0)</f>
        <v>0</v>
      </c>
      <c r="K1201" s="72" t="n">
        <f aca="false">IF((K1200+K1199)&gt;0,K1198/(K1200+K1199),0)</f>
        <v>0.00998863426077397</v>
      </c>
      <c r="L1201" s="72" t="n">
        <f aca="false">IF((L1200+L1199)&gt;0,L1198/(L1200+L1199),0)</f>
        <v>0</v>
      </c>
      <c r="M1201" s="72" t="n">
        <f aca="false">IF((M1200+M1199)&gt;0,M1198/(M1200+M1199),0)</f>
        <v>0.0060945076205296</v>
      </c>
      <c r="N1201" s="72" t="n">
        <f aca="false">IF((N1200+N1199)&gt;0,N1198/(N1200+N1199),0)</f>
        <v>0</v>
      </c>
      <c r="O1201" s="72" t="n">
        <f aca="false">IF((O1200+O1199)&gt;0,O1198/(O1200+O1199),0)</f>
        <v>0.00194646544418185</v>
      </c>
    </row>
    <row r="1202" customFormat="false" ht="15" hidden="false" customHeight="false" outlineLevel="0" collapsed="false">
      <c r="B1202" s="65" t="s">
        <v>1067</v>
      </c>
      <c r="C1202" s="72" t="n">
        <f aca="false">0</f>
        <v>0</v>
      </c>
      <c r="D1202" s="72" t="n">
        <f aca="false">IF(D1200&gt;0,D1167/D1200,0)</f>
        <v>0</v>
      </c>
      <c r="E1202" s="72" t="n">
        <f aca="false">IF(E1200&gt;0,E1167/E1200,0)</f>
        <v>0</v>
      </c>
      <c r="F1202" s="72" t="n">
        <f aca="false">IF(F1200&gt;0,F1167/F1200,0)</f>
        <v>0</v>
      </c>
      <c r="G1202" s="72" t="n">
        <f aca="false">IF(G1200&gt;0,G1167/G1200,0)</f>
        <v>0</v>
      </c>
      <c r="H1202" s="72" t="n">
        <f aca="false">IF(H1200&gt;0,H1167/H1200,0)</f>
        <v>0</v>
      </c>
      <c r="I1202" s="72" t="n">
        <f aca="false">IF(I1200&gt;0,I1167/I1200,0)</f>
        <v>0</v>
      </c>
      <c r="J1202" s="72" t="n">
        <f aca="false">IF(J1200&gt;0,J1167/J1200,0)</f>
        <v>0</v>
      </c>
      <c r="K1202" s="72" t="n">
        <f aca="false">IF(K1200&gt;0,K1167/K1200,0)</f>
        <v>0</v>
      </c>
      <c r="L1202" s="72" t="n">
        <f aca="false">IF(L1200&gt;0,L1167/L1200,0)</f>
        <v>0</v>
      </c>
      <c r="M1202" s="72" t="n">
        <f aca="false">IF(M1200&gt;0,M1167/M1200,0)</f>
        <v>0</v>
      </c>
      <c r="N1202" s="72" t="n">
        <f aca="false">IF(N1200&gt;0,N1167/N1200,0)</f>
        <v>0</v>
      </c>
      <c r="O1202" s="72" t="n">
        <f aca="false">IF(O1200&gt;0,O1167/O1200,0)</f>
        <v>0</v>
      </c>
    </row>
    <row r="1203" customFormat="false" ht="15" hidden="false" customHeight="false" outlineLevel="0" collapsed="false">
      <c r="B1203" s="65" t="s">
        <v>1068</v>
      </c>
      <c r="C1203" s="75" t="n">
        <f aca="false">IF((C1167+SUM(D1158:G1158)+SUM(D1188:G1188)+SUM(D1189:G1189)+SUM(D1187:G1187))&lt;=0,9.99,MIN(9.99,(C1198+SUM(D1186:G1186)+SUM(D1182:G1183)+MAX(0,MIN($T$20*AN_cible,Emprunt_max*C1200)-C1199))/(C1167+SUM(D1158:G1158)+SUM(D1188:G1188)+SUM(D1189:G1189)+SUM(D1187:G1187))))</f>
        <v>0.905860620015207</v>
      </c>
      <c r="D1203" s="73" t="n">
        <f aca="false">IF((D1167+SUM(E1158:H1158)+SUM(E1188:H1188)+SUM(E1189:H1189)+SUM(E1187:H1187))&lt;=0,9.99,MIN(9.99,(D1198+SUM(E1186:H1186)+SUM(E1182:H1183)+MAX(0,MIN($T$20*AN_cible,Emprunt_max*D1200)-D1199))/(D1167+SUM(E1158:H1158)+SUM(E1188:H1188)+SUM(E1189:H1189)+SUM(E1187:H1187))))</f>
        <v>0.586018219360289</v>
      </c>
      <c r="E1203" s="73" t="n">
        <f aca="false">IF((E1167+SUM(F1158:I1158)+SUM(F1188:I1188)+SUM(F1189:I1189)+SUM(F1187:I1187))&lt;=0,9.99,MIN(9.99,(E1198+SUM(F1186:I1186)+SUM(F1182:I1183)+MAX(0,MIN($T$20*AN_cible,Emprunt_max*E1200)-E1199))/(E1167+SUM(F1158:I1158)+SUM(F1188:I1188)+SUM(F1189:I1189)+SUM(F1187:I1187))))</f>
        <v>0.621127333862425</v>
      </c>
      <c r="F1203" s="73" t="n">
        <f aca="false">IF((F1167+SUM(G1158:J1158)+SUM(G1188:J1188)+SUM(G1189:J1189)+SUM(G1187:J1187))&lt;=0,9.99,MIN(9.99,(F1198+SUM(G1186:J1186)+SUM(G1182:J1183)+MAX(0,MIN($T$20*AN_cible,Emprunt_max*F1200)-F1199))/(F1167+SUM(G1158:J1158)+SUM(G1188:J1188)+SUM(G1189:J1189)+SUM(G1187:J1187))))</f>
        <v>0.431062056812444</v>
      </c>
      <c r="G1203" s="73" t="n">
        <f aca="false">IF((G1167+SUM(H1158:K1158)+SUM(H1188:K1188)+SUM(H1189:K1189)+SUM(H1187:K1187))&lt;=0,9.99,MIN(9.99,(G1198+SUM(H1186:K1186)+SUM(H1182:K1183)+MAX(0,MIN($T$20*AN_cible,Emprunt_max*G1200)-G1199))/(G1167+SUM(H1158:K1158)+SUM(H1188:K1188)+SUM(H1189:K1189)+SUM(H1187:K1187))))</f>
        <v>0.454733897217875</v>
      </c>
      <c r="H1203" s="73" t="n">
        <f aca="false">IF((H1167+SUM(I1158:L1158)+SUM(I1188:L1188)+SUM(I1189:L1189)+SUM(I1187:L1187))&lt;=0,9.99,MIN(9.99,(H1198+SUM(I1186:L1186)+SUM(I1182:L1183)+MAX(0,MIN($T$20*AN_cible,Emprunt_max*H1200)-H1199))/(H1167+SUM(I1158:L1158)+SUM(I1188:L1188)+SUM(I1189:L1189)+SUM(I1187:L1187))))</f>
        <v>0.404526067196631</v>
      </c>
      <c r="I1203" s="73" t="n">
        <f aca="false">IF((I1167+SUM(J1158:M1158)+SUM(J1188:M1188)+SUM(J1189:M1189)+SUM(J1187:M1187))&lt;=0,9.99,MIN(9.99,(I1198+SUM(J1186:M1186)+SUM(J1182:M1183)+MAX(0,MIN($T$20*AN_cible,Emprunt_max*I1200)-I1199))/(I1167+SUM(J1158:M1158)+SUM(J1188:M1188)+SUM(J1189:M1189)+SUM(J1187:M1187))))</f>
        <v>0.417892974677352</v>
      </c>
      <c r="J1203" s="73" t="n">
        <f aca="false">IF((J1167+SUM(K1158:N1158)+SUM(K1188:N1188)+SUM(K1189:N1189)+SUM(K1187:N1187))&lt;=0,9.99,MIN(9.99,(J1198+SUM(K1186:N1186)+SUM(K1182:N1183)+MAX(0,MIN($T$20*AN_cible,Emprunt_max*J1200)-J1199))/(J1167+SUM(K1158:N1158)+SUM(K1188:N1188)+SUM(K1189:N1189)+SUM(K1187:N1187))))</f>
        <v>0.376393681388391</v>
      </c>
      <c r="K1203" s="73" t="n">
        <f aca="false">IF((K1167+SUM(L1158:O1158)+SUM(L1188:O1188)+SUM(L1189:O1189)+SUM(L1187:O1187))&lt;=0,9.99,MIN(9.99,(K1198+SUM(L1186:O1186)+SUM(L1182:O1183)+MAX(0,MIN($T$20*AN_cible,Emprunt_max*K1200)-K1199))/(K1167+SUM(L1158:O1158)+SUM(L1188:O1188)+SUM(L1189:O1189)+SUM(L1187:O1187))))</f>
        <v>0.379280477503589</v>
      </c>
      <c r="L1203" s="73" t="n">
        <f aca="false">IF((L1167+SUM(M1158:O1158)+SUM(M1188:O1188)+SUM(M1189:O1189)+SUM(M1187:O1187))&lt;=0,9.99,MIN(9.99,(L1198+SUM(M1186:O1186)+SUM(M1182:O1183)+MAX(0,MIN($T$20*AN_cible,Emprunt_max*L1200)-L1199))/(L1167+SUM(M1158:O1158)+SUM(M1188:O1188)+SUM(M1189:O1189)+SUM(M1187:O1187))))</f>
        <v>0.451182788058398</v>
      </c>
      <c r="M1203" s="73" t="n">
        <f aca="false">IF((M1167+SUM(N1158:O1158)+SUM(N1188:O1188)+SUM(N1189:O1189)+SUM(N1187:O1187))&lt;=0,9.99,MIN(9.99,(M1198+SUM(N1186:O1186)+SUM(N1182:O1183)+MAX(0,MIN($T$20*AN_cible,Emprunt_max*M1200)-M1199))/(M1167+SUM(N1158:O1158)+SUM(N1188:O1188)+SUM(N1189:O1189)+SUM(N1187:O1187))))</f>
        <v>0.369828251421014</v>
      </c>
      <c r="N1203" s="73" t="n">
        <f aca="false">IF((N1167+SUM(O1158:O1158)+SUM(O1188:O1188)+SUM(O1189:O1189)+SUM(O1187:O1187))&lt;=0,9.99,MIN(9.99,(N1198+SUM(O1186:O1186)+SUM(O1182:O1183)+MAX(0,MIN($T$20*AN_cible,Emprunt_max*N1200)-N1199))/(N1167+SUM(O1158:O1158)+SUM(O1188:O1188)+SUM(O1189:O1189)+SUM(O1187:O1187))))</f>
        <v>1.067724418701</v>
      </c>
      <c r="O1203" s="73" t="n">
        <f aca="false">9.99</f>
        <v>9.99</v>
      </c>
    </row>
    <row r="1204" customFormat="false" ht="15" hidden="false" customHeight="false" outlineLevel="0" collapsed="false">
      <c r="B1204" s="65" t="s">
        <v>1069</v>
      </c>
      <c r="C1204" s="72" t="n">
        <f aca="false">(C1170+C1171+C1172+C1173+C1178+C1179)/C1200</f>
        <v>1</v>
      </c>
      <c r="D1204" s="72" t="n">
        <f aca="false">(D1170+D1171+D1172+D1173+D1178+D1179)/D1200</f>
        <v>1.11015905490662</v>
      </c>
      <c r="E1204" s="72" t="n">
        <f aca="false">(E1170+E1171+E1172+E1173+E1178+E1179)/E1200</f>
        <v>1.07636816835409</v>
      </c>
      <c r="F1204" s="72" t="n">
        <f aca="false">(F1170+F1171+F1172+F1173+F1178+F1179)/F1200</f>
        <v>1.1408839982604</v>
      </c>
      <c r="G1204" s="72" t="n">
        <f aca="false">(G1170+G1171+G1172+G1173+G1178+G1179)/G1200</f>
        <v>1.10666715719827</v>
      </c>
      <c r="H1204" s="72" t="n">
        <f aca="false">(H1170+H1171+H1172+H1173+H1178+H1179)/H1200</f>
        <v>1.12215512206015</v>
      </c>
      <c r="I1204" s="72" t="n">
        <f aca="false">(I1170+I1171+I1172+I1173+I1178+I1179)/I1200</f>
        <v>1.08924857510705</v>
      </c>
      <c r="J1204" s="72" t="n">
        <f aca="false">(J1170+J1171+J1172+J1173+J1178+J1179)/J1200</f>
        <v>1.0972790875262</v>
      </c>
      <c r="K1204" s="72" t="n">
        <f aca="false">(K1170+K1171+K1172+K1173+K1178+K1179)/K1200</f>
        <v>1.06648928168661</v>
      </c>
      <c r="L1204" s="72" t="n">
        <f aca="false">(L1170+L1171+L1172+L1173+L1178+L1179)/L1200</f>
        <v>1.06512868928276</v>
      </c>
      <c r="M1204" s="72" t="n">
        <f aca="false">(M1170+M1171+M1172+M1173+M1178+M1179)/M1200</f>
        <v>1.03657412745533</v>
      </c>
      <c r="N1204" s="72" t="n">
        <f aca="false">(N1170+N1171+N1172+N1173+N1178+N1179)/N1200</f>
        <v>1.0242463212331</v>
      </c>
      <c r="O1204" s="72" t="n">
        <f aca="false">(O1170+O1171+O1172+O1173+O1178+O1179)/O1200</f>
        <v>0.998053534555818</v>
      </c>
    </row>
    <row r="1205" customFormat="false" ht="15" hidden="false" customHeight="false" outlineLevel="0" collapsed="false">
      <c r="B1205" s="65" t="s">
        <v>849</v>
      </c>
      <c r="C1205" s="72" t="n">
        <f aca="false">(C1200+C1199)/C1200</f>
        <v>1</v>
      </c>
      <c r="D1205" s="72" t="n">
        <f aca="false">(D1200+D1199)/D1200</f>
        <v>1</v>
      </c>
      <c r="E1205" s="72" t="n">
        <f aca="false">(E1200+E1199)/E1200</f>
        <v>1</v>
      </c>
      <c r="F1205" s="72" t="n">
        <f aca="false">(F1200+F1199)/F1200</f>
        <v>1</v>
      </c>
      <c r="G1205" s="72" t="n">
        <f aca="false">(G1200+G1199)/G1200</f>
        <v>1</v>
      </c>
      <c r="H1205" s="72" t="n">
        <f aca="false">(H1200+H1199)/H1200</f>
        <v>1</v>
      </c>
      <c r="I1205" s="72" t="n">
        <f aca="false">(I1200+I1199)/I1200</f>
        <v>1</v>
      </c>
      <c r="J1205" s="72" t="n">
        <f aca="false">(J1200+J1199)/J1200</f>
        <v>1</v>
      </c>
      <c r="K1205" s="72" t="n">
        <f aca="false">(K1200+K1199)/K1200</f>
        <v>1</v>
      </c>
      <c r="L1205" s="72" t="n">
        <f aca="false">(L1200+L1199)/L1200</f>
        <v>1</v>
      </c>
      <c r="M1205" s="72" t="n">
        <f aca="false">(M1200+M1199)/M1200</f>
        <v>1</v>
      </c>
      <c r="N1205" s="72" t="n">
        <f aca="false">(N1200+N1199)/N1200</f>
        <v>1</v>
      </c>
      <c r="O1205" s="72" t="n">
        <f aca="false">(O1200+O1199)/O1200</f>
        <v>1</v>
      </c>
    </row>
    <row r="1206" customFormat="false" ht="15" hidden="false" customHeight="false" outlineLevel="0" collapsed="false">
      <c r="B1206" s="65" t="s">
        <v>1070</v>
      </c>
      <c r="C1206" s="72" t="n">
        <f aca="false">(C1170+C1171*MSIG_USD)/C1200</f>
        <v>0.25</v>
      </c>
      <c r="D1206" s="72" t="n">
        <f aca="false">(D1170+D1171*MSIG_USD)/D1200</f>
        <v>0.292477434445357</v>
      </c>
      <c r="E1206" s="72" t="n">
        <f aca="false">(E1170+E1171*MSIG_USD)/E1200</f>
        <v>0.298363124970872</v>
      </c>
      <c r="F1206" s="72" t="n">
        <f aca="false">(F1170+F1171*MSIG_USD)/F1200</f>
        <v>0.330697537996944</v>
      </c>
      <c r="G1206" s="72" t="n">
        <f aca="false">(G1170+G1171*MSIG_USD)/G1200</f>
        <v>0.336933151766049</v>
      </c>
      <c r="H1206" s="72" t="n">
        <f aca="false">(H1170+H1171*MSIG_USD)/H1200</f>
        <v>0.355612965250753</v>
      </c>
      <c r="I1206" s="72" t="n">
        <f aca="false">(I1170+I1171*MSIG_USD)/I1200</f>
        <v>0.362454741943046</v>
      </c>
      <c r="J1206" s="72" t="n">
        <f aca="false">(J1170+J1171*MSIG_USD)/J1200</f>
        <v>0.380485536868971</v>
      </c>
      <c r="K1206" s="72" t="n">
        <f aca="false">(K1170+K1171*MSIG_USD)/K1200</f>
        <v>0.3882680964029</v>
      </c>
      <c r="L1206" s="72" t="n">
        <f aca="false">(L1170+L1171*MSIG_USD)/L1200</f>
        <v>0.405047278489027</v>
      </c>
      <c r="M1206" s="72" t="n">
        <f aca="false">(M1170+M1171*MSIG_USD)/M1200</f>
        <v>0.413921612185608</v>
      </c>
      <c r="N1206" s="72" t="n">
        <f aca="false">(N1170+N1171*MSIG_USD)/N1200</f>
        <v>0.429023737943031</v>
      </c>
      <c r="O1206" s="72" t="n">
        <f aca="false">(O1170+O1171*MSIG_USD)/O1200</f>
        <v>0.439163929042148</v>
      </c>
    </row>
    <row r="1207" customFormat="false" ht="15" hidden="false" customHeight="false" outlineLevel="0" collapsed="false">
      <c r="B1207" s="65" t="s">
        <v>1071</v>
      </c>
      <c r="C1207" s="25"/>
      <c r="D1207" s="65" t="n">
        <f aca="false">IF(AND($T$9&lt;0.5*Collecte_norm,IF(D1151&lt;=$T$11,0,$T$10)&lt;0.5,IF(D1151&lt;=4,$T$17,($T$18+$T$19)/2)&lt;0.7),1,0)</f>
        <v>0</v>
      </c>
      <c r="E1207" s="65" t="n">
        <f aca="false">IF(AND($T$9&lt;0.5*Collecte_norm,IF(E1151&lt;=$T$11,0,$T$10)&lt;0.5,IF(E1151&lt;=4,$T$17,($T$18+$T$19)/2)&lt;0.7),1,0)</f>
        <v>0</v>
      </c>
      <c r="F1207" s="65" t="n">
        <f aca="false">IF(AND($T$9&lt;0.5*Collecte_norm,IF(F1151&lt;=$T$11,0,$T$10)&lt;0.5,IF(F1151&lt;=4,$T$17,($T$18+$T$19)/2)&lt;0.7),1,0)</f>
        <v>0</v>
      </c>
      <c r="G1207" s="65" t="n">
        <f aca="false">IF(AND($T$9&lt;0.5*Collecte_norm,IF(G1151&lt;=$T$11,0,$T$10)&lt;0.5,IF(G1151&lt;=4,$T$17,($T$18+$T$19)/2)&lt;0.7),1,0)</f>
        <v>0</v>
      </c>
      <c r="H1207" s="65" t="n">
        <f aca="false">IF(AND($T$9&lt;0.5*Collecte_norm,IF(H1151&lt;=$T$11,0,$T$10)&lt;0.5,IF(H1151&lt;=4,$T$17,($T$18+$T$19)/2)&lt;0.7),1,0)</f>
        <v>0</v>
      </c>
      <c r="I1207" s="65" t="n">
        <f aca="false">IF(AND($T$9&lt;0.5*Collecte_norm,IF(I1151&lt;=$T$11,0,$T$10)&lt;0.5,IF(I1151&lt;=4,$T$17,($T$18+$T$19)/2)&lt;0.7),1,0)</f>
        <v>0</v>
      </c>
      <c r="J1207" s="65" t="n">
        <f aca="false">IF(AND($T$9&lt;0.5*Collecte_norm,IF(J1151&lt;=$T$11,0,$T$10)&lt;0.5,IF(J1151&lt;=4,$T$17,($T$18+$T$19)/2)&lt;0.7),1,0)</f>
        <v>0</v>
      </c>
      <c r="K1207" s="65" t="n">
        <f aca="false">IF(AND($T$9&lt;0.5*Collecte_norm,IF(K1151&lt;=$T$11,0,$T$10)&lt;0.5,IF(K1151&lt;=4,$T$17,($T$18+$T$19)/2)&lt;0.7),1,0)</f>
        <v>0</v>
      </c>
      <c r="L1207" s="65" t="n">
        <f aca="false">IF(AND($T$9&lt;0.5*Collecte_norm,IF(L1151&lt;=$T$11,0,$T$10)&lt;0.5,IF(L1151&lt;=4,$T$17,($T$18+$T$19)/2)&lt;0.7),1,0)</f>
        <v>0</v>
      </c>
      <c r="M1207" s="65" t="n">
        <f aca="false">IF(AND($T$9&lt;0.5*Collecte_norm,IF(M1151&lt;=$T$11,0,$T$10)&lt;0.5,IF(M1151&lt;=4,$T$17,($T$18+$T$19)/2)&lt;0.7),1,0)</f>
        <v>0</v>
      </c>
      <c r="N1207" s="65" t="n">
        <f aca="false">IF(AND($T$9&lt;0.5*Collecte_norm,IF(N1151&lt;=$T$11,0,$T$10)&lt;0.5,IF(N1151&lt;=4,$T$17,($T$18+$T$19)/2)&lt;0.7),1,0)</f>
        <v>0</v>
      </c>
      <c r="O1207" s="65" t="n">
        <f aca="false">IF(AND($T$9&lt;0.5*Collecte_norm,IF(O1151&lt;=$T$11,0,$T$10)&lt;0.5,IF(O1151&lt;=4,$T$17,($T$18+$T$19)/2)&lt;0.7),1,0)</f>
        <v>0</v>
      </c>
    </row>
    <row r="1208" customFormat="false" ht="15" hidden="false" customHeight="false" outlineLevel="0" collapsed="false">
      <c r="B1208" s="76" t="s">
        <v>1072</v>
      </c>
      <c r="C1208" s="76" t="n">
        <v>99</v>
      </c>
      <c r="D1208" s="76" t="n">
        <f aca="false">IF(D1168=1,D1154,99)</f>
        <v>99</v>
      </c>
      <c r="E1208" s="76" t="n">
        <f aca="false">IF(E1168=1,E1154,99)</f>
        <v>99</v>
      </c>
      <c r="F1208" s="76" t="n">
        <f aca="false">IF(F1168=1,F1154,99)</f>
        <v>99</v>
      </c>
      <c r="G1208" s="76" t="n">
        <f aca="false">IF(G1168=1,G1154,99)</f>
        <v>99</v>
      </c>
      <c r="H1208" s="76" t="n">
        <f aca="false">IF(H1168=1,H1154,99)</f>
        <v>99</v>
      </c>
      <c r="I1208" s="76" t="n">
        <f aca="false">IF(I1168=1,I1154,99)</f>
        <v>99</v>
      </c>
      <c r="J1208" s="76" t="n">
        <f aca="false">IF(J1168=1,J1154,99)</f>
        <v>99</v>
      </c>
      <c r="K1208" s="76" t="n">
        <f aca="false">IF(K1168=1,K1154,99)</f>
        <v>99</v>
      </c>
      <c r="L1208" s="76" t="n">
        <f aca="false">IF(L1168=1,L1154,99)</f>
        <v>99</v>
      </c>
      <c r="M1208" s="76" t="n">
        <f aca="false">IF(M1168=1,M1154,99)</f>
        <v>99</v>
      </c>
      <c r="N1208" s="76" t="n">
        <f aca="false">IF(N1168=1,N1154,99)</f>
        <v>99</v>
      </c>
      <c r="O1208" s="76" t="n">
        <f aca="false">IF(O1168=1,O1154,99)</f>
        <v>99</v>
      </c>
    </row>
    <row r="1209" customFormat="false" ht="15" hidden="false" customHeight="false" outlineLevel="0" collapsed="false">
      <c r="B1209" s="76" t="s">
        <v>1073</v>
      </c>
      <c r="C1209" s="76" t="n">
        <v>99</v>
      </c>
      <c r="D1209" s="76" t="n">
        <f aca="false">IF(AND(D1153=1,D1154&gt;MIN($D1208:$O1208),D1167&lt;=0.000001),D1154,99)</f>
        <v>99</v>
      </c>
      <c r="E1209" s="76" t="n">
        <f aca="false">IF(AND(E1153=1,E1154&gt;MIN($D1208:$O1208),E1167&lt;=0.000001),E1154,99)</f>
        <v>99</v>
      </c>
      <c r="F1209" s="76" t="n">
        <f aca="false">IF(AND(F1153=1,F1154&gt;MIN($D1208:$O1208),F1167&lt;=0.000001),F1154,99)</f>
        <v>99</v>
      </c>
      <c r="G1209" s="76" t="n">
        <f aca="false">IF(AND(G1153=1,G1154&gt;MIN($D1208:$O1208),G1167&lt;=0.000001),G1154,99)</f>
        <v>99</v>
      </c>
      <c r="H1209" s="76" t="n">
        <f aca="false">IF(AND(H1153=1,H1154&gt;MIN($D1208:$O1208),H1167&lt;=0.000001),H1154,99)</f>
        <v>99</v>
      </c>
      <c r="I1209" s="76" t="n">
        <f aca="false">IF(AND(I1153=1,I1154&gt;MIN($D1208:$O1208),I1167&lt;=0.000001),I1154,99)</f>
        <v>99</v>
      </c>
      <c r="J1209" s="76" t="n">
        <f aca="false">IF(AND(J1153=1,J1154&gt;MIN($D1208:$O1208),J1167&lt;=0.000001),J1154,99)</f>
        <v>99</v>
      </c>
      <c r="K1209" s="76" t="n">
        <f aca="false">IF(AND(K1153=1,K1154&gt;MIN($D1208:$O1208),K1167&lt;=0.000001),K1154,99)</f>
        <v>99</v>
      </c>
      <c r="L1209" s="76" t="n">
        <f aca="false">IF(AND(L1153=1,L1154&gt;MIN($D1208:$O1208),L1167&lt;=0.000001),L1154,99)</f>
        <v>99</v>
      </c>
      <c r="M1209" s="76" t="n">
        <f aca="false">IF(AND(M1153=1,M1154&gt;MIN($D1208:$O1208),M1167&lt;=0.000001),M1154,99)</f>
        <v>99</v>
      </c>
      <c r="N1209" s="76" t="n">
        <f aca="false">IF(AND(N1153=1,N1154&gt;MIN($D1208:$O1208),N1167&lt;=0.000001),N1154,99)</f>
        <v>99</v>
      </c>
      <c r="O1209" s="76" t="n">
        <f aca="false">IF(AND(O1153=1,O1154&gt;MIN($D1208:$O1208),O1167&lt;=0.000001),O1154,99)</f>
        <v>99</v>
      </c>
    </row>
    <row r="1210" customFormat="false" ht="15" hidden="false" customHeight="false" outlineLevel="0" collapsed="false">
      <c r="B1210" s="76" t="s">
        <v>1074</v>
      </c>
      <c r="C1210" s="76" t="n">
        <v>9999999</v>
      </c>
      <c r="D1210" s="76" t="n">
        <f aca="false">IF(D1165=1,D1152,9999999)</f>
        <v>9999999</v>
      </c>
      <c r="E1210" s="76" t="n">
        <f aca="false">IF(E1165=1,E1152,9999999)</f>
        <v>9999999</v>
      </c>
      <c r="F1210" s="76" t="n">
        <f aca="false">IF(F1165=1,F1152,9999999)</f>
        <v>9999999</v>
      </c>
      <c r="G1210" s="76" t="n">
        <f aca="false">IF(G1165=1,G1152,9999999)</f>
        <v>9999999</v>
      </c>
      <c r="H1210" s="76" t="n">
        <f aca="false">IF(H1165=1,H1152,9999999)</f>
        <v>9999999</v>
      </c>
      <c r="I1210" s="76" t="n">
        <f aca="false">IF(I1165=1,I1152,9999999)</f>
        <v>9999999</v>
      </c>
      <c r="J1210" s="76" t="n">
        <f aca="false">IF(J1165=1,J1152,9999999)</f>
        <v>9999999</v>
      </c>
      <c r="K1210" s="76" t="n">
        <f aca="false">IF(K1165=1,K1152,9999999)</f>
        <v>9999999</v>
      </c>
      <c r="L1210" s="76" t="n">
        <f aca="false">IF(L1165=1,L1152,9999999)</f>
        <v>9999999</v>
      </c>
      <c r="M1210" s="76" t="n">
        <f aca="false">IF(M1165=1,M1152,9999999)</f>
        <v>9999999</v>
      </c>
      <c r="N1210" s="76" t="n">
        <f aca="false">IF(N1165=1,N1152,9999999)</f>
        <v>9999999</v>
      </c>
      <c r="O1210" s="76" t="n">
        <f aca="false">IF(O1165=1,O1152,9999999)</f>
        <v>9999999</v>
      </c>
    </row>
    <row r="1211" customFormat="false" ht="15" hidden="false" customHeight="false" outlineLevel="0" collapsed="false">
      <c r="B1211" s="76" t="s">
        <v>1075</v>
      </c>
      <c r="C1211" s="76" t="n">
        <v>9999999</v>
      </c>
      <c r="D1211" s="76" t="n">
        <f aca="false">IF(D1207=1,D1152,9999999)</f>
        <v>9999999</v>
      </c>
      <c r="E1211" s="76" t="n">
        <f aca="false">IF(E1207=1,E1152,9999999)</f>
        <v>9999999</v>
      </c>
      <c r="F1211" s="76" t="n">
        <f aca="false">IF(F1207=1,F1152,9999999)</f>
        <v>9999999</v>
      </c>
      <c r="G1211" s="76" t="n">
        <f aca="false">IF(G1207=1,G1152,9999999)</f>
        <v>9999999</v>
      </c>
      <c r="H1211" s="76" t="n">
        <f aca="false">IF(H1207=1,H1152,9999999)</f>
        <v>9999999</v>
      </c>
      <c r="I1211" s="76" t="n">
        <f aca="false">IF(I1207=1,I1152,9999999)</f>
        <v>9999999</v>
      </c>
      <c r="J1211" s="76" t="n">
        <f aca="false">IF(J1207=1,J1152,9999999)</f>
        <v>9999999</v>
      </c>
      <c r="K1211" s="76" t="n">
        <f aca="false">IF(K1207=1,K1152,9999999)</f>
        <v>9999999</v>
      </c>
      <c r="L1211" s="76" t="n">
        <f aca="false">IF(L1207=1,L1152,9999999)</f>
        <v>9999999</v>
      </c>
      <c r="M1211" s="76" t="n">
        <f aca="false">IF(M1207=1,M1152,9999999)</f>
        <v>9999999</v>
      </c>
      <c r="N1211" s="76" t="n">
        <f aca="false">IF(N1207=1,N1152,9999999)</f>
        <v>9999999</v>
      </c>
      <c r="O1211" s="76" t="n">
        <f aca="false">IF(O1207=1,O1152,9999999)</f>
        <v>9999999</v>
      </c>
    </row>
    <row r="1216" customFormat="false" ht="15" hidden="false" customHeight="false" outlineLevel="0" collapsed="false">
      <c r="B1216" s="45" t="str">
        <f aca="false">U$5</f>
        <v>Sans plafonnement 15 % par date</v>
      </c>
      <c r="C1216" s="45" t="s">
        <v>55</v>
      </c>
      <c r="D1216" s="45" t="n">
        <v>19</v>
      </c>
      <c r="E1216" s="2"/>
      <c r="F1216" s="2"/>
      <c r="G1216" s="2"/>
      <c r="H1216" s="2"/>
      <c r="I1216" s="2"/>
      <c r="J1216" s="2"/>
      <c r="K1216" s="2"/>
      <c r="L1216" s="2"/>
      <c r="M1216" s="2"/>
      <c r="N1216" s="2"/>
      <c r="O1216" s="2"/>
    </row>
    <row r="1217" customFormat="false" ht="15" hidden="false" customHeight="false" outlineLevel="0" collapsed="false">
      <c r="B1217" s="65" t="s">
        <v>1019</v>
      </c>
      <c r="C1217" s="65" t="n">
        <v>0</v>
      </c>
      <c r="D1217" s="65" t="n">
        <v>1</v>
      </c>
      <c r="E1217" s="65" t="n">
        <v>2</v>
      </c>
      <c r="F1217" s="65" t="n">
        <v>3</v>
      </c>
      <c r="G1217" s="65" t="n">
        <v>4</v>
      </c>
      <c r="H1217" s="65" t="n">
        <v>5</v>
      </c>
      <c r="I1217" s="65" t="n">
        <v>6</v>
      </c>
      <c r="J1217" s="65" t="n">
        <v>7</v>
      </c>
      <c r="K1217" s="65" t="n">
        <v>8</v>
      </c>
      <c r="L1217" s="65" t="n">
        <v>9</v>
      </c>
      <c r="M1217" s="65" t="n">
        <v>10</v>
      </c>
      <c r="N1217" s="65" t="n">
        <v>11</v>
      </c>
      <c r="O1217" s="65" t="n">
        <v>12</v>
      </c>
    </row>
    <row r="1218" customFormat="false" ht="15" hidden="false" customHeight="false" outlineLevel="0" collapsed="false">
      <c r="B1218" s="65" t="s">
        <v>209</v>
      </c>
      <c r="C1218" s="71" t="n">
        <f aca="false">Date_depart</f>
        <v>47026</v>
      </c>
      <c r="D1218" s="71" t="n">
        <f aca="false">EOMONTH(Date_depart,3*D1217)</f>
        <v>47118</v>
      </c>
      <c r="E1218" s="71" t="n">
        <f aca="false">EOMONTH(Date_depart,3*E1217)</f>
        <v>47208</v>
      </c>
      <c r="F1218" s="71" t="n">
        <f aca="false">EOMONTH(Date_depart,3*F1217)</f>
        <v>47299</v>
      </c>
      <c r="G1218" s="71" t="n">
        <f aca="false">EOMONTH(Date_depart,3*G1217)</f>
        <v>47391</v>
      </c>
      <c r="H1218" s="71" t="n">
        <f aca="false">EOMONTH(Date_depart,3*H1217)</f>
        <v>47483</v>
      </c>
      <c r="I1218" s="71" t="n">
        <f aca="false">EOMONTH(Date_depart,3*I1217)</f>
        <v>47573</v>
      </c>
      <c r="J1218" s="71" t="n">
        <f aca="false">EOMONTH(Date_depart,3*J1217)</f>
        <v>47664</v>
      </c>
      <c r="K1218" s="71" t="n">
        <f aca="false">EOMONTH(Date_depart,3*K1217)</f>
        <v>47756</v>
      </c>
      <c r="L1218" s="71" t="n">
        <f aca="false">EOMONTH(Date_depart,3*L1217)</f>
        <v>47848</v>
      </c>
      <c r="M1218" s="71" t="n">
        <f aca="false">EOMONTH(Date_depart,3*M1217)</f>
        <v>47938</v>
      </c>
      <c r="N1218" s="71" t="n">
        <f aca="false">EOMONTH(Date_depart,3*N1217)</f>
        <v>48029</v>
      </c>
      <c r="O1218" s="71" t="n">
        <f aca="false">EOMONTH(Date_depart,3*O1217)</f>
        <v>48121</v>
      </c>
    </row>
    <row r="1219" customFormat="false" ht="15" hidden="false" customHeight="false" outlineLevel="0" collapsed="false">
      <c r="B1219" s="65" t="s">
        <v>1020</v>
      </c>
      <c r="C1219" s="65" t="n">
        <v>0</v>
      </c>
      <c r="D1219" s="65" t="n">
        <f aca="false">IF(OR(MONTH(D1218)=6,MONTH(D1218)=12),1,0)</f>
        <v>1</v>
      </c>
      <c r="E1219" s="65" t="n">
        <f aca="false">IF(OR(MONTH(E1218)=6,MONTH(E1218)=12),1,0)</f>
        <v>0</v>
      </c>
      <c r="F1219" s="65" t="n">
        <f aca="false">IF(OR(MONTH(F1218)=6,MONTH(F1218)=12),1,0)</f>
        <v>1</v>
      </c>
      <c r="G1219" s="65" t="n">
        <f aca="false">IF(OR(MONTH(G1218)=6,MONTH(G1218)=12),1,0)</f>
        <v>0</v>
      </c>
      <c r="H1219" s="65" t="n">
        <f aca="false">IF(OR(MONTH(H1218)=6,MONTH(H1218)=12),1,0)</f>
        <v>1</v>
      </c>
      <c r="I1219" s="65" t="n">
        <f aca="false">IF(OR(MONTH(I1218)=6,MONTH(I1218)=12),1,0)</f>
        <v>0</v>
      </c>
      <c r="J1219" s="65" t="n">
        <f aca="false">IF(OR(MONTH(J1218)=6,MONTH(J1218)=12),1,0)</f>
        <v>1</v>
      </c>
      <c r="K1219" s="65" t="n">
        <f aca="false">IF(OR(MONTH(K1218)=6,MONTH(K1218)=12),1,0)</f>
        <v>0</v>
      </c>
      <c r="L1219" s="65" t="n">
        <f aca="false">IF(OR(MONTH(L1218)=6,MONTH(L1218)=12),1,0)</f>
        <v>1</v>
      </c>
      <c r="M1219" s="65" t="n">
        <f aca="false">IF(OR(MONTH(M1218)=6,MONTH(M1218)=12),1,0)</f>
        <v>0</v>
      </c>
      <c r="N1219" s="65" t="n">
        <f aca="false">IF(OR(MONTH(N1218)=6,MONTH(N1218)=12),1,0)</f>
        <v>1</v>
      </c>
      <c r="O1219" s="65" t="n">
        <f aca="false">IF(OR(MONTH(O1218)=6,MONTH(O1218)=12),1,0)</f>
        <v>0</v>
      </c>
    </row>
    <row r="1220" customFormat="false" ht="15" hidden="false" customHeight="false" outlineLevel="0" collapsed="false">
      <c r="B1220" s="65" t="s">
        <v>1021</v>
      </c>
      <c r="C1220" s="65" t="n">
        <v>0</v>
      </c>
      <c r="D1220" s="65" t="n">
        <f aca="false">C1220+D1219</f>
        <v>1</v>
      </c>
      <c r="E1220" s="65" t="n">
        <f aca="false">D1220+E1219</f>
        <v>1</v>
      </c>
      <c r="F1220" s="65" t="n">
        <f aca="false">E1220+F1219</f>
        <v>2</v>
      </c>
      <c r="G1220" s="65" t="n">
        <f aca="false">F1220+G1219</f>
        <v>2</v>
      </c>
      <c r="H1220" s="65" t="n">
        <f aca="false">G1220+H1219</f>
        <v>3</v>
      </c>
      <c r="I1220" s="65" t="n">
        <f aca="false">H1220+I1219</f>
        <v>3</v>
      </c>
      <c r="J1220" s="65" t="n">
        <f aca="false">I1220+J1219</f>
        <v>4</v>
      </c>
      <c r="K1220" s="65" t="n">
        <f aca="false">J1220+K1219</f>
        <v>4</v>
      </c>
      <c r="L1220" s="65" t="n">
        <f aca="false">K1220+L1219</f>
        <v>5</v>
      </c>
      <c r="M1220" s="65" t="n">
        <f aca="false">L1220+M1219</f>
        <v>5</v>
      </c>
      <c r="N1220" s="65" t="n">
        <f aca="false">M1220+N1219</f>
        <v>6</v>
      </c>
      <c r="O1220" s="65" t="n">
        <f aca="false">N1220+O1219</f>
        <v>6</v>
      </c>
    </row>
    <row r="1221" customFormat="false" ht="15" hidden="false" customHeight="false" outlineLevel="0" collapsed="false">
      <c r="B1221" s="65" t="s">
        <v>1022</v>
      </c>
      <c r="C1221" s="25"/>
      <c r="D1221" s="72" t="n">
        <f aca="false">IF(D1219=1,IF(C1231=1,0,IF(D1220=1,$U$6,IF(D1220=2,$U$7,$U$8))),0)</f>
        <v>0.15</v>
      </c>
      <c r="E1221" s="72" t="n">
        <f aca="false">IF(E1219=1,IF(D1231=1,0,IF(E1220=1,$U$6,IF(E1220=2,$U$7,$U$8))),0)</f>
        <v>0</v>
      </c>
      <c r="F1221" s="72" t="n">
        <f aca="false">IF(F1219=1,IF(E1231=1,0,IF(F1220=1,$U$6,IF(F1220=2,$U$7,$U$8))),0)</f>
        <v>0.15</v>
      </c>
      <c r="G1221" s="72" t="n">
        <f aca="false">IF(G1219=1,IF(F1231=1,0,IF(G1220=1,$U$6,IF(G1220=2,$U$7,$U$8))),0)</f>
        <v>0</v>
      </c>
      <c r="H1221" s="72" t="n">
        <f aca="false">IF(H1219=1,IF(G1231=1,0,IF(H1220=1,$U$6,IF(H1220=2,$U$7,$U$8))),0)</f>
        <v>0.15</v>
      </c>
      <c r="I1221" s="72" t="n">
        <f aca="false">IF(I1219=1,IF(H1231=1,0,IF(I1220=1,$U$6,IF(I1220=2,$U$7,$U$8))),0)</f>
        <v>0</v>
      </c>
      <c r="J1221" s="72" t="n">
        <f aca="false">IF(J1219=1,IF(I1231=1,0,IF(J1220=1,$U$6,IF(J1220=2,$U$7,$U$8))),0)</f>
        <v>0.15</v>
      </c>
      <c r="K1221" s="72" t="n">
        <f aca="false">IF(K1219=1,IF(J1231=1,0,IF(K1220=1,$U$6,IF(K1220=2,$U$7,$U$8))),0)</f>
        <v>0</v>
      </c>
      <c r="L1221" s="72" t="n">
        <f aca="false">IF(L1219=1,IF(K1231=1,0,IF(L1220=1,$U$6,IF(L1220=2,$U$7,$U$8))),0)</f>
        <v>0.15</v>
      </c>
      <c r="M1221" s="72" t="n">
        <f aca="false">IF(M1219=1,IF(L1231=1,0,IF(M1220=1,$U$6,IF(M1220=2,$U$7,$U$8))),0)</f>
        <v>0</v>
      </c>
      <c r="N1221" s="72" t="n">
        <f aca="false">IF(N1219=1,IF(M1231=1,0,IF(N1220=1,$U$6,IF(N1220=2,$U$7,$U$8))),0)</f>
        <v>0.15</v>
      </c>
      <c r="O1221" s="72" t="n">
        <f aca="false">IF(O1219=1,IF(N1231=1,0,IF(O1220=1,$U$6,IF(O1220=2,$U$7,$U$8))),0)</f>
        <v>0</v>
      </c>
    </row>
    <row r="1222" customFormat="false" ht="15" hidden="false" customHeight="false" outlineLevel="0" collapsed="false">
      <c r="B1222" s="65" t="s">
        <v>1023</v>
      </c>
      <c r="C1222" s="25"/>
      <c r="D1222" s="73" t="n">
        <f aca="false">C1266</f>
        <v>50000000</v>
      </c>
      <c r="E1222" s="73" t="n">
        <f aca="false">D1266</f>
        <v>43100643.75</v>
      </c>
      <c r="F1222" s="73" t="n">
        <f aca="false">E1266</f>
        <v>43816901.7132813</v>
      </c>
      <c r="G1222" s="73" t="n">
        <f aca="false">F1266</f>
        <v>37490793.5033112</v>
      </c>
      <c r="H1222" s="73" t="n">
        <f aca="false">G1266</f>
        <v>38126371.9145745</v>
      </c>
      <c r="I1222" s="73" t="n">
        <f aca="false">H1266</f>
        <v>32563035.0994973</v>
      </c>
      <c r="J1222" s="73" t="n">
        <f aca="false">I1266</f>
        <v>33135824.1159236</v>
      </c>
      <c r="K1222" s="73" t="n">
        <f aca="false">J1266</f>
        <v>28274193.3778093</v>
      </c>
      <c r="L1222" s="73" t="n">
        <f aca="false">K1266</f>
        <v>28771533.4516335</v>
      </c>
      <c r="M1222" s="73" t="n">
        <f aca="false">L1266</f>
        <v>24523019.0050055</v>
      </c>
      <c r="N1222" s="73" t="n">
        <f aca="false">M1266</f>
        <v>24954270.4116421</v>
      </c>
      <c r="O1222" s="73" t="n">
        <f aca="false">N1266</f>
        <v>21243309.3715362</v>
      </c>
    </row>
    <row r="1223" customFormat="false" ht="15" hidden="false" customHeight="false" outlineLevel="0" collapsed="false">
      <c r="B1223" s="65" t="s">
        <v>177</v>
      </c>
      <c r="C1223" s="25"/>
      <c r="D1223" s="73" t="n">
        <f aca="false">IF(C1231=1,0,$U$9*D1222)</f>
        <v>0</v>
      </c>
      <c r="E1223" s="73" t="n">
        <f aca="false">IF(D1231=1,0,$U$9*E1222)</f>
        <v>0</v>
      </c>
      <c r="F1223" s="73" t="n">
        <f aca="false">IF(E1231=1,0,$U$9*F1222)</f>
        <v>0</v>
      </c>
      <c r="G1223" s="73" t="n">
        <f aca="false">IF(F1231=1,0,$U$9*G1222)</f>
        <v>0</v>
      </c>
      <c r="H1223" s="73" t="n">
        <f aca="false">IF(G1231=1,0,$U$9*H1222)</f>
        <v>0</v>
      </c>
      <c r="I1223" s="73" t="n">
        <f aca="false">IF(H1231=1,0,$U$9*I1222)</f>
        <v>0</v>
      </c>
      <c r="J1223" s="73" t="n">
        <f aca="false">IF(I1231=1,0,$U$9*J1222)</f>
        <v>0</v>
      </c>
      <c r="K1223" s="73" t="n">
        <f aca="false">IF(J1231=1,0,$U$9*K1222)</f>
        <v>0</v>
      </c>
      <c r="L1223" s="73" t="n">
        <f aca="false">IF(K1231=1,0,$U$9*L1222)</f>
        <v>0</v>
      </c>
      <c r="M1223" s="73" t="n">
        <f aca="false">IF(L1231=1,0,$U$9*M1222)</f>
        <v>0</v>
      </c>
      <c r="N1223" s="73" t="n">
        <f aca="false">IF(M1231=1,0,$U$9*N1222)</f>
        <v>0</v>
      </c>
      <c r="O1223" s="73" t="n">
        <f aca="false">IF(N1231=1,0,$U$9*O1222)</f>
        <v>0</v>
      </c>
    </row>
    <row r="1224" customFormat="false" ht="15" hidden="false" customHeight="false" outlineLevel="0" collapsed="false">
      <c r="B1224" s="65" t="s">
        <v>1024</v>
      </c>
      <c r="C1224" s="25"/>
      <c r="D1224" s="73" t="n">
        <f aca="false">D1221*D1222</f>
        <v>7500000</v>
      </c>
      <c r="E1224" s="73" t="n">
        <f aca="false">E1221*E1222</f>
        <v>0</v>
      </c>
      <c r="F1224" s="73" t="n">
        <f aca="false">F1221*F1222</f>
        <v>6572535.25699219</v>
      </c>
      <c r="G1224" s="73" t="n">
        <f aca="false">G1221*G1222</f>
        <v>0</v>
      </c>
      <c r="H1224" s="73" t="n">
        <f aca="false">H1221*H1222</f>
        <v>5718955.78718618</v>
      </c>
      <c r="I1224" s="73" t="n">
        <f aca="false">I1221*I1222</f>
        <v>0</v>
      </c>
      <c r="J1224" s="73" t="n">
        <f aca="false">J1221*J1222</f>
        <v>4970373.61738854</v>
      </c>
      <c r="K1224" s="73" t="n">
        <f aca="false">K1221*K1222</f>
        <v>0</v>
      </c>
      <c r="L1224" s="73" t="n">
        <f aca="false">L1221*L1222</f>
        <v>4315730.01774502</v>
      </c>
      <c r="M1224" s="73" t="n">
        <f aca="false">M1221*M1222</f>
        <v>0</v>
      </c>
      <c r="N1224" s="73" t="n">
        <f aca="false">N1221*N1222</f>
        <v>3743140.56174631</v>
      </c>
      <c r="O1224" s="73" t="n">
        <f aca="false">O1221*O1222</f>
        <v>0</v>
      </c>
    </row>
    <row r="1225" customFormat="false" ht="15" hidden="false" customHeight="false" outlineLevel="0" collapsed="false">
      <c r="B1225" s="65" t="s">
        <v>1025</v>
      </c>
      <c r="C1225" s="25"/>
      <c r="D1225" s="73" t="n">
        <f aca="false">C1233</f>
        <v>0</v>
      </c>
      <c r="E1225" s="73" t="n">
        <f aca="false">D1233</f>
        <v>0</v>
      </c>
      <c r="F1225" s="73" t="n">
        <f aca="false">E1233</f>
        <v>0</v>
      </c>
      <c r="G1225" s="73" t="n">
        <f aca="false">F1233</f>
        <v>0</v>
      </c>
      <c r="H1225" s="73" t="n">
        <f aca="false">G1233</f>
        <v>0</v>
      </c>
      <c r="I1225" s="73" t="n">
        <f aca="false">H1233</f>
        <v>0</v>
      </c>
      <c r="J1225" s="73" t="n">
        <f aca="false">I1233</f>
        <v>0</v>
      </c>
      <c r="K1225" s="73" t="n">
        <f aca="false">J1233</f>
        <v>0</v>
      </c>
      <c r="L1225" s="73" t="n">
        <f aca="false">K1233</f>
        <v>0</v>
      </c>
      <c r="M1225" s="73" t="n">
        <f aca="false">L1233</f>
        <v>0</v>
      </c>
      <c r="N1225" s="73" t="n">
        <f aca="false">M1233</f>
        <v>0</v>
      </c>
      <c r="O1225" s="73" t="n">
        <f aca="false">N1233</f>
        <v>0</v>
      </c>
    </row>
    <row r="1226" customFormat="false" ht="15" hidden="false" customHeight="false" outlineLevel="0" collapsed="false">
      <c r="B1226" s="65" t="s">
        <v>1026</v>
      </c>
      <c r="C1226" s="25"/>
      <c r="D1226" s="73" t="n">
        <f aca="false">D1224+D1225</f>
        <v>7500000</v>
      </c>
      <c r="E1226" s="73" t="n">
        <f aca="false">E1224+E1225</f>
        <v>0</v>
      </c>
      <c r="F1226" s="73" t="n">
        <f aca="false">F1224+F1225</f>
        <v>6572535.25699219</v>
      </c>
      <c r="G1226" s="73" t="n">
        <f aca="false">G1224+G1225</f>
        <v>0</v>
      </c>
      <c r="H1226" s="73" t="n">
        <f aca="false">H1224+H1225</f>
        <v>5718955.78718618</v>
      </c>
      <c r="I1226" s="73" t="n">
        <f aca="false">I1224+I1225</f>
        <v>0</v>
      </c>
      <c r="J1226" s="73" t="n">
        <f aca="false">J1224+J1225</f>
        <v>4970373.61738854</v>
      </c>
      <c r="K1226" s="73" t="n">
        <f aca="false">K1224+K1225</f>
        <v>0</v>
      </c>
      <c r="L1226" s="73" t="n">
        <f aca="false">L1224+L1225</f>
        <v>4315730.01774502</v>
      </c>
      <c r="M1226" s="73" t="n">
        <f aca="false">M1224+M1225</f>
        <v>0</v>
      </c>
      <c r="N1226" s="73" t="n">
        <f aca="false">N1224+N1225</f>
        <v>3743140.56174631</v>
      </c>
      <c r="O1226" s="73" t="n">
        <f aca="false">O1224+O1225</f>
        <v>0</v>
      </c>
    </row>
    <row r="1227" customFormat="false" ht="15" hidden="false" customHeight="false" outlineLevel="0" collapsed="false">
      <c r="B1227" s="65" t="s">
        <v>1027</v>
      </c>
      <c r="C1227" s="25"/>
      <c r="D1227" s="73" t="n">
        <f aca="false">IF($U$21=1,Gate*D1222+D1223,D1226)</f>
        <v>7500000</v>
      </c>
      <c r="E1227" s="73" t="n">
        <f aca="false">IF($U$21=1,Gate*E1222+E1223,E1226)</f>
        <v>0</v>
      </c>
      <c r="F1227" s="73" t="n">
        <f aca="false">IF($U$21=1,Gate*F1222+F1223,F1226)</f>
        <v>6572535.25699219</v>
      </c>
      <c r="G1227" s="73" t="n">
        <f aca="false">IF($U$21=1,Gate*G1222+G1223,G1226)</f>
        <v>0</v>
      </c>
      <c r="H1227" s="73" t="n">
        <f aca="false">IF($U$21=1,Gate*H1222+H1223,H1226)</f>
        <v>5718955.78718618</v>
      </c>
      <c r="I1227" s="73" t="n">
        <f aca="false">IF($U$21=1,Gate*I1222+I1223,I1226)</f>
        <v>0</v>
      </c>
      <c r="J1227" s="73" t="n">
        <f aca="false">IF($U$21=1,Gate*J1222+J1223,J1226)</f>
        <v>4970373.61738854</v>
      </c>
      <c r="K1227" s="73" t="n">
        <f aca="false">IF($U$21=1,Gate*K1222+K1223,K1226)</f>
        <v>0</v>
      </c>
      <c r="L1227" s="73" t="n">
        <f aca="false">IF($U$21=1,Gate*L1222+L1223,L1226)</f>
        <v>4315730.01774502</v>
      </c>
      <c r="M1227" s="73" t="n">
        <f aca="false">IF($U$21=1,Gate*M1222+M1223,M1226)</f>
        <v>0</v>
      </c>
      <c r="N1227" s="73" t="n">
        <f aca="false">IF($U$21=1,Gate*N1222+N1223,N1226)</f>
        <v>3743140.56174631</v>
      </c>
      <c r="O1227" s="73" t="n">
        <f aca="false">IF($U$21=1,Gate*O1222+O1223,O1226)</f>
        <v>0</v>
      </c>
    </row>
    <row r="1228" customFormat="false" ht="15" hidden="false" customHeight="false" outlineLevel="0" collapsed="false">
      <c r="B1228" s="65" t="s">
        <v>1028</v>
      </c>
      <c r="C1228" s="25"/>
      <c r="D1228" s="73" t="n">
        <f aca="false">IF(D1219=1,MIN(D1226,D1227),0)</f>
        <v>7500000</v>
      </c>
      <c r="E1228" s="73" t="n">
        <f aca="false">IF(E1219=1,MIN(E1226,E1227),0)</f>
        <v>0</v>
      </c>
      <c r="F1228" s="73" t="n">
        <f aca="false">IF(F1219=1,MIN(F1226,F1227),0)</f>
        <v>6572535.25699219</v>
      </c>
      <c r="G1228" s="73" t="n">
        <f aca="false">IF(G1219=1,MIN(G1226,G1227),0)</f>
        <v>0</v>
      </c>
      <c r="H1228" s="73" t="n">
        <f aca="false">IF(H1219=1,MIN(H1226,H1227),0)</f>
        <v>5718955.78718618</v>
      </c>
      <c r="I1228" s="73" t="n">
        <f aca="false">IF(I1219=1,MIN(I1226,I1227),0)</f>
        <v>0</v>
      </c>
      <c r="J1228" s="73" t="n">
        <f aca="false">IF(J1219=1,MIN(J1226,J1227),0)</f>
        <v>4970373.61738854</v>
      </c>
      <c r="K1228" s="73" t="n">
        <f aca="false">IF(K1219=1,MIN(K1226,K1227),0)</f>
        <v>0</v>
      </c>
      <c r="L1228" s="73" t="n">
        <f aca="false">IF(L1219=1,MIN(L1226,L1227),0)</f>
        <v>4315730.01774502</v>
      </c>
      <c r="M1228" s="73" t="n">
        <f aca="false">IF(M1219=1,MIN(M1226,M1227),0)</f>
        <v>0</v>
      </c>
      <c r="N1228" s="73" t="n">
        <f aca="false">IF(N1219=1,MIN(N1226,N1227),0)</f>
        <v>3743140.56174631</v>
      </c>
      <c r="O1228" s="73" t="n">
        <f aca="false">IF(O1219=1,MIN(O1226,O1227),0)</f>
        <v>0</v>
      </c>
    </row>
    <row r="1229" customFormat="false" ht="15" hidden="false" customHeight="false" outlineLevel="0" collapsed="false">
      <c r="B1229" s="65" t="s">
        <v>1029</v>
      </c>
      <c r="C1229" s="25"/>
      <c r="D1229" s="73" t="n">
        <f aca="false">MAX(0,D1257+D1248+D1249-Poche_min_exec*D1222-D1228-SUM(E1254:F1254)+MAX(0,MIN($U$20*AN_cible,Emprunt_max*D1222)-C1265))</f>
        <v>0</v>
      </c>
      <c r="E1229" s="73" t="n">
        <f aca="false">MAX(0,E1257+E1248+E1249-Poche_min_exec*E1222-E1228-SUM(F1254:G1254)+MAX(0,MIN($U$20*AN_cible,Emprunt_max*E1222)-D1265))</f>
        <v>0</v>
      </c>
      <c r="F1229" s="73" t="n">
        <f aca="false">MAX(0,F1257+F1248+F1249-Poche_min_exec*F1222-F1228-SUM(G1254:H1254)+MAX(0,MIN($U$20*AN_cible,Emprunt_max*F1222)-E1265))</f>
        <v>0</v>
      </c>
      <c r="G1229" s="73" t="n">
        <f aca="false">MAX(0,G1257+G1248+G1249-Poche_min_exec*G1222-G1228-SUM(H1254:I1254)+MAX(0,MIN($U$20*AN_cible,Emprunt_max*G1222)-F1265))</f>
        <v>0</v>
      </c>
      <c r="H1229" s="73" t="n">
        <f aca="false">MAX(0,H1257+H1248+H1249-Poche_min_exec*H1222-H1228-SUM(I1254:J1254)+MAX(0,MIN($U$20*AN_cible,Emprunt_max*H1222)-G1265))</f>
        <v>0</v>
      </c>
      <c r="I1229" s="73" t="n">
        <f aca="false">MAX(0,I1257+I1248+I1249-Poche_min_exec*I1222-I1228-SUM(J1254:K1254)+MAX(0,MIN($U$20*AN_cible,Emprunt_max*I1222)-H1265))</f>
        <v>0</v>
      </c>
      <c r="J1229" s="73" t="n">
        <f aca="false">MAX(0,J1257+J1248+J1249-Poche_min_exec*J1222-J1228-SUM(K1254:L1254)+MAX(0,MIN($U$20*AN_cible,Emprunt_max*J1222)-I1265))</f>
        <v>0</v>
      </c>
      <c r="K1229" s="73" t="n">
        <f aca="false">MAX(0,K1257+K1248+K1249-Poche_min_exec*K1222-K1228-SUM(L1254:M1254)+MAX(0,MIN($U$20*AN_cible,Emprunt_max*K1222)-J1265))</f>
        <v>0</v>
      </c>
      <c r="L1229" s="73" t="n">
        <f aca="false">MAX(0,L1257+L1248+L1249-Poche_min_exec*L1222-L1228-SUM(M1254:N1254)+MAX(0,MIN($U$20*AN_cible,Emprunt_max*L1222)-K1265))</f>
        <v>0</v>
      </c>
      <c r="M1229" s="73" t="n">
        <f aca="false">MAX(0,M1257+M1248+M1249-Poche_min_exec*M1222-M1228-SUM(N1254:O1254)+MAX(0,MIN($U$20*AN_cible,Emprunt_max*M1222)-L1265))</f>
        <v>0</v>
      </c>
      <c r="N1229" s="73" t="n">
        <f aca="false">MAX(0,N1257+N1248+N1249-Poche_min_exec*N1222-N1228-SUM(O1254:O1254)+MAX(0,MIN($U$20*AN_cible,Emprunt_max*N1222)-M1265))</f>
        <v>0</v>
      </c>
      <c r="O1229" s="73" t="n">
        <f aca="false">MAX(0,O1257+O1248+O1249-Poche_min_exec*O1222-O1228-0+MAX(0,MIN($U$20*AN_cible,Emprunt_max*O1222)-N1265))</f>
        <v>0</v>
      </c>
    </row>
    <row r="1230" customFormat="false" ht="15" hidden="false" customHeight="false" outlineLevel="0" collapsed="false">
      <c r="B1230" s="65" t="s">
        <v>1030</v>
      </c>
      <c r="C1230" s="25"/>
      <c r="D1230" s="73" t="n">
        <f aca="false">IF(AND(D1219=1,$U$21=1,$U$22=1),MIN(D1226-D1228,D1229),0)</f>
        <v>0</v>
      </c>
      <c r="E1230" s="73" t="n">
        <f aca="false">IF(AND(E1219=1,$U$21=1,$U$22=1),MIN(E1226-E1228,E1229),0)</f>
        <v>0</v>
      </c>
      <c r="F1230" s="73" t="n">
        <f aca="false">IF(AND(F1219=1,$U$21=1,$U$22=1),MIN(F1226-F1228,F1229),0)</f>
        <v>0</v>
      </c>
      <c r="G1230" s="73" t="n">
        <f aca="false">IF(AND(G1219=1,$U$21=1,$U$22=1),MIN(G1226-G1228,G1229),0)</f>
        <v>0</v>
      </c>
      <c r="H1230" s="73" t="n">
        <f aca="false">IF(AND(H1219=1,$U$21=1,$U$22=1),MIN(H1226-H1228,H1229),0)</f>
        <v>0</v>
      </c>
      <c r="I1230" s="73" t="n">
        <f aca="false">IF(AND(I1219=1,$U$21=1,$U$22=1),MIN(I1226-I1228,I1229),0)</f>
        <v>0</v>
      </c>
      <c r="J1230" s="73" t="n">
        <f aca="false">IF(AND(J1219=1,$U$21=1,$U$22=1),MIN(J1226-J1228,J1229),0)</f>
        <v>0</v>
      </c>
      <c r="K1230" s="73" t="n">
        <f aca="false">IF(AND(K1219=1,$U$21=1,$U$22=1),MIN(K1226-K1228,K1229),0)</f>
        <v>0</v>
      </c>
      <c r="L1230" s="73" t="n">
        <f aca="false">IF(AND(L1219=1,$U$21=1,$U$22=1),MIN(L1226-L1228,L1229),0)</f>
        <v>0</v>
      </c>
      <c r="M1230" s="73" t="n">
        <f aca="false">IF(AND(M1219=1,$U$21=1,$U$22=1),MIN(M1226-M1228,M1229),0)</f>
        <v>0</v>
      </c>
      <c r="N1230" s="73" t="n">
        <f aca="false">IF(AND(N1219=1,$U$21=1,$U$22=1),MIN(N1226-N1228,N1229),0)</f>
        <v>0</v>
      </c>
      <c r="O1230" s="73" t="n">
        <f aca="false">IF(AND(O1219=1,$U$21=1,$U$22=1),MIN(O1226-O1228,O1229),0)</f>
        <v>0</v>
      </c>
    </row>
    <row r="1231" customFormat="false" ht="15" hidden="false" customHeight="false" outlineLevel="0" collapsed="false">
      <c r="B1231" s="65" t="s">
        <v>1031</v>
      </c>
      <c r="C1231" s="65" t="n">
        <v>0</v>
      </c>
      <c r="D1231" s="65" t="n">
        <f aca="false">IF(C1231=1,1,IF(AND(D1219=1,$U$21=1,C1235&gt;=Gate_dates,D1226-D1228-D1230&gt;0.000001),1,0))</f>
        <v>0</v>
      </c>
      <c r="E1231" s="65" t="n">
        <f aca="false">IF(D1231=1,1,IF(AND(E1219=1,$U$21=1,D1235&gt;=Gate_dates,E1226-E1228-E1230&gt;0.000001),1,0))</f>
        <v>0</v>
      </c>
      <c r="F1231" s="65" t="n">
        <f aca="false">IF(E1231=1,1,IF(AND(F1219=1,$U$21=1,E1235&gt;=Gate_dates,F1226-F1228-F1230&gt;0.000001),1,0))</f>
        <v>0</v>
      </c>
      <c r="G1231" s="65" t="n">
        <f aca="false">IF(F1231=1,1,IF(AND(G1219=1,$U$21=1,F1235&gt;=Gate_dates,G1226-G1228-G1230&gt;0.000001),1,0))</f>
        <v>0</v>
      </c>
      <c r="H1231" s="65" t="n">
        <f aca="false">IF(G1231=1,1,IF(AND(H1219=1,$U$21=1,G1235&gt;=Gate_dates,H1226-H1228-H1230&gt;0.000001),1,0))</f>
        <v>0</v>
      </c>
      <c r="I1231" s="65" t="n">
        <f aca="false">IF(H1231=1,1,IF(AND(I1219=1,$U$21=1,H1235&gt;=Gate_dates,I1226-I1228-I1230&gt;0.000001),1,0))</f>
        <v>0</v>
      </c>
      <c r="J1231" s="65" t="n">
        <f aca="false">IF(I1231=1,1,IF(AND(J1219=1,$U$21=1,I1235&gt;=Gate_dates,J1226-J1228-J1230&gt;0.000001),1,0))</f>
        <v>0</v>
      </c>
      <c r="K1231" s="65" t="n">
        <f aca="false">IF(J1231=1,1,IF(AND(K1219=1,$U$21=1,J1235&gt;=Gate_dates,K1226-K1228-K1230&gt;0.000001),1,0))</f>
        <v>0</v>
      </c>
      <c r="L1231" s="65" t="n">
        <f aca="false">IF(K1231=1,1,IF(AND(L1219=1,$U$21=1,K1235&gt;=Gate_dates,L1226-L1228-L1230&gt;0.000001),1,0))</f>
        <v>0</v>
      </c>
      <c r="M1231" s="65" t="n">
        <f aca="false">IF(L1231=1,1,IF(AND(M1219=1,$U$21=1,L1235&gt;=Gate_dates,M1226-M1228-M1230&gt;0.000001),1,0))</f>
        <v>0</v>
      </c>
      <c r="N1231" s="65" t="n">
        <f aca="false">IF(M1231=1,1,IF(AND(N1219=1,$U$21=1,M1235&gt;=Gate_dates,N1226-N1228-N1230&gt;0.000001),1,0))</f>
        <v>0</v>
      </c>
      <c r="O1231" s="65" t="n">
        <f aca="false">IF(N1231=1,1,IF(AND(O1219=1,$U$21=1,N1235&gt;=Gate_dates,O1226-O1228-O1230&gt;0.000001),1,0))</f>
        <v>0</v>
      </c>
    </row>
    <row r="1232" customFormat="false" ht="15" hidden="false" customHeight="false" outlineLevel="0" collapsed="false">
      <c r="B1232" s="65" t="s">
        <v>1032</v>
      </c>
      <c r="C1232" s="25"/>
      <c r="D1232" s="73" t="n">
        <f aca="false">IF(D1231=1,0,D1228+D1230)</f>
        <v>7500000</v>
      </c>
      <c r="E1232" s="73" t="n">
        <f aca="false">IF(E1231=1,0,E1228+E1230)</f>
        <v>0</v>
      </c>
      <c r="F1232" s="73" t="n">
        <f aca="false">IF(F1231=1,0,F1228+F1230)</f>
        <v>6572535.25699219</v>
      </c>
      <c r="G1232" s="73" t="n">
        <f aca="false">IF(G1231=1,0,G1228+G1230)</f>
        <v>0</v>
      </c>
      <c r="H1232" s="73" t="n">
        <f aca="false">IF(H1231=1,0,H1228+H1230)</f>
        <v>5718955.78718618</v>
      </c>
      <c r="I1232" s="73" t="n">
        <f aca="false">IF(I1231=1,0,I1228+I1230)</f>
        <v>0</v>
      </c>
      <c r="J1232" s="73" t="n">
        <f aca="false">IF(J1231=1,0,J1228+J1230)</f>
        <v>4970373.61738854</v>
      </c>
      <c r="K1232" s="73" t="n">
        <f aca="false">IF(K1231=1,0,K1228+K1230)</f>
        <v>0</v>
      </c>
      <c r="L1232" s="73" t="n">
        <f aca="false">IF(L1231=1,0,L1228+L1230)</f>
        <v>4315730.01774502</v>
      </c>
      <c r="M1232" s="73" t="n">
        <f aca="false">IF(M1231=1,0,M1228+M1230)</f>
        <v>0</v>
      </c>
      <c r="N1232" s="73" t="n">
        <f aca="false">IF(N1231=1,0,N1228+N1230)</f>
        <v>3743140.56174631</v>
      </c>
      <c r="O1232" s="73" t="n">
        <f aca="false">IF(O1231=1,0,O1228+O1230)</f>
        <v>0</v>
      </c>
    </row>
    <row r="1233" customFormat="false" ht="15" hidden="false" customHeight="false" outlineLevel="0" collapsed="false">
      <c r="B1233" s="65" t="s">
        <v>1033</v>
      </c>
      <c r="C1233" s="73" t="n">
        <v>0</v>
      </c>
      <c r="D1233" s="73" t="n">
        <f aca="false">D1226-D1232</f>
        <v>0</v>
      </c>
      <c r="E1233" s="73" t="n">
        <f aca="false">E1226-E1232</f>
        <v>0</v>
      </c>
      <c r="F1233" s="73" t="n">
        <f aca="false">F1226-F1232</f>
        <v>0</v>
      </c>
      <c r="G1233" s="73" t="n">
        <f aca="false">G1226-G1232</f>
        <v>0</v>
      </c>
      <c r="H1233" s="73" t="n">
        <f aca="false">H1226-H1232</f>
        <v>0</v>
      </c>
      <c r="I1233" s="73" t="n">
        <f aca="false">I1226-I1232</f>
        <v>0</v>
      </c>
      <c r="J1233" s="73" t="n">
        <f aca="false">J1226-J1232</f>
        <v>0</v>
      </c>
      <c r="K1233" s="73" t="n">
        <f aca="false">K1226-K1232</f>
        <v>0</v>
      </c>
      <c r="L1233" s="73" t="n">
        <f aca="false">L1226-L1232</f>
        <v>0</v>
      </c>
      <c r="M1233" s="73" t="n">
        <f aca="false">M1226-M1232</f>
        <v>0</v>
      </c>
      <c r="N1233" s="73" t="n">
        <f aca="false">N1226-N1232</f>
        <v>0</v>
      </c>
      <c r="O1233" s="73" t="n">
        <f aca="false">O1226-O1232</f>
        <v>0</v>
      </c>
    </row>
    <row r="1234" customFormat="false" ht="15" hidden="false" customHeight="false" outlineLevel="0" collapsed="false">
      <c r="B1234" s="65" t="s">
        <v>1034</v>
      </c>
      <c r="C1234" s="25"/>
      <c r="D1234" s="65" t="n">
        <f aca="false">IF(AND(D1219=1,D1231=0,D1233&gt;0.000001),1,0)</f>
        <v>0</v>
      </c>
      <c r="E1234" s="65" t="n">
        <f aca="false">IF(AND(E1219=1,E1231=0,E1233&gt;0.000001),1,0)</f>
        <v>0</v>
      </c>
      <c r="F1234" s="65" t="n">
        <f aca="false">IF(AND(F1219=1,F1231=0,F1233&gt;0.000001),1,0)</f>
        <v>0</v>
      </c>
      <c r="G1234" s="65" t="n">
        <f aca="false">IF(AND(G1219=1,G1231=0,G1233&gt;0.000001),1,0)</f>
        <v>0</v>
      </c>
      <c r="H1234" s="65" t="n">
        <f aca="false">IF(AND(H1219=1,H1231=0,H1233&gt;0.000001),1,0)</f>
        <v>0</v>
      </c>
      <c r="I1234" s="65" t="n">
        <f aca="false">IF(AND(I1219=1,I1231=0,I1233&gt;0.000001),1,0)</f>
        <v>0</v>
      </c>
      <c r="J1234" s="65" t="n">
        <f aca="false">IF(AND(J1219=1,J1231=0,J1233&gt;0.000001),1,0)</f>
        <v>0</v>
      </c>
      <c r="K1234" s="65" t="n">
        <f aca="false">IF(AND(K1219=1,K1231=0,K1233&gt;0.000001),1,0)</f>
        <v>0</v>
      </c>
      <c r="L1234" s="65" t="n">
        <f aca="false">IF(AND(L1219=1,L1231=0,L1233&gt;0.000001),1,0)</f>
        <v>0</v>
      </c>
      <c r="M1234" s="65" t="n">
        <f aca="false">IF(AND(M1219=1,M1231=0,M1233&gt;0.000001),1,0)</f>
        <v>0</v>
      </c>
      <c r="N1234" s="65" t="n">
        <f aca="false">IF(AND(N1219=1,N1231=0,N1233&gt;0.000001),1,0)</f>
        <v>0</v>
      </c>
      <c r="O1234" s="65" t="n">
        <f aca="false">IF(AND(O1219=1,O1231=0,O1233&gt;0.000001),1,0)</f>
        <v>0</v>
      </c>
    </row>
    <row r="1235" customFormat="false" ht="15" hidden="false" customHeight="false" outlineLevel="0" collapsed="false">
      <c r="B1235" s="65" t="s">
        <v>843</v>
      </c>
      <c r="C1235" s="65" t="n">
        <v>0</v>
      </c>
      <c r="D1235" s="65" t="n">
        <f aca="false">IF(D1219=1,IF(D1234=1,C1235+1,0),C1235)</f>
        <v>0</v>
      </c>
      <c r="E1235" s="65" t="n">
        <f aca="false">IF(E1219=1,IF(E1234=1,D1235+1,0),D1235)</f>
        <v>0</v>
      </c>
      <c r="F1235" s="65" t="n">
        <f aca="false">IF(F1219=1,IF(F1234=1,E1235+1,0),E1235)</f>
        <v>0</v>
      </c>
      <c r="G1235" s="65" t="n">
        <f aca="false">IF(G1219=1,IF(G1234=1,F1235+1,0),F1235)</f>
        <v>0</v>
      </c>
      <c r="H1235" s="65" t="n">
        <f aca="false">IF(H1219=1,IF(H1234=1,G1235+1,0),G1235)</f>
        <v>0</v>
      </c>
      <c r="I1235" s="65" t="n">
        <f aca="false">IF(I1219=1,IF(I1234=1,H1235+1,0),H1235)</f>
        <v>0</v>
      </c>
      <c r="J1235" s="65" t="n">
        <f aca="false">IF(J1219=1,IF(J1234=1,I1235+1,0),I1235)</f>
        <v>0</v>
      </c>
      <c r="K1235" s="65" t="n">
        <f aca="false">IF(K1219=1,IF(K1234=1,J1235+1,0),J1235)</f>
        <v>0</v>
      </c>
      <c r="L1235" s="65" t="n">
        <f aca="false">IF(L1219=1,IF(L1234=1,K1235+1,0),K1235)</f>
        <v>0</v>
      </c>
      <c r="M1235" s="65" t="n">
        <f aca="false">IF(M1219=1,IF(M1234=1,L1235+1,0),L1235)</f>
        <v>0</v>
      </c>
      <c r="N1235" s="65" t="n">
        <f aca="false">IF(N1219=1,IF(N1234=1,M1235+1,0),M1235)</f>
        <v>0</v>
      </c>
      <c r="O1235" s="65" t="n">
        <f aca="false">IF(O1219=1,IF(O1234=1,N1235+1,0),N1235)</f>
        <v>0</v>
      </c>
    </row>
    <row r="1236" customFormat="false" ht="15" hidden="false" customHeight="false" outlineLevel="0" collapsed="false">
      <c r="B1236" s="65" t="s">
        <v>1035</v>
      </c>
      <c r="C1236" s="73" t="n">
        <f aca="false">AN_cible*Ws_MAPIF</f>
        <v>12500000</v>
      </c>
      <c r="D1236" s="73" t="n">
        <f aca="false">C1236*(1+Rend_MAPIF/4)*IF(D1217=1,(1-(Cap_MAPIF*$U$15+(1-Cap_MAPIF)*$U$16))*(1+1*$U$14),1)+D1246-D1240-D1261*IF((C1236+C1237+C1238+C1239)&gt;0,C1236/(C1236+C1237+C1238+C1239),0)</f>
        <v>12971562.5</v>
      </c>
      <c r="E1236" s="73" t="n">
        <f aca="false">D1236*(1+Rend_MAPIF/4)*IF(E1217=1,(1-(Cap_MAPIF*$U$15+(1-Cap_MAPIF)*$U$16))*(1+1*$U$14),1)+E1246-E1240-E1261*IF((D1236+D1237+D1238+D1239)&gt;0,D1236/(D1236+D1237+D1238+D1239),0)</f>
        <v>13446767.8203125</v>
      </c>
      <c r="F1236" s="73" t="n">
        <f aca="false">E1236*(1+Rend_MAPIF/4)*IF(F1217=1,(1-(Cap_MAPIF*$U$15+(1-Cap_MAPIF)*$U$16))*(1+1*$U$14),1)+F1246-F1240-F1261*IF((E1236+E1237+E1238+E1239)&gt;0,E1236/(E1236+E1237+E1238+E1239),0)</f>
        <v>12428578.7667291</v>
      </c>
      <c r="G1236" s="73" t="n">
        <f aca="false">F1236*(1+Rend_MAPIF/4)*IF(G1217=1,(1-(Cap_MAPIF*$U$15+(1-Cap_MAPIF)*$U$16))*(1+1*$U$14),1)+G1246-G1240-G1261*IF((F1236+F1237+F1238+F1239)&gt;0,F1236/(F1236+F1237+F1238+F1239),0)</f>
        <v>12899589.5377021</v>
      </c>
      <c r="H1236" s="73" t="n">
        <f aca="false">G1236*(1+Rend_MAPIF/4)*IF(H1217=1,(1-(Cap_MAPIF*$U$15+(1-Cap_MAPIF)*$U$16))*(1+1*$U$14),1)+H1246-H1240-H1261*IF((G1236+G1237+G1238+G1239)&gt;0,G1236/(G1236+G1237+G1238+G1239),0)</f>
        <v>11637644.1056514</v>
      </c>
      <c r="I1236" s="73" t="n">
        <f aca="false">H1236*(1+Rend_MAPIF/4)*IF(I1217=1,(1-(Cap_MAPIF*$U$15+(1-Cap_MAPIF)*$U$16))*(1+1*$U$14),1)+I1246-I1240-I1261*IF((H1236+H1237+H1238+H1239)&gt;0,H1236/(H1236+H1237+H1238+H1239),0)</f>
        <v>12102544.9063676</v>
      </c>
      <c r="J1236" s="73" t="n">
        <f aca="false">I1236*(1+Rend_MAPIF/4)*IF(J1217=1,(1-(Cap_MAPIF*$U$15+(1-Cap_MAPIF)*$U$16))*(1+1*$U$14),1)+J1246-J1240-J1261*IF((I1236+I1237+I1238+I1239)&gt;0,I1236/(I1236+I1237+I1238+I1239),0)</f>
        <v>10842271.2955352</v>
      </c>
      <c r="K1236" s="73" t="n">
        <f aca="false">J1236*(1+Rend_MAPIF/4)*IF(K1217=1,(1-(Cap_MAPIF*$U$15+(1-Cap_MAPIF)*$U$16))*(1+1*$U$14),1)+K1246-K1240-K1261*IF((J1236+J1237+J1238+J1239)&gt;0,J1236/(J1236+J1237+J1238+J1239),0)</f>
        <v>11301027.8412932</v>
      </c>
      <c r="L1236" s="73" t="n">
        <f aca="false">K1236*(1+Rend_MAPIF/4)*IF(L1217=1,(1-(Cap_MAPIF*$U$15+(1-Cap_MAPIF)*$U$16))*(1+1*$U$14),1)+L1246-L1240-L1261*IF((K1236+K1237+K1238+K1239)&gt;0,K1236/(K1236+K1237+K1238+K1239),0)</f>
        <v>10040586.5230028</v>
      </c>
      <c r="M1236" s="73" t="n">
        <f aca="false">L1236*(1+Rend_MAPIF/4)*IF(M1217=1,(1-(Cap_MAPIF*$U$15+(1-Cap_MAPIF)*$U$16))*(1+1*$U$14),1)+M1246-M1240-M1261*IF((L1236+L1237+L1238+L1239)&gt;0,L1236/(L1236+L1237+L1238+L1239),0)</f>
        <v>10493150.053893</v>
      </c>
      <c r="N1236" s="73" t="n">
        <f aca="false">M1236*(1+Rend_MAPIF/4)*IF(N1217=1,(1-(Cap_MAPIF*$U$15+(1-Cap_MAPIF)*$U$16))*(1+1*$U$14),1)+N1246-N1240-N1261*IF((M1236+M1237+M1238+M1239)&gt;0,M1236/(M1236+M1237+M1238+M1239),0)</f>
        <v>9239628.34453934</v>
      </c>
      <c r="O1236" s="73" t="n">
        <f aca="false">N1236*(1+Rend_MAPIF/4)*IF(O1217=1,(1-(Cap_MAPIF*$U$15+(1-Cap_MAPIF)*$U$16))*(1+1*$U$14),1)+O1246-O1240-O1261*IF((N1236+N1237+N1238+N1239)&gt;0,N1236/(N1236+N1237+N1238+N1239),0)</f>
        <v>9648339.77626785</v>
      </c>
    </row>
    <row r="1237" customFormat="false" ht="15" hidden="false" customHeight="false" outlineLevel="0" collapsed="false">
      <c r="B1237" s="65" t="s">
        <v>1036</v>
      </c>
      <c r="C1237" s="73" t="n">
        <f aca="false">AN_cible*Ws_MSIG</f>
        <v>5500000</v>
      </c>
      <c r="D1237" s="73" t="n">
        <f aca="false">C1237*(1+Rend_MSIG/4)*IF(D1217=1,(1-(Cap_MSIG*$U$15+(1-Cap_MSIG)*$U$16))*(1+MSIG_USD*$U$14),1)+D1247-D1241-D1261*IF((C1236+C1237+C1238+C1239)&gt;0,C1237/(C1236+C1237+C1238+C1239),0)</f>
        <v>5773237.5</v>
      </c>
      <c r="E1237" s="73" t="n">
        <f aca="false">D1237*(1+Rend_MSIG/4)*IF(E1217=1,(1-(Cap_MSIG*$U$15+(1-Cap_MSIG)*$U$16))*(1+MSIG_USD*$U$14),1)+E1247-E1241-E1261*IF((D1236+D1237+D1238+D1239)&gt;0,D1237/(D1236+D1237+D1238+D1239),0)</f>
        <v>6047629.4284375</v>
      </c>
      <c r="F1237" s="73" t="n">
        <f aca="false">E1237*(1+Rend_MSIG/4)*IF(F1217=1,(1-(Cap_MSIG*$U$15+(1-Cap_MSIG)*$U$16))*(1+MSIG_USD*$U$14),1)+F1247-F1241-F1261*IF((E1236+E1237+E1238+E1239)&gt;0,E1237/(E1236+E1237+E1238+E1239),0)</f>
        <v>5649881.5847195</v>
      </c>
      <c r="G1237" s="73" t="n">
        <f aca="false">F1237*(1+Rend_MSIG/4)*IF(G1217=1,(1-(Cap_MSIG*$U$15+(1-Cap_MSIG)*$U$16))*(1+MSIG_USD*$U$14),1)+G1247-G1241-G1261*IF((F1236+F1237+F1238+F1239)&gt;0,F1237/(F1236+F1237+F1238+F1239),0)</f>
        <v>5923752.33441494</v>
      </c>
      <c r="H1237" s="73" t="n">
        <f aca="false">G1237*(1+Rend_MSIG/4)*IF(H1217=1,(1-(Cap_MSIG*$U$15+(1-Cap_MSIG)*$U$16))*(1+MSIG_USD*$U$14),1)+H1247-H1241-H1261*IF((G1236+G1237+G1238+G1239)&gt;0,G1237/(G1236+G1237+G1238+G1239),0)</f>
        <v>5401300.76120585</v>
      </c>
      <c r="I1237" s="73" t="n">
        <f aca="false">H1237*(1+Rend_MSIG/4)*IF(I1217=1,(1-(Cap_MSIG*$U$15+(1-Cap_MSIG)*$U$16))*(1+MSIG_USD*$U$14),1)+I1247-I1241-I1261*IF((H1236+H1237+H1238+H1239)&gt;0,H1237/(H1236+H1237+H1238+H1239),0)</f>
        <v>5674121.25692194</v>
      </c>
      <c r="J1237" s="73" t="n">
        <f aca="false">I1237*(1+Rend_MSIG/4)*IF(J1217=1,(1-(Cap_MSIG*$U$15+(1-Cap_MSIG)*$U$16))*(1+MSIG_USD*$U$14),1)+J1247-J1241-J1261*IF((I1236+I1237+I1238+I1239)&gt;0,I1237/(I1236+I1237+I1238+I1239),0)</f>
        <v>5137585.00315389</v>
      </c>
      <c r="K1237" s="73" t="n">
        <f aca="false">J1237*(1+Rend_MSIG/4)*IF(K1217=1,(1-(Cap_MSIG*$U$15+(1-Cap_MSIG)*$U$16))*(1+MSIG_USD*$U$14),1)+K1247-K1241-K1261*IF((J1236+J1237+J1238+J1239)&gt;0,J1237/(J1236+J1237+J1238+J1239),0)</f>
        <v>5409291.29979222</v>
      </c>
      <c r="L1237" s="73" t="n">
        <f aca="false">K1237*(1+Rend_MSIG/4)*IF(L1217=1,(1-(Cap_MSIG*$U$15+(1-Cap_MSIG)*$U$16))*(1+MSIG_USD*$U$14),1)+L1247-L1241-L1261*IF((K1236+K1237+K1238+K1239)&gt;0,K1237/(K1236+K1237+K1238+K1239),0)</f>
        <v>4857546.93174681</v>
      </c>
      <c r="M1237" s="73" t="n">
        <f aca="false">L1237*(1+Rend_MSIG/4)*IF(M1217=1,(1-(Cap_MSIG*$U$15+(1-Cap_MSIG)*$U$16))*(1+MSIG_USD*$U$14),1)+M1247-M1241-M1261*IF((L1236+L1237+L1238+L1239)&gt;0,L1237/(L1236+L1237+L1238+L1239),0)</f>
        <v>5128070.06753344</v>
      </c>
      <c r="N1237" s="73" t="n">
        <f aca="false">M1237*(1+Rend_MSIG/4)*IF(N1217=1,(1-(Cap_MSIG*$U$15+(1-Cap_MSIG)*$U$16))*(1+MSIG_USD*$U$14),1)+N1247-N1241-N1261*IF((M1236+M1237+M1238+M1239)&gt;0,M1237/(M1236+M1237+M1238+M1239),0)</f>
        <v>4564252.76589618</v>
      </c>
      <c r="O1237" s="73" t="n">
        <f aca="false">N1237*(1+Rend_MSIG/4)*IF(O1217=1,(1-(Cap_MSIG*$U$15+(1-Cap_MSIG)*$U$16))*(1+MSIG_USD*$U$14),1)+O1247-O1241-O1261*IF((N1236+N1237+N1238+N1239)&gt;0,N1237/(N1236+N1237+N1238+N1239),0)</f>
        <v>4814930.8773937</v>
      </c>
    </row>
    <row r="1238" customFormat="false" ht="15" hidden="false" customHeight="false" outlineLevel="0" collapsed="false">
      <c r="B1238" s="65" t="s">
        <v>1037</v>
      </c>
      <c r="C1238" s="73" t="n">
        <f aca="false">AN_cible*Ws_PG</f>
        <v>12250000</v>
      </c>
      <c r="D1238" s="73" t="n">
        <f aca="false">C1238*(1+Rend_PG/4)*IF(D1217=1,(1-(Cap_PG*$U$15+(1-Cap_PG)*$U$16))*(1+0*$U$14),1)-D1242-D1258*IF((D1248+D1249)&gt;0,D1248/(D1248+D1249),0)+D1263/2-D1261*IF((C1236+C1237+C1238+C1239)&gt;0,C1238/(C1236+C1237+C1238+C1239),0)</f>
        <v>11888931.25</v>
      </c>
      <c r="E1238" s="73" t="n">
        <f aca="false">D1238*(1+Rend_PG/4)*IF(E1217=1,(1-(Cap_PG*$U$15+(1-Cap_PG)*$U$16))*(1+0*$U$14),1)-E1242-E1258*IF((E1248+E1249)&gt;0,E1248/(E1248+E1249),0)+E1263/2-E1261*IF((D1236+D1237+D1238+D1239)&gt;0,D1238/(D1236+D1237+D1238+D1239),0)</f>
        <v>11538505.0014063</v>
      </c>
      <c r="F1238" s="73" t="n">
        <f aca="false">E1238*(1+Rend_PG/4)*IF(F1217=1,(1-(Cap_PG*$U$15+(1-Cap_PG)*$U$16))*(1+0*$U$14),1)-F1242-F1258*IF((F1248+F1249)&gt;0,F1248/(F1248+F1249),0)+F1263/2-F1261*IF((E1236+E1237+E1238+E1239)&gt;0,E1238/(E1236+E1237+E1238+E1239),0)</f>
        <v>9913794.33555549</v>
      </c>
      <c r="G1238" s="73" t="n">
        <f aca="false">F1238*(1+Rend_PG/4)*IF(G1217=1,(1-(Cap_PG*$U$15+(1-Cap_PG)*$U$16))*(1+0*$U$14),1)-G1242-G1258*IF((G1248+G1249)&gt;0,G1248/(G1248+G1249),0)+G1263/2-G1261*IF((F1236+F1237+F1238+F1239)&gt;0,F1238/(F1236+F1237+F1238+F1239),0)</f>
        <v>9621585.24751499</v>
      </c>
      <c r="H1238" s="73" t="n">
        <f aca="false">G1238*(1+Rend_PG/4)*IF(H1217=1,(1-(Cap_PG*$U$15+(1-Cap_PG)*$U$16))*(1+0*$U$14),1)-H1242-H1258*IF((H1248+H1249)&gt;0,H1248/(H1248+H1249),0)+H1263/2-H1261*IF((G1236+G1237+G1238+G1239)&gt;0,G1238/(G1236+G1237+G1238+G1239),0)</f>
        <v>8042692.41722991</v>
      </c>
      <c r="I1238" s="73" t="n">
        <f aca="false">H1238*(1+Rend_PG/4)*IF(I1217=1,(1-(Cap_PG*$U$15+(1-Cap_PG)*$U$16))*(1+0*$U$14),1)-I1242-I1258*IF((I1248+I1249)&gt;0,I1248/(I1248+I1249),0)+I1263/2-I1261*IF((H1236+H1237+H1238+H1239)&gt;0,H1238/(H1236+H1237+H1238+H1239),0)</f>
        <v>7805634.05823206</v>
      </c>
      <c r="J1238" s="73" t="n">
        <f aca="false">I1238*(1+Rend_PG/4)*IF(J1217=1,(1-(Cap_PG*$U$15+(1-Cap_PG)*$U$16))*(1+0*$U$14),1)-J1242-J1258*IF((J1248+J1249)&gt;0,J1248/(J1248+J1249),0)+J1263/2-J1261*IF((I1236+I1237+I1238+I1239)&gt;0,I1238/(I1236+I1237+I1238+I1239),0)</f>
        <v>6460581.55209519</v>
      </c>
      <c r="K1238" s="73" t="n">
        <f aca="false">J1238*(1+Rend_PG/4)*IF(K1217=1,(1-(Cap_PG*$U$15+(1-Cap_PG)*$U$16))*(1+0*$U$14),1)-K1242-K1258*IF((K1248+K1249)&gt;0,K1248/(K1248+K1249),0)+K1263/2-K1261*IF((J1236+J1237+J1238+J1239)&gt;0,J1238/(J1236+J1237+J1238+J1239),0)</f>
        <v>6270155.91084718</v>
      </c>
      <c r="L1238" s="73" t="n">
        <f aca="false">K1238*(1+Rend_PG/4)*IF(L1217=1,(1-(Cap_PG*$U$15+(1-Cap_PG)*$U$16))*(1+0*$U$14),1)-L1242-L1258*IF((L1248+L1249)&gt;0,L1248/(L1248+L1249),0)+L1263/2-L1261*IF((K1236+K1237+K1238+K1239)&gt;0,K1238/(K1236+K1237+K1238+K1239),0)</f>
        <v>5129513.24433846</v>
      </c>
      <c r="M1238" s="73" t="n">
        <f aca="false">L1238*(1+Rend_PG/4)*IF(M1217=1,(1-(Cap_PG*$U$15+(1-Cap_PG)*$U$16))*(1+0*$U$14),1)-M1242-M1258*IF((M1248+M1249)&gt;0,M1248/(M1248+M1249),0)+M1263/2-M1261*IF((L1236+L1237+L1238+L1239)&gt;0,L1238/(L1236+L1237+L1238+L1239),0)</f>
        <v>4978320.84146159</v>
      </c>
      <c r="N1238" s="73" t="n">
        <f aca="false">M1238*(1+Rend_PG/4)*IF(N1217=1,(1-(Cap_PG*$U$15+(1-Cap_PG)*$U$16))*(1+0*$U$14),1)-N1242-N1258*IF((N1248+N1249)&gt;0,N1248/(N1248+N1249),0)+N1263/2-N1261*IF((M1236+M1237+M1238+M1239)&gt;0,M1238/(M1236+M1237+M1238+M1239),0)</f>
        <v>4020499.11302287</v>
      </c>
      <c r="O1238" s="73" t="n">
        <f aca="false">N1238*(1+Rend_PG/4)*IF(O1217=1,(1-(Cap_PG*$U$15+(1-Cap_PG)*$U$16))*(1+0*$U$14),1)-O1242-O1258*IF((O1248+O1249)&gt;0,O1248/(O1248+O1249),0)+O1263/2-O1261*IF((N1236+N1237+N1238+N1239)&gt;0,N1238/(N1236+N1237+N1238+N1239),0)</f>
        <v>3885605.61887602</v>
      </c>
    </row>
    <row r="1239" customFormat="false" ht="15" hidden="false" customHeight="false" outlineLevel="0" collapsed="false">
      <c r="B1239" s="65" t="s">
        <v>1038</v>
      </c>
      <c r="C1239" s="73" t="n">
        <f aca="false">AN_cible*Ws_ARES</f>
        <v>12250000</v>
      </c>
      <c r="D1239" s="73" t="n">
        <f aca="false">C1239*(1+Rend_ARES/4)*IF(D1217=1,(1-(Cap_ARES*$U$15+(1-Cap_ARES)*$U$16))*(1+0*$U$14),1)-D1243-D1258*IF((D1248+D1249)&gt;0,D1249/(D1248+D1249),0)/(1-IF(D1217&lt;=Deduc_trim,Deduc_ares,0))+D1263/2-D1261*IF((C1236+C1237+C1238+C1239)&gt;0,C1239/(C1236+C1237+C1238+C1239),0)</f>
        <v>11727537.5</v>
      </c>
      <c r="E1239" s="73" t="n">
        <f aca="false">D1239*(1+Rend_ARES/4)*IF(E1217=1,(1-(Cap_ARES*$U$15+(1-Cap_ARES)*$U$16))*(1+0*$U$14),1)-E1243-E1258*IF((E1248+E1249)&gt;0,E1249/(E1248+E1249),0)/(1-IF(E1217&lt;=Deduc_trim,Deduc_ares,0))+E1263/2-E1261*IF((D1236+D1237+D1238+D1239)&gt;0,D1239/(D1236+D1237+D1238+D1239),0)</f>
        <v>11227358.025625</v>
      </c>
      <c r="F1239" s="73" t="n">
        <f aca="false">E1239*(1+Rend_ARES/4)*IF(F1217=1,(1-(Cap_ARES*$U$15+(1-Cap_ARES)*$U$16))*(1+0*$U$14),1)-F1243-F1258*IF((F1248+F1249)&gt;0,F1249/(F1248+F1249),0)/(1-IF(F1217&lt;=Deduc_trim,Deduc_ares,0))+F1263/2-F1261*IF((E1236+E1237+E1238+E1239)&gt;0,E1239/(E1236+E1237+E1238+E1239),0)</f>
        <v>9498538.81630705</v>
      </c>
      <c r="G1239" s="73" t="n">
        <f aca="false">F1239*(1+Rend_ARES/4)*IF(G1217=1,(1-(Cap_ARES*$U$15+(1-Cap_ARES)*$U$16))*(1+0*$U$14),1)-G1243-G1258*IF((G1248+G1249)&gt;0,G1249/(G1248+G1249),0)/(1-IF(G1217&lt;=Deduc_trim,Deduc_ares,0))+G1263/2-G1261*IF((F1236+F1237+F1238+F1239)&gt;0,F1239/(F1236+F1237+F1238+F1239),0)</f>
        <v>9093426.13579155</v>
      </c>
      <c r="H1239" s="73" t="n">
        <f aca="false">G1239*(1+Rend_ARES/4)*IF(H1217=1,(1-(Cap_ARES*$U$15+(1-Cap_ARES)*$U$16))*(1+0*$U$14),1)-H1243-H1258*IF((H1248+H1249)&gt;0,H1249/(H1248+H1249),0)/(1-IF(H1217&lt;=Deduc_trim,Deduc_ares,0))+H1263/2-H1261*IF((G1236+G1237+G1238+G1239)&gt;0,G1239/(G1236+G1237+G1238+G1239),0)</f>
        <v>7481397.81541013</v>
      </c>
      <c r="I1239" s="73" t="n">
        <f aca="false">H1239*(1+Rend_ARES/4)*IF(I1217=1,(1-(Cap_ARES*$U$15+(1-Cap_ARES)*$U$16))*(1+0*$U$14),1)-I1243-I1258*IF((I1248+I1249)&gt;0,I1249/(I1248+I1249),0)/(1-IF(I1217&lt;=Deduc_trim,Deduc_ares,0))+I1263/2-I1261*IF((H1236+H1237+H1238+H1239)&gt;0,H1239/(H1236+H1237+H1238+H1239),0)</f>
        <v>7162316.19858289</v>
      </c>
      <c r="J1239" s="73" t="n">
        <f aca="false">I1239*(1+Rend_ARES/4)*IF(J1217=1,(1-(Cap_ARES*$U$15+(1-Cap_ARES)*$U$16))*(1+0*$U$14),1)-J1243-J1258*IF((J1248+J1249)&gt;0,J1249/(J1248+J1249),0)/(1-IF(J1217&lt;=Deduc_trim,Deduc_ares,0))+J1263/2-J1261*IF((I1236+I1237+I1238+I1239)&gt;0,I1239/(I1236+I1237+I1238+I1239),0)</f>
        <v>5833755.52702503</v>
      </c>
      <c r="K1239" s="73" t="n">
        <f aca="false">J1239*(1+Rend_ARES/4)*IF(K1217=1,(1-(Cap_ARES*$U$15+(1-Cap_ARES)*$U$16))*(1+0*$U$14),1)-K1243-K1258*IF((K1248+K1249)&gt;0,K1249/(K1248+K1249),0)/(1-IF(K1217&lt;=Deduc_trim,Deduc_ares,0))+K1263/2-K1261*IF((J1236+J1237+J1238+J1239)&gt;0,J1239/(J1236+J1237+J1238+J1239),0)</f>
        <v>5584945.85379741</v>
      </c>
      <c r="L1239" s="73" t="n">
        <f aca="false">K1239*(1+Rend_ARES/4)*IF(L1217=1,(1-(Cap_ARES*$U$15+(1-Cap_ARES)*$U$16))*(1+0*$U$14),1)-L1243-L1258*IF((L1248+L1249)&gt;0,L1249/(L1248+L1249),0)/(1-IF(L1217&lt;=Deduc_trim,Deduc_ares,0))+L1263/2-L1261*IF((K1236+K1237+K1238+K1239)&gt;0,K1239/(K1236+K1237+K1238+K1239),0)</f>
        <v>4495372.3059174</v>
      </c>
      <c r="M1239" s="73" t="n">
        <f aca="false">L1239*(1+Rend_ARES/4)*IF(M1217=1,(1-(Cap_ARES*$U$15+(1-Cap_ARES)*$U$16))*(1+0*$U$14),1)-M1243-M1258*IF((M1248+M1249)&gt;0,M1249/(M1248+M1249),0)/(1-IF(M1217&lt;=Deduc_trim,Deduc_ares,0))+M1263/2-M1261*IF((L1236+L1237+L1238+L1239)&gt;0,L1239/(L1236+L1237+L1238+L1239),0)</f>
        <v>4303644.67707002</v>
      </c>
      <c r="N1239" s="73" t="n">
        <f aca="false">M1239*(1+Rend_ARES/4)*IF(N1217=1,(1-(Cap_ARES*$U$15+(1-Cap_ARES)*$U$16))*(1+0*$U$14),1)-N1243-N1258*IF((N1248+N1249)&gt;0,N1249/(N1248+N1249),0)/(1-IF(N1217&lt;=Deduc_trim,Deduc_ares,0))+N1263/2-N1261*IF((M1236+M1237+M1238+M1239)&gt;0,M1239/(M1236+M1237+M1238+M1239),0)</f>
        <v>3418929.14807776</v>
      </c>
      <c r="O1239" s="73" t="n">
        <f aca="false">N1239*(1+Rend_ARES/4)*IF(O1217=1,(1-(Cap_ARES*$U$15+(1-Cap_ARES)*$U$16))*(1+0*$U$14),1)-O1243-O1258*IF((O1248+O1249)&gt;0,O1249/(O1248+O1249),0)/(1-IF(O1217&lt;=Deduc_trim,Deduc_ares,0))+O1263/2-O1261*IF((N1236+N1237+N1238+N1239)&gt;0,N1239/(N1236+N1237+N1238+N1239),0)</f>
        <v>3259174.79491277</v>
      </c>
    </row>
    <row r="1240" customFormat="false" ht="15" hidden="false" customHeight="false" outlineLevel="0" collapsed="false">
      <c r="B1240" s="65" t="s">
        <v>1039</v>
      </c>
      <c r="C1240" s="25"/>
      <c r="D1240" s="73" t="n">
        <f aca="false">C1236*Dist_MAPIF/4*IF(D1217&lt;=$U$11,0,$U$10)</f>
        <v>187500</v>
      </c>
      <c r="E1240" s="73" t="n">
        <f aca="false">D1236*Dist_MAPIF/4*IF(E1217&lt;=$U$11,0,$U$10)</f>
        <v>194573.4375</v>
      </c>
      <c r="F1240" s="73" t="n">
        <f aca="false">E1236*Dist_MAPIF/4*IF(F1217&lt;=$U$11,0,$U$10)</f>
        <v>201701.517304688</v>
      </c>
      <c r="G1240" s="73" t="n">
        <f aca="false">F1236*Dist_MAPIF/4*IF(G1217&lt;=$U$11,0,$U$10)</f>
        <v>186428.681500937</v>
      </c>
      <c r="H1240" s="73" t="n">
        <f aca="false">G1236*Dist_MAPIF/4*IF(H1217&lt;=$U$11,0,$U$10)</f>
        <v>193493.843065532</v>
      </c>
      <c r="I1240" s="73" t="n">
        <f aca="false">H1236*Dist_MAPIF/4*IF(I1217&lt;=$U$11,0,$U$10)</f>
        <v>174564.661584771</v>
      </c>
      <c r="J1240" s="73" t="n">
        <f aca="false">I1236*Dist_MAPIF/4*IF(J1217&lt;=$U$11,0,$U$10)</f>
        <v>181538.173595514</v>
      </c>
      <c r="K1240" s="73" t="n">
        <f aca="false">J1236*Dist_MAPIF/4*IF(K1217&lt;=$U$11,0,$U$10)</f>
        <v>162634.069433027</v>
      </c>
      <c r="L1240" s="73" t="n">
        <f aca="false">K1236*Dist_MAPIF/4*IF(L1217&lt;=$U$11,0,$U$10)</f>
        <v>169515.417619398</v>
      </c>
      <c r="M1240" s="73" t="n">
        <f aca="false">L1236*Dist_MAPIF/4*IF(M1217&lt;=$U$11,0,$U$10)</f>
        <v>150608.797845042</v>
      </c>
      <c r="N1240" s="73" t="n">
        <f aca="false">M1236*Dist_MAPIF/4*IF(N1217&lt;=$U$11,0,$U$10)</f>
        <v>157397.250808395</v>
      </c>
      <c r="O1240" s="73" t="n">
        <f aca="false">N1236*Dist_MAPIF/4*IF(O1217&lt;=$U$11,0,$U$10)</f>
        <v>138594.42516809</v>
      </c>
    </row>
    <row r="1241" customFormat="false" ht="15" hidden="false" customHeight="false" outlineLevel="0" collapsed="false">
      <c r="B1241" s="65" t="s">
        <v>1040</v>
      </c>
      <c r="C1241" s="25"/>
      <c r="D1241" s="73" t="n">
        <f aca="false">C1237*Dist_MSIG/4*IF(D1217&lt;=$U$11,0,$U$10)</f>
        <v>96250</v>
      </c>
      <c r="E1241" s="73" t="n">
        <f aca="false">D1237*Dist_MSIG/4*IF(E1217&lt;=$U$11,0,$U$10)</f>
        <v>101031.65625</v>
      </c>
      <c r="F1241" s="73" t="n">
        <f aca="false">E1237*Dist_MSIG/4*IF(F1217&lt;=$U$11,0,$U$10)</f>
        <v>105833.514997656</v>
      </c>
      <c r="G1241" s="73" t="n">
        <f aca="false">F1237*Dist_MSIG/4*IF(G1217&lt;=$U$11,0,$U$10)</f>
        <v>98872.9277325912</v>
      </c>
      <c r="H1241" s="73" t="n">
        <f aca="false">G1237*Dist_MSIG/4*IF(H1217&lt;=$U$11,0,$U$10)</f>
        <v>103665.665852261</v>
      </c>
      <c r="I1241" s="73" t="n">
        <f aca="false">H1237*Dist_MSIG/4*IF(I1217&lt;=$U$11,0,$U$10)</f>
        <v>94522.7633211023</v>
      </c>
      <c r="J1241" s="73" t="n">
        <f aca="false">I1237*Dist_MSIG/4*IF(J1217&lt;=$U$11,0,$U$10)</f>
        <v>99297.121996134</v>
      </c>
      <c r="K1241" s="73" t="n">
        <f aca="false">J1237*Dist_MSIG/4*IF(K1217&lt;=$U$11,0,$U$10)</f>
        <v>89907.7375551931</v>
      </c>
      <c r="L1241" s="73" t="n">
        <f aca="false">K1237*Dist_MSIG/4*IF(L1217&lt;=$U$11,0,$U$10)</f>
        <v>94662.5977463638</v>
      </c>
      <c r="M1241" s="73" t="n">
        <f aca="false">L1237*Dist_MSIG/4*IF(M1217&lt;=$U$11,0,$U$10)</f>
        <v>85007.0713055693</v>
      </c>
      <c r="N1241" s="73" t="n">
        <f aca="false">M1237*Dist_MSIG/4*IF(N1217&lt;=$U$11,0,$U$10)</f>
        <v>89741.2261818353</v>
      </c>
      <c r="O1241" s="73" t="n">
        <f aca="false">N1237*Dist_MSIG/4*IF(O1217&lt;=$U$11,0,$U$10)</f>
        <v>79874.4234031832</v>
      </c>
    </row>
    <row r="1242" customFormat="false" ht="15" hidden="false" customHeight="false" outlineLevel="0" collapsed="false">
      <c r="B1242" s="65" t="s">
        <v>1041</v>
      </c>
      <c r="C1242" s="25"/>
      <c r="D1242" s="73" t="n">
        <f aca="false">C1238*Dist_PG/4*IF(D1217&lt;=$U$11,0,$U$10)</f>
        <v>61250</v>
      </c>
      <c r="E1242" s="73" t="n">
        <f aca="false">D1238*Dist_PG/4*IF(E1217&lt;=$U$11,0,$U$10)</f>
        <v>59444.65625</v>
      </c>
      <c r="F1242" s="73" t="n">
        <f aca="false">E1238*Dist_PG/4*IF(F1217&lt;=$U$11,0,$U$10)</f>
        <v>57692.5250070313</v>
      </c>
      <c r="G1242" s="73" t="n">
        <f aca="false">F1238*Dist_PG/4*IF(G1217&lt;=$U$11,0,$U$10)</f>
        <v>49568.9716777774</v>
      </c>
      <c r="H1242" s="73" t="n">
        <f aca="false">G1238*Dist_PG/4*IF(H1217&lt;=$U$11,0,$U$10)</f>
        <v>48107.9262375749</v>
      </c>
      <c r="I1242" s="73" t="n">
        <f aca="false">H1238*Dist_PG/4*IF(I1217&lt;=$U$11,0,$U$10)</f>
        <v>40213.4620861496</v>
      </c>
      <c r="J1242" s="73" t="n">
        <f aca="false">I1238*Dist_PG/4*IF(J1217&lt;=$U$11,0,$U$10)</f>
        <v>39028.1702911603</v>
      </c>
      <c r="K1242" s="73" t="n">
        <f aca="false">J1238*Dist_PG/4*IF(K1217&lt;=$U$11,0,$U$10)</f>
        <v>32302.9077604759</v>
      </c>
      <c r="L1242" s="73" t="n">
        <f aca="false">K1238*Dist_PG/4*IF(L1217&lt;=$U$11,0,$U$10)</f>
        <v>31350.7795542359</v>
      </c>
      <c r="M1242" s="73" t="n">
        <f aca="false">L1238*Dist_PG/4*IF(M1217&lt;=$U$11,0,$U$10)</f>
        <v>25647.5662216923</v>
      </c>
      <c r="N1242" s="73" t="n">
        <f aca="false">M1238*Dist_PG/4*IF(N1217&lt;=$U$11,0,$U$10)</f>
        <v>24891.6042073079</v>
      </c>
      <c r="O1242" s="73" t="n">
        <f aca="false">N1238*Dist_PG/4*IF(O1217&lt;=$U$11,0,$U$10)</f>
        <v>20102.4955651144</v>
      </c>
    </row>
    <row r="1243" customFormat="false" ht="15" hidden="false" customHeight="false" outlineLevel="0" collapsed="false">
      <c r="B1243" s="65" t="s">
        <v>1042</v>
      </c>
      <c r="C1243" s="25"/>
      <c r="D1243" s="73" t="n">
        <f aca="false">C1239*Dist_ARES/4*IF(D1217&lt;=$U$11,0,$U$10)</f>
        <v>153125</v>
      </c>
      <c r="E1243" s="73" t="n">
        <f aca="false">D1239*Dist_ARES/4*IF(E1217&lt;=$U$11,0,$U$10)</f>
        <v>146594.21875</v>
      </c>
      <c r="F1243" s="73" t="n">
        <f aca="false">E1239*Dist_ARES/4*IF(F1217&lt;=$U$11,0,$U$10)</f>
        <v>140341.975320313</v>
      </c>
      <c r="G1243" s="73" t="n">
        <f aca="false">F1239*Dist_ARES/4*IF(G1217&lt;=$U$11,0,$U$10)</f>
        <v>118731.735203838</v>
      </c>
      <c r="H1243" s="73" t="n">
        <f aca="false">G1239*Dist_ARES/4*IF(H1217&lt;=$U$11,0,$U$10)</f>
        <v>113667.826697394</v>
      </c>
      <c r="I1243" s="73" t="n">
        <f aca="false">H1239*Dist_ARES/4*IF(I1217&lt;=$U$11,0,$U$10)</f>
        <v>93517.4726926266</v>
      </c>
      <c r="J1243" s="73" t="n">
        <f aca="false">I1239*Dist_ARES/4*IF(J1217&lt;=$U$11,0,$U$10)</f>
        <v>89528.9524822861</v>
      </c>
      <c r="K1243" s="73" t="n">
        <f aca="false">J1239*Dist_ARES/4*IF(K1217&lt;=$U$11,0,$U$10)</f>
        <v>72921.9440878128</v>
      </c>
      <c r="L1243" s="73" t="n">
        <f aca="false">K1239*Dist_ARES/4*IF(L1217&lt;=$U$11,0,$U$10)</f>
        <v>69811.8231724676</v>
      </c>
      <c r="M1243" s="73" t="n">
        <f aca="false">L1239*Dist_ARES/4*IF(M1217&lt;=$U$11,0,$U$10)</f>
        <v>56192.1538239675</v>
      </c>
      <c r="N1243" s="73" t="n">
        <f aca="false">M1239*Dist_ARES/4*IF(N1217&lt;=$U$11,0,$U$10)</f>
        <v>53795.5584633752</v>
      </c>
      <c r="O1243" s="73" t="n">
        <f aca="false">N1239*Dist_ARES/4*IF(O1217&lt;=$U$11,0,$U$10)</f>
        <v>42736.614350972</v>
      </c>
    </row>
    <row r="1244" customFormat="false" ht="15" hidden="false" customHeight="false" outlineLevel="0" collapsed="false">
      <c r="B1244" s="65" t="s">
        <v>1043</v>
      </c>
      <c r="C1244" s="73" t="n">
        <f aca="false">AN_cible*$U$12*Part_MAPIF_NA</f>
        <v>4500000</v>
      </c>
      <c r="D1244" s="73" t="n">
        <f aca="false">C1244*IF(D1217=1,1+$U$14,1)-D1246</f>
        <v>4125000</v>
      </c>
      <c r="E1244" s="73" t="n">
        <f aca="false">D1244*IF(E1217=1,1+$U$14,1)-E1246</f>
        <v>3750000</v>
      </c>
      <c r="F1244" s="73" t="n">
        <f aca="false">E1244*IF(F1217=1,1+$U$14,1)-F1246</f>
        <v>3375000</v>
      </c>
      <c r="G1244" s="73" t="n">
        <f aca="false">F1244*IF(G1217=1,1+$U$14,1)-G1246</f>
        <v>3000000</v>
      </c>
      <c r="H1244" s="73" t="n">
        <f aca="false">G1244*IF(H1217=1,1+$U$14,1)-H1246</f>
        <v>2625000</v>
      </c>
      <c r="I1244" s="73" t="n">
        <f aca="false">H1244*IF(I1217=1,1+$U$14,1)-I1246</f>
        <v>2250000</v>
      </c>
      <c r="J1244" s="73" t="n">
        <f aca="false">I1244*IF(J1217=1,1+$U$14,1)-J1246</f>
        <v>1875000</v>
      </c>
      <c r="K1244" s="73" t="n">
        <f aca="false">J1244*IF(K1217=1,1+$U$14,1)-K1246</f>
        <v>1500000</v>
      </c>
      <c r="L1244" s="73" t="n">
        <f aca="false">K1244*IF(L1217=1,1+$U$14,1)-L1246</f>
        <v>1125000</v>
      </c>
      <c r="M1244" s="73" t="n">
        <f aca="false">L1244*IF(M1217=1,1+$U$14,1)-M1246</f>
        <v>750000</v>
      </c>
      <c r="N1244" s="73" t="n">
        <f aca="false">M1244*IF(N1217=1,1+$U$14,1)-N1246</f>
        <v>375000</v>
      </c>
      <c r="O1244" s="73" t="n">
        <f aca="false">N1244*IF(O1217=1,1+$U$14,1)-O1246</f>
        <v>0</v>
      </c>
    </row>
    <row r="1245" customFormat="false" ht="15" hidden="false" customHeight="false" outlineLevel="0" collapsed="false">
      <c r="B1245" s="65" t="s">
        <v>1044</v>
      </c>
      <c r="C1245" s="73" t="n">
        <f aca="false">AN_cible*$U$12*(1-Part_MAPIF_NA)</f>
        <v>3000000</v>
      </c>
      <c r="D1245" s="73" t="n">
        <f aca="false">C1245*IF(D1217=1,1+MSIG_USD*$U$14,1)-D1247</f>
        <v>2750000</v>
      </c>
      <c r="E1245" s="73" t="n">
        <f aca="false">D1245*IF(E1217=1,1+MSIG_USD*$U$14,1)-E1247</f>
        <v>2500000</v>
      </c>
      <c r="F1245" s="73" t="n">
        <f aca="false">E1245*IF(F1217=1,1+MSIG_USD*$U$14,1)-F1247</f>
        <v>2250000</v>
      </c>
      <c r="G1245" s="73" t="n">
        <f aca="false">F1245*IF(G1217=1,1+MSIG_USD*$U$14,1)-G1247</f>
        <v>2000000</v>
      </c>
      <c r="H1245" s="73" t="n">
        <f aca="false">G1245*IF(H1217=1,1+MSIG_USD*$U$14,1)-H1247</f>
        <v>1750000</v>
      </c>
      <c r="I1245" s="73" t="n">
        <f aca="false">H1245*IF(I1217=1,1+MSIG_USD*$U$14,1)-I1247</f>
        <v>1500000</v>
      </c>
      <c r="J1245" s="73" t="n">
        <f aca="false">I1245*IF(J1217=1,1+MSIG_USD*$U$14,1)-J1247</f>
        <v>1250000</v>
      </c>
      <c r="K1245" s="73" t="n">
        <f aca="false">J1245*IF(K1217=1,1+MSIG_USD*$U$14,1)-K1247</f>
        <v>1000000</v>
      </c>
      <c r="L1245" s="73" t="n">
        <f aca="false">K1245*IF(L1217=1,1+MSIG_USD*$U$14,1)-L1247</f>
        <v>750000</v>
      </c>
      <c r="M1245" s="73" t="n">
        <f aca="false">L1245*IF(M1217=1,1+MSIG_USD*$U$14,1)-M1247</f>
        <v>500000</v>
      </c>
      <c r="N1245" s="73" t="n">
        <f aca="false">M1245*IF(N1217=1,1+MSIG_USD*$U$14,1)-N1247</f>
        <v>250000</v>
      </c>
      <c r="O1245" s="73" t="n">
        <f aca="false">N1245*IF(O1217=1,1+MSIG_USD*$U$14,1)-O1247</f>
        <v>0</v>
      </c>
    </row>
    <row r="1246" customFormat="false" ht="15" hidden="false" customHeight="false" outlineLevel="0" collapsed="false">
      <c r="B1246" s="65" t="s">
        <v>1045</v>
      </c>
      <c r="C1246" s="25"/>
      <c r="D1246" s="73" t="n">
        <f aca="false">MIN(C1244*IF(D1217=1,1+$U$14,1),$C1244*(1+$U$14)*IF(D1217&lt;=4,$U$13/4,Appels_base))</f>
        <v>375000</v>
      </c>
      <c r="E1246" s="73" t="n">
        <f aca="false">MIN(D1244*IF(E1217=1,1+$U$14,1),$C1244*(1+$U$14)*IF(E1217&lt;=4,$U$13/4,Appels_base))</f>
        <v>375000</v>
      </c>
      <c r="F1246" s="73" t="n">
        <f aca="false">MIN(E1244*IF(F1217=1,1+$U$14,1),$C1244*(1+$U$14)*IF(F1217&lt;=4,$U$13/4,Appels_base))</f>
        <v>375000</v>
      </c>
      <c r="G1246" s="73" t="n">
        <f aca="false">MIN(F1244*IF(G1217=1,1+$U$14,1),$C1244*(1+$U$14)*IF(G1217&lt;=4,$U$13/4,Appels_base))</f>
        <v>375000</v>
      </c>
      <c r="H1246" s="73" t="n">
        <f aca="false">MIN(G1244*IF(H1217=1,1+$U$14,1),$C1244*(1+$U$14)*IF(H1217&lt;=4,$U$13/4,Appels_base))</f>
        <v>375000</v>
      </c>
      <c r="I1246" s="73" t="n">
        <f aca="false">MIN(H1244*IF(I1217=1,1+$U$14,1),$C1244*(1+$U$14)*IF(I1217&lt;=4,$U$13/4,Appels_base))</f>
        <v>375000</v>
      </c>
      <c r="J1246" s="73" t="n">
        <f aca="false">MIN(I1244*IF(J1217=1,1+$U$14,1),$C1244*(1+$U$14)*IF(J1217&lt;=4,$U$13/4,Appels_base))</f>
        <v>375000</v>
      </c>
      <c r="K1246" s="73" t="n">
        <f aca="false">MIN(J1244*IF(K1217=1,1+$U$14,1),$C1244*(1+$U$14)*IF(K1217&lt;=4,$U$13/4,Appels_base))</f>
        <v>375000</v>
      </c>
      <c r="L1246" s="73" t="n">
        <f aca="false">MIN(K1244*IF(L1217=1,1+$U$14,1),$C1244*(1+$U$14)*IF(L1217&lt;=4,$U$13/4,Appels_base))</f>
        <v>375000</v>
      </c>
      <c r="M1246" s="73" t="n">
        <f aca="false">MIN(L1244*IF(M1217=1,1+$U$14,1),$C1244*(1+$U$14)*IF(M1217&lt;=4,$U$13/4,Appels_base))</f>
        <v>375000</v>
      </c>
      <c r="N1246" s="73" t="n">
        <f aca="false">MIN(M1244*IF(N1217=1,1+$U$14,1),$C1244*(1+$U$14)*IF(N1217&lt;=4,$U$13/4,Appels_base))</f>
        <v>375000</v>
      </c>
      <c r="O1246" s="73" t="n">
        <f aca="false">MIN(N1244*IF(O1217=1,1+$U$14,1),$C1244*(1+$U$14)*IF(O1217&lt;=4,$U$13/4,Appels_base))</f>
        <v>375000</v>
      </c>
    </row>
    <row r="1247" customFormat="false" ht="15" hidden="false" customHeight="false" outlineLevel="0" collapsed="false">
      <c r="B1247" s="65" t="s">
        <v>1046</v>
      </c>
      <c r="C1247" s="25"/>
      <c r="D1247" s="73" t="n">
        <f aca="false">MIN(C1245*IF(D1217=1,1+MSIG_USD*$U$14,1),$C1245*(1+MSIG_USD*$U$14)*IF(D1217&lt;=4,$U$13/4,Appels_base))</f>
        <v>250000</v>
      </c>
      <c r="E1247" s="73" t="n">
        <f aca="false">MIN(D1245*IF(E1217=1,1+MSIG_USD*$U$14,1),$C1245*(1+MSIG_USD*$U$14)*IF(E1217&lt;=4,$U$13/4,Appels_base))</f>
        <v>250000</v>
      </c>
      <c r="F1247" s="73" t="n">
        <f aca="false">MIN(E1245*IF(F1217=1,1+MSIG_USD*$U$14,1),$C1245*(1+MSIG_USD*$U$14)*IF(F1217&lt;=4,$U$13/4,Appels_base))</f>
        <v>250000</v>
      </c>
      <c r="G1247" s="73" t="n">
        <f aca="false">MIN(F1245*IF(G1217=1,1+MSIG_USD*$U$14,1),$C1245*(1+MSIG_USD*$U$14)*IF(G1217&lt;=4,$U$13/4,Appels_base))</f>
        <v>250000</v>
      </c>
      <c r="H1247" s="73" t="n">
        <f aca="false">MIN(G1245*IF(H1217=1,1+MSIG_USD*$U$14,1),$C1245*(1+MSIG_USD*$U$14)*IF(H1217&lt;=4,$U$13/4,Appels_base))</f>
        <v>250000</v>
      </c>
      <c r="I1247" s="73" t="n">
        <f aca="false">MIN(H1245*IF(I1217=1,1+MSIG_USD*$U$14,1),$C1245*(1+MSIG_USD*$U$14)*IF(I1217&lt;=4,$U$13/4,Appels_base))</f>
        <v>250000</v>
      </c>
      <c r="J1247" s="73" t="n">
        <f aca="false">MIN(I1245*IF(J1217=1,1+MSIG_USD*$U$14,1),$C1245*(1+MSIG_USD*$U$14)*IF(J1217&lt;=4,$U$13/4,Appels_base))</f>
        <v>250000</v>
      </c>
      <c r="K1247" s="73" t="n">
        <f aca="false">MIN(J1245*IF(K1217=1,1+MSIG_USD*$U$14,1),$C1245*(1+MSIG_USD*$U$14)*IF(K1217&lt;=4,$U$13/4,Appels_base))</f>
        <v>250000</v>
      </c>
      <c r="L1247" s="73" t="n">
        <f aca="false">MIN(K1245*IF(L1217=1,1+MSIG_USD*$U$14,1),$C1245*(1+MSIG_USD*$U$14)*IF(L1217&lt;=4,$U$13/4,Appels_base))</f>
        <v>250000</v>
      </c>
      <c r="M1247" s="73" t="n">
        <f aca="false">MIN(L1245*IF(M1217=1,1+MSIG_USD*$U$14,1),$C1245*(1+MSIG_USD*$U$14)*IF(M1217&lt;=4,$U$13/4,Appels_base))</f>
        <v>250000</v>
      </c>
      <c r="N1247" s="73" t="n">
        <f aca="false">MIN(M1245*IF(N1217=1,1+MSIG_USD*$U$14,1),$C1245*(1+MSIG_USD*$U$14)*IF(N1217&lt;=4,$U$13/4,Appels_base))</f>
        <v>250000</v>
      </c>
      <c r="O1247" s="73" t="n">
        <f aca="false">MIN(N1245*IF(O1217=1,1+MSIG_USD*$U$14,1),$C1245*(1+MSIG_USD*$U$14)*IF(O1217&lt;=4,$U$13/4,Appels_base))</f>
        <v>250000</v>
      </c>
    </row>
    <row r="1248" customFormat="false" ht="15" hidden="false" customHeight="false" outlineLevel="0" collapsed="false">
      <c r="B1248" s="65" t="s">
        <v>1047</v>
      </c>
      <c r="C1248" s="25"/>
      <c r="D1248" s="73" t="n">
        <f aca="false">C1238*Capacite_evg*IF(D1217&lt;=4,$U$17,$U$18)</f>
        <v>612500</v>
      </c>
      <c r="E1248" s="73" t="n">
        <f aca="false">D1238*Capacite_evg*IF(E1217&lt;=4,$U$17,$U$18)</f>
        <v>594446.5625</v>
      </c>
      <c r="F1248" s="73" t="n">
        <f aca="false">E1238*Capacite_evg*IF(F1217&lt;=4,$U$17,$U$18)</f>
        <v>576925.250070313</v>
      </c>
      <c r="G1248" s="73" t="n">
        <f aca="false">F1238*Capacite_evg*IF(G1217&lt;=4,$U$17,$U$18)</f>
        <v>495689.716777774</v>
      </c>
      <c r="H1248" s="73" t="n">
        <f aca="false">G1238*Capacite_evg*IF(H1217&lt;=4,$U$17,$U$18)</f>
        <v>481079.26237575</v>
      </c>
      <c r="I1248" s="73" t="n">
        <f aca="false">H1238*Capacite_evg*IF(I1217&lt;=4,$U$17,$U$18)</f>
        <v>402134.620861496</v>
      </c>
      <c r="J1248" s="73" t="n">
        <f aca="false">I1238*Capacite_evg*IF(J1217&lt;=4,$U$17,$U$18)</f>
        <v>390281.702911603</v>
      </c>
      <c r="K1248" s="73" t="n">
        <f aca="false">J1238*Capacite_evg*IF(K1217&lt;=4,$U$17,$U$18)</f>
        <v>323029.077604759</v>
      </c>
      <c r="L1248" s="73" t="n">
        <f aca="false">K1238*Capacite_evg*IF(L1217&lt;=4,$U$17,$U$18)</f>
        <v>313507.795542359</v>
      </c>
      <c r="M1248" s="73" t="n">
        <f aca="false">L1238*Capacite_evg*IF(M1217&lt;=4,$U$17,$U$18)</f>
        <v>256475.662216923</v>
      </c>
      <c r="N1248" s="73" t="n">
        <f aca="false">M1238*Capacite_evg*IF(N1217&lt;=4,$U$17,$U$18)</f>
        <v>248916.042073079</v>
      </c>
      <c r="O1248" s="73" t="n">
        <f aca="false">N1238*Capacite_evg*IF(O1217&lt;=4,$U$17,$U$18)</f>
        <v>201024.955651144</v>
      </c>
    </row>
    <row r="1249" customFormat="false" ht="15" hidden="false" customHeight="false" outlineLevel="0" collapsed="false">
      <c r="B1249" s="65" t="s">
        <v>1048</v>
      </c>
      <c r="C1249" s="25"/>
      <c r="D1249" s="73" t="n">
        <f aca="false">C1239*Capacite_evg*IF(D1217&lt;=4,$U$17,$U$19)*(1-IF(D1217&lt;=Deduc_trim,Deduc_ares,0))</f>
        <v>581875</v>
      </c>
      <c r="E1249" s="73" t="n">
        <f aca="false">D1239*Capacite_evg*IF(E1217&lt;=4,$U$17,$U$19)*(1-IF(E1217&lt;=Deduc_trim,Deduc_ares,0))</f>
        <v>557058.03125</v>
      </c>
      <c r="F1249" s="73" t="n">
        <f aca="false">E1239*Capacite_evg*IF(F1217&lt;=4,$U$17,$U$19)*(1-IF(F1217&lt;=Deduc_trim,Deduc_ares,0))</f>
        <v>533299.506217187</v>
      </c>
      <c r="G1249" s="73" t="n">
        <f aca="false">F1239*Capacite_evg*IF(G1217&lt;=4,$U$17,$U$19)*(1-IF(G1217&lt;=Deduc_trim,Deduc_ares,0))</f>
        <v>451180.593774585</v>
      </c>
      <c r="H1249" s="73" t="n">
        <f aca="false">G1239*Capacite_evg*IF(H1217&lt;=4,$U$17,$U$19)*(1-IF(H1217&lt;=Deduc_trim,Deduc_ares,0))</f>
        <v>454671.306789578</v>
      </c>
      <c r="I1249" s="73" t="n">
        <f aca="false">H1239*Capacite_evg*IF(I1217&lt;=4,$U$17,$U$19)*(1-IF(I1217&lt;=Deduc_trim,Deduc_ares,0))</f>
        <v>374069.890770507</v>
      </c>
      <c r="J1249" s="73" t="n">
        <f aca="false">I1239*Capacite_evg*IF(J1217&lt;=4,$U$17,$U$19)*(1-IF(J1217&lt;=Deduc_trim,Deduc_ares,0))</f>
        <v>358115.809929144</v>
      </c>
      <c r="K1249" s="73" t="n">
        <f aca="false">J1239*Capacite_evg*IF(K1217&lt;=4,$U$17,$U$19)*(1-IF(K1217&lt;=Deduc_trim,Deduc_ares,0))</f>
        <v>291687.776351251</v>
      </c>
      <c r="L1249" s="73" t="n">
        <f aca="false">K1239*Capacite_evg*IF(L1217&lt;=4,$U$17,$U$19)*(1-IF(L1217&lt;=Deduc_trim,Deduc_ares,0))</f>
        <v>279247.292689871</v>
      </c>
      <c r="M1249" s="73" t="n">
        <f aca="false">L1239*Capacite_evg*IF(M1217&lt;=4,$U$17,$U$19)*(1-IF(M1217&lt;=Deduc_trim,Deduc_ares,0))</f>
        <v>224768.61529587</v>
      </c>
      <c r="N1249" s="73" t="n">
        <f aca="false">M1239*Capacite_evg*IF(N1217&lt;=4,$U$17,$U$19)*(1-IF(N1217&lt;=Deduc_trim,Deduc_ares,0))</f>
        <v>215182.233853501</v>
      </c>
      <c r="O1249" s="73" t="n">
        <f aca="false">N1239*Capacite_evg*IF(O1217&lt;=4,$U$17,$U$19)*(1-IF(O1217&lt;=Deduc_trim,Deduc_ares,0))</f>
        <v>170946.457403888</v>
      </c>
    </row>
    <row r="1250" customFormat="false" ht="15" hidden="false" customHeight="false" outlineLevel="0" collapsed="false">
      <c r="B1250" s="65" t="s">
        <v>1049</v>
      </c>
      <c r="C1250" s="25"/>
      <c r="D1250" s="73" t="n">
        <f aca="false">C1264</f>
        <v>7500000</v>
      </c>
      <c r="E1250" s="73" t="n">
        <f aca="false">D1264</f>
        <v>739375</v>
      </c>
      <c r="F1250" s="73" t="n">
        <f aca="false">E1264</f>
        <v>1556641.4375</v>
      </c>
      <c r="G1250" s="73" t="n">
        <f aca="false">F1264</f>
        <v>0</v>
      </c>
      <c r="H1250" s="73" t="n">
        <f aca="false">G1264</f>
        <v>588018.659150947</v>
      </c>
      <c r="I1250" s="73" t="n">
        <f aca="false">H1264</f>
        <v>0</v>
      </c>
      <c r="J1250" s="73" t="n">
        <f aca="false">I1264</f>
        <v>391207.695819165</v>
      </c>
      <c r="K1250" s="73" t="n">
        <f aca="false">J1264</f>
        <v>0</v>
      </c>
      <c r="L1250" s="73" t="n">
        <f aca="false">K1264</f>
        <v>206112.545903474</v>
      </c>
      <c r="M1250" s="73" t="n">
        <f aca="false">L1264</f>
        <v>0</v>
      </c>
      <c r="N1250" s="73" t="n">
        <f aca="false">M1264</f>
        <v>51084.7716840364</v>
      </c>
      <c r="O1250" s="73" t="n">
        <f aca="false">N1264</f>
        <v>0</v>
      </c>
    </row>
    <row r="1251" customFormat="false" ht="15" hidden="false" customHeight="false" outlineLevel="0" collapsed="false">
      <c r="B1251" s="65" t="s">
        <v>1050</v>
      </c>
      <c r="C1251" s="25"/>
      <c r="D1251" s="73" t="n">
        <f aca="false">D1250*Taux_treso/4</f>
        <v>46875</v>
      </c>
      <c r="E1251" s="73" t="n">
        <f aca="false">E1250*Taux_treso/4</f>
        <v>4621.09375</v>
      </c>
      <c r="F1251" s="73" t="n">
        <f aca="false">F1250*Taux_treso/4</f>
        <v>9729.008984375</v>
      </c>
      <c r="G1251" s="73" t="n">
        <f aca="false">G1250*Taux_treso/4</f>
        <v>0</v>
      </c>
      <c r="H1251" s="73" t="n">
        <f aca="false">H1250*Taux_treso/4</f>
        <v>3675.11661969342</v>
      </c>
      <c r="I1251" s="73" t="n">
        <f aca="false">I1250*Taux_treso/4</f>
        <v>0</v>
      </c>
      <c r="J1251" s="73" t="n">
        <f aca="false">J1250*Taux_treso/4</f>
        <v>2445.04809886978</v>
      </c>
      <c r="K1251" s="73" t="n">
        <f aca="false">K1250*Taux_treso/4</f>
        <v>0</v>
      </c>
      <c r="L1251" s="73" t="n">
        <f aca="false">L1250*Taux_treso/4</f>
        <v>1288.20341189671</v>
      </c>
      <c r="M1251" s="73" t="n">
        <f aca="false">M1250*Taux_treso/4</f>
        <v>0</v>
      </c>
      <c r="N1251" s="73" t="n">
        <f aca="false">N1250*Taux_treso/4</f>
        <v>319.279823025227</v>
      </c>
      <c r="O1251" s="73" t="n">
        <f aca="false">O1250*Taux_treso/4</f>
        <v>0</v>
      </c>
    </row>
    <row r="1252" customFormat="false" ht="15" hidden="false" customHeight="false" outlineLevel="0" collapsed="false">
      <c r="B1252" s="65" t="s">
        <v>1051</v>
      </c>
      <c r="C1252" s="25"/>
      <c r="D1252" s="73" t="n">
        <f aca="false">SUM(D1240:D1243)</f>
        <v>498125</v>
      </c>
      <c r="E1252" s="73" t="n">
        <f aca="false">SUM(E1240:E1243)</f>
        <v>501643.96875</v>
      </c>
      <c r="F1252" s="73" t="n">
        <f aca="false">SUM(F1240:F1243)</f>
        <v>505569.532629688</v>
      </c>
      <c r="G1252" s="73" t="n">
        <f aca="false">SUM(G1240:G1243)</f>
        <v>453602.316115144</v>
      </c>
      <c r="H1252" s="73" t="n">
        <f aca="false">SUM(H1240:H1243)</f>
        <v>458935.261852762</v>
      </c>
      <c r="I1252" s="73" t="n">
        <f aca="false">SUM(I1240:I1243)</f>
        <v>402818.35968465</v>
      </c>
      <c r="J1252" s="73" t="n">
        <f aca="false">SUM(J1240:J1243)</f>
        <v>409392.418365094</v>
      </c>
      <c r="K1252" s="73" t="n">
        <f aca="false">SUM(K1240:K1243)</f>
        <v>357766.658836509</v>
      </c>
      <c r="L1252" s="73" t="n">
        <f aca="false">SUM(L1240:L1243)</f>
        <v>365340.618092465</v>
      </c>
      <c r="M1252" s="73" t="n">
        <f aca="false">SUM(M1240:M1243)</f>
        <v>317455.589196271</v>
      </c>
      <c r="N1252" s="73" t="n">
        <f aca="false">SUM(N1240:N1243)</f>
        <v>325825.639660913</v>
      </c>
      <c r="O1252" s="73" t="n">
        <f aca="false">SUM(O1240:O1243)</f>
        <v>281307.95848736</v>
      </c>
    </row>
    <row r="1253" customFormat="false" ht="15" hidden="false" customHeight="false" outlineLevel="0" collapsed="false">
      <c r="B1253" s="65" t="s">
        <v>1052</v>
      </c>
      <c r="C1253" s="25"/>
      <c r="D1253" s="73" t="n">
        <f aca="false">IF(AND(Distrib_tension=1,OR(D1225&gt;0.000001,C1267&lt;Liq_min,C1231=1)),0,MIN(Dist_porteurs/4*Part_d*D1222,D1252))</f>
        <v>125000</v>
      </c>
      <c r="E1253" s="73" t="n">
        <f aca="false">IF(AND(Distrib_tension=1,OR(E1225&gt;0.000001,D1267&lt;Liq_min,D1231=1)),0,MIN(Dist_porteurs/4*Part_d*E1222,E1252))</f>
        <v>0</v>
      </c>
      <c r="F1253" s="73" t="n">
        <f aca="false">IF(AND(Distrib_tension=1,OR(F1225&gt;0.000001,E1267&lt;Liq_min,E1231=1)),0,MIN(Dist_porteurs/4*Part_d*F1222,F1252))</f>
        <v>0</v>
      </c>
      <c r="G1253" s="73" t="n">
        <f aca="false">IF(AND(Distrib_tension=1,OR(G1225&gt;0.000001,F1267&lt;Liq_min,F1231=1)),0,MIN(Dist_porteurs/4*Part_d*G1222,G1252))</f>
        <v>0</v>
      </c>
      <c r="H1253" s="73" t="n">
        <f aca="false">IF(AND(Distrib_tension=1,OR(H1225&gt;0.000001,G1267&lt;Liq_min,G1231=1)),0,MIN(Dist_porteurs/4*Part_d*H1222,H1252))</f>
        <v>0</v>
      </c>
      <c r="I1253" s="73" t="n">
        <f aca="false">IF(AND(Distrib_tension=1,OR(I1225&gt;0.000001,H1267&lt;Liq_min,H1231=1)),0,MIN(Dist_porteurs/4*Part_d*I1222,I1252))</f>
        <v>0</v>
      </c>
      <c r="J1253" s="73" t="n">
        <f aca="false">IF(AND(Distrib_tension=1,OR(J1225&gt;0.000001,I1267&lt;Liq_min,I1231=1)),0,MIN(Dist_porteurs/4*Part_d*J1222,J1252))</f>
        <v>0</v>
      </c>
      <c r="K1253" s="73" t="n">
        <f aca="false">IF(AND(Distrib_tension=1,OR(K1225&gt;0.000001,J1267&lt;Liq_min,J1231=1)),0,MIN(Dist_porteurs/4*Part_d*K1222,K1252))</f>
        <v>0</v>
      </c>
      <c r="L1253" s="73" t="n">
        <f aca="false">IF(AND(Distrib_tension=1,OR(L1225&gt;0.000001,K1267&lt;Liq_min,K1231=1)),0,MIN(Dist_porteurs/4*Part_d*L1222,L1252))</f>
        <v>0</v>
      </c>
      <c r="M1253" s="73" t="n">
        <f aca="false">IF(AND(Distrib_tension=1,OR(M1225&gt;0.000001,L1267&lt;Liq_min,L1231=1)),0,MIN(Dist_porteurs/4*Part_d*M1222,M1252))</f>
        <v>0</v>
      </c>
      <c r="N1253" s="73" t="n">
        <f aca="false">IF(AND(Distrib_tension=1,OR(N1225&gt;0.000001,M1267&lt;Liq_min,M1231=1)),0,MIN(Dist_porteurs/4*Part_d*N1222,N1252))</f>
        <v>0</v>
      </c>
      <c r="O1253" s="73" t="n">
        <f aca="false">IF(AND(Distrib_tension=1,OR(O1225&gt;0.000001,N1267&lt;Liq_min,N1231=1)),0,MIN(Dist_porteurs/4*Part_d*O1222,O1252))</f>
        <v>0</v>
      </c>
    </row>
    <row r="1254" customFormat="false" ht="15" hidden="false" customHeight="false" outlineLevel="0" collapsed="false">
      <c r="B1254" s="65" t="s">
        <v>1053</v>
      </c>
      <c r="C1254" s="25"/>
      <c r="D1254" s="73" t="n">
        <f aca="false">D1246+D1247</f>
        <v>625000</v>
      </c>
      <c r="E1254" s="73" t="n">
        <f aca="false">E1246+E1247</f>
        <v>625000</v>
      </c>
      <c r="F1254" s="73" t="n">
        <f aca="false">F1246+F1247</f>
        <v>625000</v>
      </c>
      <c r="G1254" s="73" t="n">
        <f aca="false">G1246+G1247</f>
        <v>625000</v>
      </c>
      <c r="H1254" s="73" t="n">
        <f aca="false">H1246+H1247</f>
        <v>625000</v>
      </c>
      <c r="I1254" s="73" t="n">
        <f aca="false">I1246+I1247</f>
        <v>625000</v>
      </c>
      <c r="J1254" s="73" t="n">
        <f aca="false">J1246+J1247</f>
        <v>625000</v>
      </c>
      <c r="K1254" s="73" t="n">
        <f aca="false">K1246+K1247</f>
        <v>625000</v>
      </c>
      <c r="L1254" s="73" t="n">
        <f aca="false">L1246+L1247</f>
        <v>625000</v>
      </c>
      <c r="M1254" s="73" t="n">
        <f aca="false">M1246+M1247</f>
        <v>625000</v>
      </c>
      <c r="N1254" s="73" t="n">
        <f aca="false">N1246+N1247</f>
        <v>625000</v>
      </c>
      <c r="O1254" s="73" t="n">
        <f aca="false">O1246+O1247</f>
        <v>625000</v>
      </c>
    </row>
    <row r="1255" customFormat="false" ht="15" hidden="false" customHeight="false" outlineLevel="0" collapsed="false">
      <c r="B1255" s="65" t="s">
        <v>1054</v>
      </c>
      <c r="C1255" s="25"/>
      <c r="D1255" s="73" t="n">
        <f aca="false">D1222*Frais_an/4</f>
        <v>250000</v>
      </c>
      <c r="E1255" s="73" t="n">
        <f aca="false">E1222*Frais_an/4</f>
        <v>215503.21875</v>
      </c>
      <c r="F1255" s="73" t="n">
        <f aca="false">F1222*Frais_an/4</f>
        <v>219084.508566406</v>
      </c>
      <c r="G1255" s="73" t="n">
        <f aca="false">G1222*Frais_an/4</f>
        <v>187453.967516556</v>
      </c>
      <c r="H1255" s="73" t="n">
        <f aca="false">H1222*Frais_an/4</f>
        <v>190631.859572873</v>
      </c>
      <c r="I1255" s="73" t="n">
        <f aca="false">I1222*Frais_an/4</f>
        <v>162815.175497487</v>
      </c>
      <c r="J1255" s="73" t="n">
        <f aca="false">J1222*Frais_an/4</f>
        <v>165679.120579618</v>
      </c>
      <c r="K1255" s="73" t="n">
        <f aca="false">K1222*Frais_an/4</f>
        <v>141370.966889046</v>
      </c>
      <c r="L1255" s="73" t="n">
        <f aca="false">L1222*Frais_an/4</f>
        <v>143857.667258167</v>
      </c>
      <c r="M1255" s="73" t="n">
        <f aca="false">M1222*Frais_an/4</f>
        <v>122615.095025027</v>
      </c>
      <c r="N1255" s="73" t="n">
        <f aca="false">N1222*Frais_an/4</f>
        <v>124771.35205821</v>
      </c>
      <c r="O1255" s="73" t="n">
        <f aca="false">O1222*Frais_an/4</f>
        <v>106216.546857681</v>
      </c>
    </row>
    <row r="1256" customFormat="false" ht="15" hidden="false" customHeight="false" outlineLevel="0" collapsed="false">
      <c r="B1256" s="65" t="s">
        <v>1055</v>
      </c>
      <c r="C1256" s="25"/>
      <c r="D1256" s="73" t="n">
        <f aca="false">C1265*Taux_emprunt/4</f>
        <v>0</v>
      </c>
      <c r="E1256" s="73" t="n">
        <f aca="false">D1265*Taux_emprunt/4</f>
        <v>0</v>
      </c>
      <c r="F1256" s="73" t="n">
        <f aca="false">E1265*Taux_emprunt/4</f>
        <v>0</v>
      </c>
      <c r="G1256" s="73" t="n">
        <f aca="false">F1265*Taux_emprunt/4</f>
        <v>0</v>
      </c>
      <c r="H1256" s="73" t="n">
        <f aca="false">G1265*Taux_emprunt/4</f>
        <v>0</v>
      </c>
      <c r="I1256" s="73" t="n">
        <f aca="false">H1265*Taux_emprunt/4</f>
        <v>0</v>
      </c>
      <c r="J1256" s="73" t="n">
        <f aca="false">I1265*Taux_emprunt/4</f>
        <v>0</v>
      </c>
      <c r="K1256" s="73" t="n">
        <f aca="false">J1265*Taux_emprunt/4</f>
        <v>0</v>
      </c>
      <c r="L1256" s="73" t="n">
        <f aca="false">K1265*Taux_emprunt/4</f>
        <v>0</v>
      </c>
      <c r="M1256" s="73" t="n">
        <f aca="false">L1265*Taux_emprunt/4</f>
        <v>0</v>
      </c>
      <c r="N1256" s="73" t="n">
        <f aca="false">M1265*Taux_emprunt/4</f>
        <v>0</v>
      </c>
      <c r="O1256" s="73" t="n">
        <f aca="false">N1265*Taux_emprunt/4</f>
        <v>0</v>
      </c>
    </row>
    <row r="1257" customFormat="false" ht="15" hidden="false" customHeight="false" outlineLevel="0" collapsed="false">
      <c r="B1257" s="65" t="s">
        <v>1056</v>
      </c>
      <c r="C1257" s="25"/>
      <c r="D1257" s="73" t="n">
        <f aca="false">D1250+D1251+D1252-D1253+D1223-D1254-D1255-D1256</f>
        <v>7045000</v>
      </c>
      <c r="E1257" s="73" t="n">
        <f aca="false">E1250+E1251+E1252-E1253+E1223-E1254-E1255-E1256</f>
        <v>405136.84375</v>
      </c>
      <c r="F1257" s="73" t="n">
        <f aca="false">F1250+F1251+F1252-F1253+F1223-F1254-F1255-F1256</f>
        <v>1227855.47054766</v>
      </c>
      <c r="G1257" s="73" t="n">
        <f aca="false">G1250+G1251+G1252-G1253+G1223-G1254-G1255-G1256</f>
        <v>-358851.651401412</v>
      </c>
      <c r="H1257" s="73" t="n">
        <f aca="false">H1250+H1251+H1252-H1253+H1223-H1254-H1255-H1256</f>
        <v>234997.17805053</v>
      </c>
      <c r="I1257" s="73" t="n">
        <f aca="false">I1250+I1251+I1252-I1253+I1223-I1254-I1255-I1256</f>
        <v>-384996.815812837</v>
      </c>
      <c r="J1257" s="73" t="n">
        <f aca="false">J1250+J1251+J1252-J1253+J1223-J1254-J1255-J1256</f>
        <v>12366.041703511</v>
      </c>
      <c r="K1257" s="73" t="n">
        <f aca="false">K1250+K1251+K1252-K1253+K1223-K1254-K1255-K1256</f>
        <v>-408604.308052537</v>
      </c>
      <c r="L1257" s="73" t="n">
        <f aca="false">L1250+L1251+L1252-L1253+L1223-L1254-L1255-L1256</f>
        <v>-196116.299850332</v>
      </c>
      <c r="M1257" s="73" t="n">
        <f aca="false">M1250+M1251+M1252-M1253+M1223-M1254-M1255-M1256</f>
        <v>-430159.505828757</v>
      </c>
      <c r="N1257" s="73" t="n">
        <f aca="false">N1250+N1251+N1252-N1253+N1223-N1254-N1255-N1256</f>
        <v>-372541.660890236</v>
      </c>
      <c r="O1257" s="73" t="n">
        <f aca="false">O1250+O1251+O1252-O1253+O1223-O1254-O1255-O1256</f>
        <v>-449908.588370321</v>
      </c>
    </row>
    <row r="1258" customFormat="false" ht="15" hidden="false" customHeight="false" outlineLevel="0" collapsed="false">
      <c r="B1258" s="65" t="s">
        <v>1057</v>
      </c>
      <c r="C1258" s="25"/>
      <c r="D1258" s="73" t="n">
        <f aca="false">MIN(D1248+D1249,MAX(0,Liq_cible*D1222-(D1257-D1232)))</f>
        <v>1194375</v>
      </c>
      <c r="E1258" s="73" t="n">
        <f aca="false">MIN(E1248+E1249,MAX(0,Liq_cible*E1222-(E1257-E1232)))</f>
        <v>1151504.59375</v>
      </c>
      <c r="F1258" s="73" t="n">
        <f aca="false">MIN(F1248+F1249,MAX(0,Liq_cible*F1222-(F1257-F1232)))</f>
        <v>1110224.7562875</v>
      </c>
      <c r="G1258" s="73" t="n">
        <f aca="false">MIN(G1248+G1249,MAX(0,Liq_cible*G1222-(G1257-G1232)))</f>
        <v>946870.310552359</v>
      </c>
      <c r="H1258" s="73" t="n">
        <f aca="false">MIN(H1248+H1249,MAX(0,Liq_cible*H1222-(H1257-H1232)))</f>
        <v>935750.569165327</v>
      </c>
      <c r="I1258" s="73" t="n">
        <f aca="false">MIN(I1248+I1249,MAX(0,Liq_cible*I1222-(I1257-I1232)))</f>
        <v>776204.511632002</v>
      </c>
      <c r="J1258" s="73" t="n">
        <f aca="false">MIN(J1248+J1249,MAX(0,Liq_cible*J1222-(J1257-J1232)))</f>
        <v>748397.512840748</v>
      </c>
      <c r="K1258" s="73" t="n">
        <f aca="false">MIN(K1248+K1249,MAX(0,Liq_cible*K1222-(K1257-K1232)))</f>
        <v>614716.853956011</v>
      </c>
      <c r="L1258" s="73" t="n">
        <f aca="false">MIN(L1248+L1249,MAX(0,Liq_cible*L1222-(L1257-L1232)))</f>
        <v>592755.08823223</v>
      </c>
      <c r="M1258" s="73" t="n">
        <f aca="false">MIN(M1248+M1249,MAX(0,Liq_cible*M1222-(M1257-M1232)))</f>
        <v>481244.277512793</v>
      </c>
      <c r="N1258" s="73" t="n">
        <f aca="false">MIN(N1248+N1249,MAX(0,Liq_cible*N1222-(N1257-N1232)))</f>
        <v>464098.27592658</v>
      </c>
      <c r="O1258" s="73" t="n">
        <f aca="false">MIN(O1248+O1249,MAX(0,Liq_cible*O1222-(O1257-O1232)))</f>
        <v>371971.413055032</v>
      </c>
    </row>
    <row r="1259" customFormat="false" ht="15" hidden="false" customHeight="false" outlineLevel="0" collapsed="false">
      <c r="B1259" s="65" t="s">
        <v>1058</v>
      </c>
      <c r="C1259" s="25"/>
      <c r="D1259" s="73" t="n">
        <f aca="false">D1257-D1232+D1258</f>
        <v>739375</v>
      </c>
      <c r="E1259" s="73" t="n">
        <f aca="false">E1257-E1232+E1258</f>
        <v>1556641.4375</v>
      </c>
      <c r="F1259" s="73" t="n">
        <f aca="false">F1257-F1232+F1258</f>
        <v>-4234455.03015703</v>
      </c>
      <c r="G1259" s="73" t="n">
        <f aca="false">G1257-G1232+G1258</f>
        <v>588018.659150947</v>
      </c>
      <c r="H1259" s="73" t="n">
        <f aca="false">H1257-H1232+H1258</f>
        <v>-4548208.03997032</v>
      </c>
      <c r="I1259" s="73" t="n">
        <f aca="false">I1257-I1232+I1258</f>
        <v>391207.695819165</v>
      </c>
      <c r="J1259" s="73" t="n">
        <f aca="false">J1257-J1232+J1258</f>
        <v>-4209610.06284429</v>
      </c>
      <c r="K1259" s="73" t="n">
        <f aca="false">K1257-K1232+K1258</f>
        <v>206112.545903474</v>
      </c>
      <c r="L1259" s="73" t="n">
        <f aca="false">L1257-L1232+L1258</f>
        <v>-3919091.22936312</v>
      </c>
      <c r="M1259" s="73" t="n">
        <f aca="false">M1257-M1232+M1258</f>
        <v>51084.7716840364</v>
      </c>
      <c r="N1259" s="73" t="n">
        <f aca="false">N1257-N1232+N1258</f>
        <v>-3651583.94670996</v>
      </c>
      <c r="O1259" s="73" t="n">
        <f aca="false">O1257-O1232+O1258</f>
        <v>-77937.1753152896</v>
      </c>
    </row>
    <row r="1260" customFormat="false" ht="15" hidden="false" customHeight="false" outlineLevel="0" collapsed="false">
      <c r="B1260" s="65" t="s">
        <v>1059</v>
      </c>
      <c r="C1260" s="25"/>
      <c r="D1260" s="73" t="n">
        <f aca="false">MIN(MAX(0,MIN($U$20*AN_cible,Emprunt_max*D1222)-C1265),MAX(0,IF($U$20&gt;0,Poche_min_exec*D1222,0)-D1259))-IF(D1259&gt;Liq_cible*D1222,MIN(C1265,D1259-Liq_cible*D1222),0)</f>
        <v>0</v>
      </c>
      <c r="E1260" s="73" t="n">
        <f aca="false">MIN(MAX(0,MIN($U$20*AN_cible,Emprunt_max*E1222)-D1265),MAX(0,IF($U$20&gt;0,Poche_min_exec*E1222,0)-E1259))-IF(E1259&gt;Liq_cible*E1222,MIN(D1265,E1259-Liq_cible*E1222),0)</f>
        <v>0</v>
      </c>
      <c r="F1260" s="73" t="n">
        <f aca="false">MIN(MAX(0,MIN($U$20*AN_cible,Emprunt_max*F1222)-E1265),MAX(0,IF($U$20&gt;0,Poche_min_exec*F1222,0)-F1259))-IF(F1259&gt;Liq_cible*F1222,MIN(E1265,F1259-Liq_cible*F1222),0)</f>
        <v>0</v>
      </c>
      <c r="G1260" s="73" t="n">
        <f aca="false">MIN(MAX(0,MIN($U$20*AN_cible,Emprunt_max*G1222)-F1265),MAX(0,IF($U$20&gt;0,Poche_min_exec*G1222,0)-G1259))-IF(G1259&gt;Liq_cible*G1222,MIN(F1265,G1259-Liq_cible*G1222),0)</f>
        <v>0</v>
      </c>
      <c r="H1260" s="73" t="n">
        <f aca="false">MIN(MAX(0,MIN($U$20*AN_cible,Emprunt_max*H1222)-G1265),MAX(0,IF($U$20&gt;0,Poche_min_exec*H1222,0)-H1259))-IF(H1259&gt;Liq_cible*H1222,MIN(G1265,H1259-Liq_cible*H1222),0)</f>
        <v>0</v>
      </c>
      <c r="I1260" s="73" t="n">
        <f aca="false">MIN(MAX(0,MIN($U$20*AN_cible,Emprunt_max*I1222)-H1265),MAX(0,IF($U$20&gt;0,Poche_min_exec*I1222,0)-I1259))-IF(I1259&gt;Liq_cible*I1222,MIN(H1265,I1259-Liq_cible*I1222),0)</f>
        <v>0</v>
      </c>
      <c r="J1260" s="73" t="n">
        <f aca="false">MIN(MAX(0,MIN($U$20*AN_cible,Emprunt_max*J1222)-I1265),MAX(0,IF($U$20&gt;0,Poche_min_exec*J1222,0)-J1259))-IF(J1259&gt;Liq_cible*J1222,MIN(I1265,J1259-Liq_cible*J1222),0)</f>
        <v>0</v>
      </c>
      <c r="K1260" s="73" t="n">
        <f aca="false">MIN(MAX(0,MIN($U$20*AN_cible,Emprunt_max*K1222)-J1265),MAX(0,IF($U$20&gt;0,Poche_min_exec*K1222,0)-K1259))-IF(K1259&gt;Liq_cible*K1222,MIN(J1265,K1259-Liq_cible*K1222),0)</f>
        <v>0</v>
      </c>
      <c r="L1260" s="73" t="n">
        <f aca="false">MIN(MAX(0,MIN($U$20*AN_cible,Emprunt_max*L1222)-K1265),MAX(0,IF($U$20&gt;0,Poche_min_exec*L1222,0)-L1259))-IF(L1259&gt;Liq_cible*L1222,MIN(K1265,L1259-Liq_cible*L1222),0)</f>
        <v>0</v>
      </c>
      <c r="M1260" s="73" t="n">
        <f aca="false">MIN(MAX(0,MIN($U$20*AN_cible,Emprunt_max*M1222)-L1265),MAX(0,IF($U$20&gt;0,Poche_min_exec*M1222,0)-M1259))-IF(M1259&gt;Liq_cible*M1222,MIN(L1265,M1259-Liq_cible*M1222),0)</f>
        <v>0</v>
      </c>
      <c r="N1260" s="73" t="n">
        <f aca="false">MIN(MAX(0,MIN($U$20*AN_cible,Emprunt_max*N1222)-M1265),MAX(0,IF($U$20&gt;0,Poche_min_exec*N1222,0)-N1259))-IF(N1259&gt;Liq_cible*N1222,MIN(M1265,N1259-Liq_cible*N1222),0)</f>
        <v>0</v>
      </c>
      <c r="O1260" s="73" t="n">
        <f aca="false">MIN(MAX(0,MIN($U$20*AN_cible,Emprunt_max*O1222)-N1265),MAX(0,IF($U$20&gt;0,Poche_min_exec*O1222,0)-O1259))-IF(O1259&gt;Liq_cible*O1222,MIN(N1265,O1259-Liq_cible*O1222),0)</f>
        <v>0</v>
      </c>
    </row>
    <row r="1261" customFormat="false" ht="15" hidden="false" customHeight="false" outlineLevel="0" collapsed="false">
      <c r="B1261" s="65" t="s">
        <v>1060</v>
      </c>
      <c r="C1261" s="25"/>
      <c r="D1261" s="73" t="n">
        <f aca="false">MIN((C1236+C1237+C1238+C1239),MAX(0,-(D1259+D1260))/(1-Decote))</f>
        <v>0</v>
      </c>
      <c r="E1261" s="73" t="n">
        <f aca="false">MIN((D1236+D1237+D1238+D1239),MAX(0,-(E1259+E1260))/(1-Decote))</f>
        <v>0</v>
      </c>
      <c r="F1261" s="73" t="n">
        <f aca="false">MIN((E1236+E1237+E1238+E1239),MAX(0,-(F1259+F1260))/(1-Decote))</f>
        <v>4704950.03350781</v>
      </c>
      <c r="G1261" s="73" t="n">
        <f aca="false">MIN((F1236+F1237+F1238+F1239),MAX(0,-(G1259+G1260))/(1-Decote))</f>
        <v>0</v>
      </c>
      <c r="H1261" s="73" t="n">
        <f aca="false">MIN((G1236+G1237+G1238+G1239),MAX(0,-(H1259+H1260))/(1-Decote))</f>
        <v>5053564.48885591</v>
      </c>
      <c r="I1261" s="73" t="n">
        <f aca="false">MIN((H1236+H1237+H1238+H1239),MAX(0,-(I1259+I1260))/(1-Decote))</f>
        <v>0</v>
      </c>
      <c r="J1261" s="73" t="n">
        <f aca="false">MIN((I1236+I1237+I1238+I1239),MAX(0,-(J1259+J1260))/(1-Decote))</f>
        <v>4677344.51427143</v>
      </c>
      <c r="K1261" s="73" t="n">
        <f aca="false">MIN((J1236+J1237+J1238+J1239),MAX(0,-(K1259+K1260))/(1-Decote))</f>
        <v>0</v>
      </c>
      <c r="L1261" s="73" t="n">
        <f aca="false">MIN((K1236+K1237+K1238+K1239),MAX(0,-(L1259+L1260))/(1-Decote))</f>
        <v>4354545.81040347</v>
      </c>
      <c r="M1261" s="73" t="n">
        <f aca="false">MIN((L1236+L1237+L1238+L1239),MAX(0,-(M1259+M1260))/(1-Decote))</f>
        <v>0</v>
      </c>
      <c r="N1261" s="73" t="n">
        <f aca="false">MIN((M1236+M1237+M1238+M1239),MAX(0,-(N1259+N1260))/(1-Decote))</f>
        <v>4057315.4963444</v>
      </c>
      <c r="O1261" s="73" t="n">
        <f aca="false">MIN((N1236+N1237+N1238+N1239),MAX(0,-(O1259+O1260))/(1-Decote))</f>
        <v>86596.8614614329</v>
      </c>
    </row>
    <row r="1262" customFormat="false" ht="15" hidden="false" customHeight="false" outlineLevel="0" collapsed="false">
      <c r="B1262" s="65" t="s">
        <v>1061</v>
      </c>
      <c r="C1262" s="25"/>
      <c r="D1262" s="73" t="n">
        <f aca="false">D1261*Decote</f>
        <v>0</v>
      </c>
      <c r="E1262" s="73" t="n">
        <f aca="false">E1261*Decote</f>
        <v>0</v>
      </c>
      <c r="F1262" s="73" t="n">
        <f aca="false">F1261*Decote</f>
        <v>470495.003350781</v>
      </c>
      <c r="G1262" s="73" t="n">
        <f aca="false">G1261*Decote</f>
        <v>0</v>
      </c>
      <c r="H1262" s="73" t="n">
        <f aca="false">H1261*Decote</f>
        <v>505356.448885591</v>
      </c>
      <c r="I1262" s="73" t="n">
        <f aca="false">I1261*Decote</f>
        <v>0</v>
      </c>
      <c r="J1262" s="73" t="n">
        <f aca="false">J1261*Decote</f>
        <v>467734.451427143</v>
      </c>
      <c r="K1262" s="73" t="n">
        <f aca="false">K1261*Decote</f>
        <v>0</v>
      </c>
      <c r="L1262" s="73" t="n">
        <f aca="false">L1261*Decote</f>
        <v>435454.581040347</v>
      </c>
      <c r="M1262" s="73" t="n">
        <f aca="false">M1261*Decote</f>
        <v>0</v>
      </c>
      <c r="N1262" s="73" t="n">
        <f aca="false">N1261*Decote</f>
        <v>405731.549634441</v>
      </c>
      <c r="O1262" s="73" t="n">
        <f aca="false">O1261*Decote</f>
        <v>8659.68614614329</v>
      </c>
    </row>
    <row r="1263" customFormat="false" ht="15" hidden="false" customHeight="false" outlineLevel="0" collapsed="false">
      <c r="B1263" s="65" t="s">
        <v>1062</v>
      </c>
      <c r="C1263" s="25"/>
      <c r="D1263" s="73" t="n">
        <f aca="false">IF(AND(D1233&lt;0.000001,C1265+D1260&lt;0.000001),MAX(0,D1259+D1260-Seuil_reinv*D1222),0)</f>
        <v>0</v>
      </c>
      <c r="E1263" s="73" t="n">
        <f aca="false">IF(AND(E1233&lt;0.000001,D1265+E1260&lt;0.000001),MAX(0,E1259+E1260-Seuil_reinv*E1222),0)</f>
        <v>0</v>
      </c>
      <c r="F1263" s="73" t="n">
        <f aca="false">IF(AND(F1233&lt;0.000001,E1265+F1260&lt;0.000001),MAX(0,F1259+F1260-Seuil_reinv*F1222),0)</f>
        <v>0</v>
      </c>
      <c r="G1263" s="73" t="n">
        <f aca="false">IF(AND(G1233&lt;0.000001,F1265+G1260&lt;0.000001),MAX(0,G1259+G1260-Seuil_reinv*G1222),0)</f>
        <v>0</v>
      </c>
      <c r="H1263" s="73" t="n">
        <f aca="false">IF(AND(H1233&lt;0.000001,G1265+H1260&lt;0.000001),MAX(0,H1259+H1260-Seuil_reinv*H1222),0)</f>
        <v>0</v>
      </c>
      <c r="I1263" s="73" t="n">
        <f aca="false">IF(AND(I1233&lt;0.000001,H1265+I1260&lt;0.000001),MAX(0,I1259+I1260-Seuil_reinv*I1222),0)</f>
        <v>0</v>
      </c>
      <c r="J1263" s="73" t="n">
        <f aca="false">IF(AND(J1233&lt;0.000001,I1265+J1260&lt;0.000001),MAX(0,J1259+J1260-Seuil_reinv*J1222),0)</f>
        <v>0</v>
      </c>
      <c r="K1263" s="73" t="n">
        <f aca="false">IF(AND(K1233&lt;0.000001,J1265+K1260&lt;0.000001),MAX(0,K1259+K1260-Seuil_reinv*K1222),0)</f>
        <v>0</v>
      </c>
      <c r="L1263" s="73" t="n">
        <f aca="false">IF(AND(L1233&lt;0.000001,K1265+L1260&lt;0.000001),MAX(0,L1259+L1260-Seuil_reinv*L1222),0)</f>
        <v>0</v>
      </c>
      <c r="M1263" s="73" t="n">
        <f aca="false">IF(AND(M1233&lt;0.000001,L1265+M1260&lt;0.000001),MAX(0,M1259+M1260-Seuil_reinv*M1222),0)</f>
        <v>0</v>
      </c>
      <c r="N1263" s="73" t="n">
        <f aca="false">IF(AND(N1233&lt;0.000001,M1265+N1260&lt;0.000001),MAX(0,N1259+N1260-Seuil_reinv*N1222),0)</f>
        <v>0</v>
      </c>
      <c r="O1263" s="73" t="n">
        <f aca="false">IF(AND(O1233&lt;0.000001,N1265+O1260&lt;0.000001),MAX(0,O1259+O1260-Seuil_reinv*O1222),0)</f>
        <v>0</v>
      </c>
    </row>
    <row r="1264" customFormat="false" ht="15" hidden="false" customHeight="false" outlineLevel="0" collapsed="false">
      <c r="B1264" s="65" t="s">
        <v>1063</v>
      </c>
      <c r="C1264" s="73" t="n">
        <f aca="false">AN_cible*Ws_LIQ</f>
        <v>7500000</v>
      </c>
      <c r="D1264" s="73" t="n">
        <f aca="false">D1259+D1260+D1261-D1262-D1263</f>
        <v>739375</v>
      </c>
      <c r="E1264" s="73" t="n">
        <f aca="false">E1259+E1260+E1261-E1262-E1263</f>
        <v>1556641.4375</v>
      </c>
      <c r="F1264" s="73" t="n">
        <f aca="false">F1259+F1260+F1261-F1262-F1263</f>
        <v>0</v>
      </c>
      <c r="G1264" s="73" t="n">
        <f aca="false">G1259+G1260+G1261-G1262-G1263</f>
        <v>588018.659150947</v>
      </c>
      <c r="H1264" s="73" t="n">
        <f aca="false">H1259+H1260+H1261-H1262-H1263</f>
        <v>0</v>
      </c>
      <c r="I1264" s="73" t="n">
        <f aca="false">I1259+I1260+I1261-I1262-I1263</f>
        <v>391207.695819165</v>
      </c>
      <c r="J1264" s="73" t="n">
        <f aca="false">J1259+J1260+J1261-J1262-J1263</f>
        <v>0</v>
      </c>
      <c r="K1264" s="73" t="n">
        <f aca="false">K1259+K1260+K1261-K1262-K1263</f>
        <v>206112.545903474</v>
      </c>
      <c r="L1264" s="73" t="n">
        <f aca="false">L1259+L1260+L1261-L1262-L1263</f>
        <v>0</v>
      </c>
      <c r="M1264" s="73" t="n">
        <f aca="false">M1259+M1260+M1261-M1262-M1263</f>
        <v>51084.7716840364</v>
      </c>
      <c r="N1264" s="73" t="n">
        <f aca="false">N1259+N1260+N1261-N1262-N1263</f>
        <v>0</v>
      </c>
      <c r="O1264" s="73" t="n">
        <f aca="false">O1259+O1260+O1261-O1262-O1263</f>
        <v>0</v>
      </c>
    </row>
    <row r="1265" customFormat="false" ht="15" hidden="false" customHeight="false" outlineLevel="0" collapsed="false">
      <c r="B1265" s="65" t="s">
        <v>1064</v>
      </c>
      <c r="C1265" s="73" t="n">
        <v>0</v>
      </c>
      <c r="D1265" s="73" t="n">
        <f aca="false">C1265+D1260</f>
        <v>0</v>
      </c>
      <c r="E1265" s="73" t="n">
        <f aca="false">D1265+E1260</f>
        <v>0</v>
      </c>
      <c r="F1265" s="73" t="n">
        <f aca="false">E1265+F1260</f>
        <v>0</v>
      </c>
      <c r="G1265" s="73" t="n">
        <f aca="false">F1265+G1260</f>
        <v>0</v>
      </c>
      <c r="H1265" s="73" t="n">
        <f aca="false">G1265+H1260</f>
        <v>0</v>
      </c>
      <c r="I1265" s="73" t="n">
        <f aca="false">H1265+I1260</f>
        <v>0</v>
      </c>
      <c r="J1265" s="73" t="n">
        <f aca="false">I1265+J1260</f>
        <v>0</v>
      </c>
      <c r="K1265" s="73" t="n">
        <f aca="false">J1265+K1260</f>
        <v>0</v>
      </c>
      <c r="L1265" s="73" t="n">
        <f aca="false">K1265+L1260</f>
        <v>0</v>
      </c>
      <c r="M1265" s="73" t="n">
        <f aca="false">L1265+M1260</f>
        <v>0</v>
      </c>
      <c r="N1265" s="73" t="n">
        <f aca="false">M1265+N1260</f>
        <v>0</v>
      </c>
      <c r="O1265" s="73" t="n">
        <f aca="false">N1265+O1260</f>
        <v>0</v>
      </c>
    </row>
    <row r="1266" customFormat="false" ht="15" hidden="false" customHeight="false" outlineLevel="0" collapsed="false">
      <c r="B1266" s="74" t="s">
        <v>1065</v>
      </c>
      <c r="C1266" s="73" t="n">
        <f aca="false">C1236+C1237+C1238+C1239+C1264-C1265</f>
        <v>50000000</v>
      </c>
      <c r="D1266" s="73" t="n">
        <f aca="false">D1236+D1237+D1238+D1239+D1264-D1265</f>
        <v>43100643.75</v>
      </c>
      <c r="E1266" s="73" t="n">
        <f aca="false">E1236+E1237+E1238+E1239+E1264-E1265</f>
        <v>43816901.7132813</v>
      </c>
      <c r="F1266" s="73" t="n">
        <f aca="false">F1236+F1237+F1238+F1239+F1264-F1265</f>
        <v>37490793.5033112</v>
      </c>
      <c r="G1266" s="73" t="n">
        <f aca="false">G1236+G1237+G1238+G1239+G1264-G1265</f>
        <v>38126371.9145745</v>
      </c>
      <c r="H1266" s="73" t="n">
        <f aca="false">H1236+H1237+H1238+H1239+H1264-H1265</f>
        <v>32563035.0994973</v>
      </c>
      <c r="I1266" s="73" t="n">
        <f aca="false">I1236+I1237+I1238+I1239+I1264-I1265</f>
        <v>33135824.1159236</v>
      </c>
      <c r="J1266" s="73" t="n">
        <f aca="false">J1236+J1237+J1238+J1239+J1264-J1265</f>
        <v>28274193.3778093</v>
      </c>
      <c r="K1266" s="73" t="n">
        <f aca="false">K1236+K1237+K1238+K1239+K1264-K1265</f>
        <v>28771533.4516335</v>
      </c>
      <c r="L1266" s="73" t="n">
        <f aca="false">L1236+L1237+L1238+L1239+L1264-L1265</f>
        <v>24523019.0050055</v>
      </c>
      <c r="M1266" s="73" t="n">
        <f aca="false">M1236+M1237+M1238+M1239+M1264-M1265</f>
        <v>24954270.4116421</v>
      </c>
      <c r="N1266" s="73" t="n">
        <f aca="false">N1236+N1237+N1238+N1239+N1264-N1265</f>
        <v>21243309.3715362</v>
      </c>
      <c r="O1266" s="73" t="n">
        <f aca="false">O1236+O1237+O1238+O1239+O1264-O1265</f>
        <v>21608051.0674503</v>
      </c>
    </row>
    <row r="1267" customFormat="false" ht="15" hidden="false" customHeight="false" outlineLevel="0" collapsed="false">
      <c r="B1267" s="65" t="s">
        <v>1066</v>
      </c>
      <c r="C1267" s="72" t="n">
        <f aca="false">IF((C1266+C1265)&gt;0,C1264/(C1266+C1265),0)</f>
        <v>0.15</v>
      </c>
      <c r="D1267" s="72" t="n">
        <f aca="false">IF((D1266+D1265)&gt;0,D1264/(D1266+D1265),0)</f>
        <v>0.0171546161651008</v>
      </c>
      <c r="E1267" s="72" t="n">
        <f aca="false">IF((E1266+E1265)&gt;0,E1264/(E1266+E1265),0)</f>
        <v>0.0355260499175863</v>
      </c>
      <c r="F1267" s="72" t="n">
        <f aca="false">IF((F1266+F1265)&gt;0,F1264/(F1266+F1265),0)</f>
        <v>0</v>
      </c>
      <c r="G1267" s="72" t="n">
        <f aca="false">IF((G1266+G1265)&gt;0,G1264/(G1266+G1265),0)</f>
        <v>0.0154228852529806</v>
      </c>
      <c r="H1267" s="72" t="n">
        <f aca="false">IF((H1266+H1265)&gt;0,H1264/(H1266+H1265),0)</f>
        <v>0</v>
      </c>
      <c r="I1267" s="72" t="n">
        <f aca="false">IF((I1266+I1265)&gt;0,I1264/(I1266+I1265),0)</f>
        <v>0.0118061857900546</v>
      </c>
      <c r="J1267" s="72" t="n">
        <f aca="false">IF((J1266+J1265)&gt;0,J1264/(J1266+J1265),0)</f>
        <v>0</v>
      </c>
      <c r="K1267" s="72" t="n">
        <f aca="false">IF((K1266+K1265)&gt;0,K1264/(K1266+K1265),0)</f>
        <v>0.00716376644470342</v>
      </c>
      <c r="L1267" s="72" t="n">
        <f aca="false">IF((L1266+L1265)&gt;0,L1264/(L1266+L1265),0)</f>
        <v>0</v>
      </c>
      <c r="M1267" s="72" t="n">
        <f aca="false">IF((M1266+M1265)&gt;0,M1264/(M1266+M1265),0)</f>
        <v>0.00204713545382611</v>
      </c>
      <c r="N1267" s="72" t="n">
        <f aca="false">IF((N1266+N1265)&gt;0,N1264/(N1266+N1265),0)</f>
        <v>0</v>
      </c>
      <c r="O1267" s="72" t="n">
        <f aca="false">IF((O1266+O1265)&gt;0,O1264/(O1266+O1265),0)</f>
        <v>0</v>
      </c>
    </row>
    <row r="1268" customFormat="false" ht="15" hidden="false" customHeight="false" outlineLevel="0" collapsed="false">
      <c r="B1268" s="65" t="s">
        <v>1067</v>
      </c>
      <c r="C1268" s="72" t="n">
        <f aca="false">0</f>
        <v>0</v>
      </c>
      <c r="D1268" s="72" t="n">
        <f aca="false">IF(D1266&gt;0,D1233/D1266,0)</f>
        <v>0</v>
      </c>
      <c r="E1268" s="72" t="n">
        <f aca="false">IF(E1266&gt;0,E1233/E1266,0)</f>
        <v>0</v>
      </c>
      <c r="F1268" s="72" t="n">
        <f aca="false">IF(F1266&gt;0,F1233/F1266,0)</f>
        <v>0</v>
      </c>
      <c r="G1268" s="72" t="n">
        <f aca="false">IF(G1266&gt;0,G1233/G1266,0)</f>
        <v>0</v>
      </c>
      <c r="H1268" s="72" t="n">
        <f aca="false">IF(H1266&gt;0,H1233/H1266,0)</f>
        <v>0</v>
      </c>
      <c r="I1268" s="72" t="n">
        <f aca="false">IF(I1266&gt;0,I1233/I1266,0)</f>
        <v>0</v>
      </c>
      <c r="J1268" s="72" t="n">
        <f aca="false">IF(J1266&gt;0,J1233/J1266,0)</f>
        <v>0</v>
      </c>
      <c r="K1268" s="72" t="n">
        <f aca="false">IF(K1266&gt;0,K1233/K1266,0)</f>
        <v>0</v>
      </c>
      <c r="L1268" s="72" t="n">
        <f aca="false">IF(L1266&gt;0,L1233/L1266,0)</f>
        <v>0</v>
      </c>
      <c r="M1268" s="72" t="n">
        <f aca="false">IF(M1266&gt;0,M1233/M1266,0)</f>
        <v>0</v>
      </c>
      <c r="N1268" s="72" t="n">
        <f aca="false">IF(N1266&gt;0,N1233/N1266,0)</f>
        <v>0</v>
      </c>
      <c r="O1268" s="72" t="n">
        <f aca="false">IF(O1266&gt;0,O1233/O1266,0)</f>
        <v>0</v>
      </c>
    </row>
    <row r="1269" customFormat="false" ht="15" hidden="false" customHeight="false" outlineLevel="0" collapsed="false">
      <c r="B1269" s="65" t="s">
        <v>1068</v>
      </c>
      <c r="C1269" s="75" t="n">
        <f aca="false">IF((C1233+SUM(D1224:G1224)+SUM(D1254:G1254)+SUM(D1255:G1255)+SUM(D1253:G1253))&lt;=0,9.99,MIN(9.99,(C1264+SUM(D1252:G1252)+SUM(D1248:G1249)+MAX(0,MIN($U$20*AN_cible,Emprunt_max*C1266)-C1265))/(C1233+SUM(D1224:G1224)+SUM(D1254:G1254)+SUM(D1255:G1255)+SUM(D1253:G1253))))</f>
        <v>0.78897263810582</v>
      </c>
      <c r="D1269" s="73" t="n">
        <f aca="false">IF((D1233+SUM(E1224:H1224)+SUM(E1254:H1254)+SUM(E1255:H1255)+SUM(E1253:H1253))&lt;=0,9.99,MIN(9.99,(D1264+SUM(E1252:H1252)+SUM(E1248:H1249)+MAX(0,MIN($U$20*AN_cible,Emprunt_max*D1266)-D1265))/(D1233+SUM(E1224:H1224)+SUM(E1254:H1254)+SUM(E1255:H1255)+SUM(E1253:H1253))))</f>
        <v>0.436003879997528</v>
      </c>
      <c r="E1269" s="73" t="n">
        <f aca="false">IF((E1233+SUM(F1224:I1224)+SUM(F1254:I1254)+SUM(F1255:I1255)+SUM(F1253:I1253))&lt;=0,9.99,MIN(9.99,(E1264+SUM(F1252:I1252)+SUM(F1248:I1249)+MAX(0,MIN($U$20*AN_cible,Emprunt_max*E1266)-E1265))/(E1233+SUM(F1224:I1224)+SUM(F1254:I1254)+SUM(F1255:I1255)+SUM(F1253:I1253))))</f>
        <v>0.459545884919158</v>
      </c>
      <c r="F1269" s="73" t="n">
        <f aca="false">IF((F1233+SUM(G1224:J1224)+SUM(G1254:J1254)+SUM(G1255:J1255)+SUM(G1253:J1253))&lt;=0,9.99,MIN(9.99,(F1264+SUM(G1252:J1252)+SUM(G1248:J1249)+MAX(0,MIN($U$20*AN_cible,Emprunt_max*F1266)-F1265))/(F1233+SUM(G1224:J1224)+SUM(G1254:J1254)+SUM(G1255:J1255)+SUM(G1253:J1253))))</f>
        <v>0.369315247048984</v>
      </c>
      <c r="G1269" s="73" t="n">
        <f aca="false">IF((G1233+SUM(H1224:K1224)+SUM(H1254:K1254)+SUM(H1255:K1255)+SUM(H1253:K1253))&lt;=0,9.99,MIN(9.99,(G1264+SUM(H1252:K1252)+SUM(H1248:K1249)+MAX(0,MIN($U$20*AN_cible,Emprunt_max*G1266)-G1265))/(G1233+SUM(H1224:K1224)+SUM(H1254:K1254)+SUM(H1255:K1255)+SUM(H1253:K1253))))</f>
        <v>0.382098706805022</v>
      </c>
      <c r="H1269" s="73" t="n">
        <f aca="false">IF((H1233+SUM(I1224:L1224)+SUM(I1254:L1254)+SUM(I1255:L1255)+SUM(I1253:L1253))&lt;=0,9.99,MIN(9.99,(H1264+SUM(I1252:L1252)+SUM(I1248:L1249)+MAX(0,MIN($U$20*AN_cible,Emprunt_max*H1266)-H1265))/(H1233+SUM(I1224:L1224)+SUM(I1254:L1254)+SUM(I1255:L1255)+SUM(I1253:L1253))))</f>
        <v>0.34414933137547</v>
      </c>
      <c r="I1269" s="73" t="n">
        <f aca="false">IF((I1233+SUM(J1224:M1224)+SUM(J1254:M1254)+SUM(J1255:M1255)+SUM(J1253:M1253))&lt;=0,9.99,MIN(9.99,(I1264+SUM(J1252:M1252)+SUM(J1248:M1249)+MAX(0,MIN($U$20*AN_cible,Emprunt_max*I1266)-I1265))/(I1233+SUM(J1224:M1224)+SUM(J1254:M1254)+SUM(J1255:M1255)+SUM(J1253:M1253))))</f>
        <v>0.346149353144546</v>
      </c>
      <c r="J1269" s="73" t="n">
        <f aca="false">IF((J1233+SUM(K1224:N1224)+SUM(K1254:N1254)+SUM(K1255:N1255)+SUM(K1253:N1253))&lt;=0,9.99,MIN(9.99,(J1264+SUM(K1252:N1252)+SUM(K1248:N1249)+MAX(0,MIN($U$20*AN_cible,Emprunt_max*J1266)-J1265))/(J1233+SUM(K1224:N1224)+SUM(K1254:N1254)+SUM(K1255:N1255)+SUM(K1253:N1253))))</f>
        <v>0.317288694144582</v>
      </c>
      <c r="K1269" s="73" t="n">
        <f aca="false">IF((K1233+SUM(L1224:O1224)+SUM(L1254:O1254)+SUM(L1255:O1255)+SUM(L1253:O1253))&lt;=0,9.99,MIN(9.99,(K1264+SUM(L1252:O1252)+SUM(L1248:O1249)+MAX(0,MIN($U$20*AN_cible,Emprunt_max*K1266)-K1265))/(K1233+SUM(L1224:O1224)+SUM(L1254:O1254)+SUM(L1255:O1255)+SUM(L1253:O1253))))</f>
        <v>0.308068864066922</v>
      </c>
      <c r="L1269" s="73" t="n">
        <f aca="false">IF((L1233+SUM(M1224:O1224)+SUM(M1254:O1254)+SUM(M1255:O1255)+SUM(M1253:O1253))&lt;=0,9.99,MIN(9.99,(L1264+SUM(M1252:O1252)+SUM(M1248:O1249)+MAX(0,MIN($U$20*AN_cible,Emprunt_max*L1266)-L1265))/(L1233+SUM(M1224:O1224)+SUM(M1254:O1254)+SUM(M1255:O1255)+SUM(M1253:O1253))))</f>
        <v>0.375418524411327</v>
      </c>
      <c r="M1269" s="73" t="n">
        <f aca="false">IF((M1233+SUM(N1224:O1224)+SUM(N1254:O1254)+SUM(N1255:O1255)+SUM(N1253:O1253))&lt;=0,9.99,MIN(9.99,(M1264+SUM(N1252:O1252)+SUM(N1248:O1249)+MAX(0,MIN($U$20*AN_cible,Emprunt_max*M1266)-M1265))/(M1233+SUM(N1224:O1224)+SUM(N1254:O1254)+SUM(N1255:O1255)+SUM(N1253:O1253))))</f>
        <v>0.286035856519598</v>
      </c>
      <c r="N1269" s="73" t="n">
        <f aca="false">IF((N1233+SUM(O1224:O1224)+SUM(O1254:O1254)+SUM(O1255:O1255)+SUM(O1253:O1253))&lt;=0,9.99,MIN(9.99,(N1264+SUM(O1252:O1252)+SUM(O1248:O1249)+MAX(0,MIN($U$20*AN_cible,Emprunt_max*N1266)-N1265))/(N1233+SUM(O1224:O1224)+SUM(O1254:O1254)+SUM(O1255:O1255)+SUM(O1253:O1253))))</f>
        <v>0.893414371364795</v>
      </c>
      <c r="O1269" s="73" t="n">
        <f aca="false">9.99</f>
        <v>9.99</v>
      </c>
    </row>
    <row r="1270" customFormat="false" ht="15" hidden="false" customHeight="false" outlineLevel="0" collapsed="false">
      <c r="B1270" s="65" t="s">
        <v>1069</v>
      </c>
      <c r="C1270" s="72" t="n">
        <f aca="false">(C1236+C1237+C1238+C1239+C1244+C1245)/C1266</f>
        <v>1</v>
      </c>
      <c r="D1270" s="72" t="n">
        <f aca="false">(D1236+D1237+D1238+D1239+D1244+D1245)/D1266</f>
        <v>1.14235576237768</v>
      </c>
      <c r="E1270" s="72" t="n">
        <f aca="false">(E1236+E1237+E1238+E1239+E1244+E1245)/E1266</f>
        <v>1.10711297191233</v>
      </c>
      <c r="F1270" s="72" t="n">
        <f aca="false">(F1236+F1237+F1238+F1239+F1244+F1245)/F1266</f>
        <v>1.15003683503</v>
      </c>
      <c r="G1270" s="72" t="n">
        <f aca="false">(G1236+G1237+G1238+G1239+G1244+G1245)/G1266</f>
        <v>1.11571993660279</v>
      </c>
      <c r="H1270" s="72" t="n">
        <f aca="false">(H1236+H1237+H1238+H1239+H1244+H1245)/H1266</f>
        <v>1.13435479790603</v>
      </c>
      <c r="I1270" s="72" t="n">
        <f aca="false">(I1236+I1237+I1238+I1239+I1244+I1245)/I1266</f>
        <v>1.10136438111303</v>
      </c>
      <c r="J1270" s="72" t="n">
        <f aca="false">(J1236+J1237+J1238+J1239+J1244+J1245)/J1266</f>
        <v>1.11052481527033</v>
      </c>
      <c r="K1270" s="72" t="n">
        <f aca="false">(K1236+K1237+K1238+K1239+K1244+K1245)/K1266</f>
        <v>1.07972767450691</v>
      </c>
      <c r="L1270" s="72" t="n">
        <f aca="false">(L1236+L1237+L1238+L1239+L1244+L1245)/L1266</f>
        <v>1.07645877530892</v>
      </c>
      <c r="M1270" s="72" t="n">
        <f aca="false">(M1236+M1237+M1238+M1239+M1244+M1245)/M1266</f>
        <v>1.04804449132509</v>
      </c>
      <c r="N1270" s="72" t="n">
        <f aca="false">(N1236+N1237+N1238+N1239+N1244+N1245)/N1266</f>
        <v>1.02942102800788</v>
      </c>
      <c r="O1270" s="72" t="n">
        <f aca="false">(O1236+O1237+O1238+O1239+O1244+O1245)/O1266</f>
        <v>1</v>
      </c>
    </row>
    <row r="1271" customFormat="false" ht="15" hidden="false" customHeight="false" outlineLevel="0" collapsed="false">
      <c r="B1271" s="65" t="s">
        <v>849</v>
      </c>
      <c r="C1271" s="72" t="n">
        <f aca="false">(C1266+C1265)/C1266</f>
        <v>1</v>
      </c>
      <c r="D1271" s="72" t="n">
        <f aca="false">(D1266+D1265)/D1266</f>
        <v>1</v>
      </c>
      <c r="E1271" s="72" t="n">
        <f aca="false">(E1266+E1265)/E1266</f>
        <v>1</v>
      </c>
      <c r="F1271" s="72" t="n">
        <f aca="false">(F1266+F1265)/F1266</f>
        <v>1</v>
      </c>
      <c r="G1271" s="72" t="n">
        <f aca="false">(G1266+G1265)/G1266</f>
        <v>1</v>
      </c>
      <c r="H1271" s="72" t="n">
        <f aca="false">(H1266+H1265)/H1266</f>
        <v>1</v>
      </c>
      <c r="I1271" s="72" t="n">
        <f aca="false">(I1266+I1265)/I1266</f>
        <v>1</v>
      </c>
      <c r="J1271" s="72" t="n">
        <f aca="false">(J1266+J1265)/J1266</f>
        <v>1</v>
      </c>
      <c r="K1271" s="72" t="n">
        <f aca="false">(K1266+K1265)/K1266</f>
        <v>1</v>
      </c>
      <c r="L1271" s="72" t="n">
        <f aca="false">(L1266+L1265)/L1266</f>
        <v>1</v>
      </c>
      <c r="M1271" s="72" t="n">
        <f aca="false">(M1266+M1265)/M1266</f>
        <v>1</v>
      </c>
      <c r="N1271" s="72" t="n">
        <f aca="false">(N1266+N1265)/N1266</f>
        <v>1</v>
      </c>
      <c r="O1271" s="72" t="n">
        <f aca="false">(O1266+O1265)/O1266</f>
        <v>1</v>
      </c>
    </row>
    <row r="1272" customFormat="false" ht="15" hidden="false" customHeight="false" outlineLevel="0" collapsed="false">
      <c r="B1272" s="65" t="s">
        <v>1070</v>
      </c>
      <c r="C1272" s="72" t="n">
        <f aca="false">(C1236+C1237*MSIG_USD)/C1266</f>
        <v>0.25</v>
      </c>
      <c r="D1272" s="72" t="n">
        <f aca="false">(D1236+D1237*MSIG_USD)/D1266</f>
        <v>0.300959831951466</v>
      </c>
      <c r="E1272" s="72" t="n">
        <f aca="false">(E1236+E1237*MSIG_USD)/E1266</f>
        <v>0.306885409386138</v>
      </c>
      <c r="F1272" s="72" t="n">
        <f aca="false">(F1236+F1237*MSIG_USD)/F1266</f>
        <v>0.331510155036634</v>
      </c>
      <c r="G1272" s="72" t="n">
        <f aca="false">(G1236+G1237*MSIG_USD)/G1266</f>
        <v>0.338337714551092</v>
      </c>
      <c r="H1272" s="72" t="n">
        <f aca="false">(H1236+H1237*MSIG_USD)/H1266</f>
        <v>0.357388187866771</v>
      </c>
      <c r="I1272" s="72" t="n">
        <f aca="false">(I1236+I1237*MSIG_USD)/I1266</f>
        <v>0.365240498139644</v>
      </c>
      <c r="J1272" s="72" t="n">
        <f aca="false">(J1236+J1237*MSIG_USD)/J1266</f>
        <v>0.383468810255949</v>
      </c>
      <c r="K1272" s="72" t="n">
        <f aca="false">(K1236+K1237*MSIG_USD)/K1266</f>
        <v>0.392785037345709</v>
      </c>
      <c r="L1272" s="72" t="n">
        <f aca="false">(L1236+L1237*MSIG_USD)/L1266</f>
        <v>0.409435172763736</v>
      </c>
      <c r="M1272" s="72" t="n">
        <f aca="false">(M1236+M1237*MSIG_USD)/M1266</f>
        <v>0.420495164987775</v>
      </c>
      <c r="N1272" s="72" t="n">
        <f aca="false">(N1236+N1237*MSIG_USD)/N1266</f>
        <v>0.434942982891333</v>
      </c>
      <c r="O1272" s="72" t="n">
        <f aca="false">(O1236+O1237*MSIG_USD)/O1266</f>
        <v>0.446515965097926</v>
      </c>
    </row>
    <row r="1273" customFormat="false" ht="15" hidden="false" customHeight="false" outlineLevel="0" collapsed="false">
      <c r="B1273" s="65" t="s">
        <v>1071</v>
      </c>
      <c r="C1273" s="25"/>
      <c r="D1273" s="65" t="n">
        <f aca="false">IF(AND($U$9&lt;0.5*Collecte_norm,IF(D1217&lt;=$U$11,0,$U$10)&lt;0.5,IF(D1217&lt;=4,$U$17,($U$18+$U$19)/2)&lt;0.7),1,0)</f>
        <v>0</v>
      </c>
      <c r="E1273" s="65" t="n">
        <f aca="false">IF(AND($U$9&lt;0.5*Collecte_norm,IF(E1217&lt;=$U$11,0,$U$10)&lt;0.5,IF(E1217&lt;=4,$U$17,($U$18+$U$19)/2)&lt;0.7),1,0)</f>
        <v>0</v>
      </c>
      <c r="F1273" s="65" t="n">
        <f aca="false">IF(AND($U$9&lt;0.5*Collecte_norm,IF(F1217&lt;=$U$11,0,$U$10)&lt;0.5,IF(F1217&lt;=4,$U$17,($U$18+$U$19)/2)&lt;0.7),1,0)</f>
        <v>0</v>
      </c>
      <c r="G1273" s="65" t="n">
        <f aca="false">IF(AND($U$9&lt;0.5*Collecte_norm,IF(G1217&lt;=$U$11,0,$U$10)&lt;0.5,IF(G1217&lt;=4,$U$17,($U$18+$U$19)/2)&lt;0.7),1,0)</f>
        <v>0</v>
      </c>
      <c r="H1273" s="65" t="n">
        <f aca="false">IF(AND($U$9&lt;0.5*Collecte_norm,IF(H1217&lt;=$U$11,0,$U$10)&lt;0.5,IF(H1217&lt;=4,$U$17,($U$18+$U$19)/2)&lt;0.7),1,0)</f>
        <v>0</v>
      </c>
      <c r="I1273" s="65" t="n">
        <f aca="false">IF(AND($U$9&lt;0.5*Collecte_norm,IF(I1217&lt;=$U$11,0,$U$10)&lt;0.5,IF(I1217&lt;=4,$U$17,($U$18+$U$19)/2)&lt;0.7),1,0)</f>
        <v>0</v>
      </c>
      <c r="J1273" s="65" t="n">
        <f aca="false">IF(AND($U$9&lt;0.5*Collecte_norm,IF(J1217&lt;=$U$11,0,$U$10)&lt;0.5,IF(J1217&lt;=4,$U$17,($U$18+$U$19)/2)&lt;0.7),1,0)</f>
        <v>0</v>
      </c>
      <c r="K1273" s="65" t="n">
        <f aca="false">IF(AND($U$9&lt;0.5*Collecte_norm,IF(K1217&lt;=$U$11,0,$U$10)&lt;0.5,IF(K1217&lt;=4,$U$17,($U$18+$U$19)/2)&lt;0.7),1,0)</f>
        <v>0</v>
      </c>
      <c r="L1273" s="65" t="n">
        <f aca="false">IF(AND($U$9&lt;0.5*Collecte_norm,IF(L1217&lt;=$U$11,0,$U$10)&lt;0.5,IF(L1217&lt;=4,$U$17,($U$18+$U$19)/2)&lt;0.7),1,0)</f>
        <v>0</v>
      </c>
      <c r="M1273" s="65" t="n">
        <f aca="false">IF(AND($U$9&lt;0.5*Collecte_norm,IF(M1217&lt;=$U$11,0,$U$10)&lt;0.5,IF(M1217&lt;=4,$U$17,($U$18+$U$19)/2)&lt;0.7),1,0)</f>
        <v>0</v>
      </c>
      <c r="N1273" s="65" t="n">
        <f aca="false">IF(AND($U$9&lt;0.5*Collecte_norm,IF(N1217&lt;=$U$11,0,$U$10)&lt;0.5,IF(N1217&lt;=4,$U$17,($U$18+$U$19)/2)&lt;0.7),1,0)</f>
        <v>0</v>
      </c>
      <c r="O1273" s="65" t="n">
        <f aca="false">IF(AND($U$9&lt;0.5*Collecte_norm,IF(O1217&lt;=$U$11,0,$U$10)&lt;0.5,IF(O1217&lt;=4,$U$17,($U$18+$U$19)/2)&lt;0.7),1,0)</f>
        <v>0</v>
      </c>
    </row>
    <row r="1274" customFormat="false" ht="15" hidden="false" customHeight="false" outlineLevel="0" collapsed="false">
      <c r="B1274" s="76" t="s">
        <v>1072</v>
      </c>
      <c r="C1274" s="76" t="n">
        <v>99</v>
      </c>
      <c r="D1274" s="76" t="n">
        <f aca="false">IF(D1234=1,D1220,99)</f>
        <v>99</v>
      </c>
      <c r="E1274" s="76" t="n">
        <f aca="false">IF(E1234=1,E1220,99)</f>
        <v>99</v>
      </c>
      <c r="F1274" s="76" t="n">
        <f aca="false">IF(F1234=1,F1220,99)</f>
        <v>99</v>
      </c>
      <c r="G1274" s="76" t="n">
        <f aca="false">IF(G1234=1,G1220,99)</f>
        <v>99</v>
      </c>
      <c r="H1274" s="76" t="n">
        <f aca="false">IF(H1234=1,H1220,99)</f>
        <v>99</v>
      </c>
      <c r="I1274" s="76" t="n">
        <f aca="false">IF(I1234=1,I1220,99)</f>
        <v>99</v>
      </c>
      <c r="J1274" s="76" t="n">
        <f aca="false">IF(J1234=1,J1220,99)</f>
        <v>99</v>
      </c>
      <c r="K1274" s="76" t="n">
        <f aca="false">IF(K1234=1,K1220,99)</f>
        <v>99</v>
      </c>
      <c r="L1274" s="76" t="n">
        <f aca="false">IF(L1234=1,L1220,99)</f>
        <v>99</v>
      </c>
      <c r="M1274" s="76" t="n">
        <f aca="false">IF(M1234=1,M1220,99)</f>
        <v>99</v>
      </c>
      <c r="N1274" s="76" t="n">
        <f aca="false">IF(N1234=1,N1220,99)</f>
        <v>99</v>
      </c>
      <c r="O1274" s="76" t="n">
        <f aca="false">IF(O1234=1,O1220,99)</f>
        <v>99</v>
      </c>
    </row>
    <row r="1275" customFormat="false" ht="15" hidden="false" customHeight="false" outlineLevel="0" collapsed="false">
      <c r="B1275" s="76" t="s">
        <v>1073</v>
      </c>
      <c r="C1275" s="76" t="n">
        <v>99</v>
      </c>
      <c r="D1275" s="76" t="n">
        <f aca="false">IF(AND(D1219=1,D1220&gt;MIN($D1274:$O1274),D1233&lt;=0.000001),D1220,99)</f>
        <v>99</v>
      </c>
      <c r="E1275" s="76" t="n">
        <f aca="false">IF(AND(E1219=1,E1220&gt;MIN($D1274:$O1274),E1233&lt;=0.000001),E1220,99)</f>
        <v>99</v>
      </c>
      <c r="F1275" s="76" t="n">
        <f aca="false">IF(AND(F1219=1,F1220&gt;MIN($D1274:$O1274),F1233&lt;=0.000001),F1220,99)</f>
        <v>99</v>
      </c>
      <c r="G1275" s="76" t="n">
        <f aca="false">IF(AND(G1219=1,G1220&gt;MIN($D1274:$O1274),G1233&lt;=0.000001),G1220,99)</f>
        <v>99</v>
      </c>
      <c r="H1275" s="76" t="n">
        <f aca="false">IF(AND(H1219=1,H1220&gt;MIN($D1274:$O1274),H1233&lt;=0.000001),H1220,99)</f>
        <v>99</v>
      </c>
      <c r="I1275" s="76" t="n">
        <f aca="false">IF(AND(I1219=1,I1220&gt;MIN($D1274:$O1274),I1233&lt;=0.000001),I1220,99)</f>
        <v>99</v>
      </c>
      <c r="J1275" s="76" t="n">
        <f aca="false">IF(AND(J1219=1,J1220&gt;MIN($D1274:$O1274),J1233&lt;=0.000001),J1220,99)</f>
        <v>99</v>
      </c>
      <c r="K1275" s="76" t="n">
        <f aca="false">IF(AND(K1219=1,K1220&gt;MIN($D1274:$O1274),K1233&lt;=0.000001),K1220,99)</f>
        <v>99</v>
      </c>
      <c r="L1275" s="76" t="n">
        <f aca="false">IF(AND(L1219=1,L1220&gt;MIN($D1274:$O1274),L1233&lt;=0.000001),L1220,99)</f>
        <v>99</v>
      </c>
      <c r="M1275" s="76" t="n">
        <f aca="false">IF(AND(M1219=1,M1220&gt;MIN($D1274:$O1274),M1233&lt;=0.000001),M1220,99)</f>
        <v>99</v>
      </c>
      <c r="N1275" s="76" t="n">
        <f aca="false">IF(AND(N1219=1,N1220&gt;MIN($D1274:$O1274),N1233&lt;=0.000001),N1220,99)</f>
        <v>99</v>
      </c>
      <c r="O1275" s="76" t="n">
        <f aca="false">IF(AND(O1219=1,O1220&gt;MIN($D1274:$O1274),O1233&lt;=0.000001),O1220,99)</f>
        <v>99</v>
      </c>
    </row>
    <row r="1276" customFormat="false" ht="15" hidden="false" customHeight="false" outlineLevel="0" collapsed="false">
      <c r="B1276" s="76" t="s">
        <v>1074</v>
      </c>
      <c r="C1276" s="76" t="n">
        <v>9999999</v>
      </c>
      <c r="D1276" s="76" t="n">
        <f aca="false">IF(D1231=1,D1218,9999999)</f>
        <v>9999999</v>
      </c>
      <c r="E1276" s="76" t="n">
        <f aca="false">IF(E1231=1,E1218,9999999)</f>
        <v>9999999</v>
      </c>
      <c r="F1276" s="76" t="n">
        <f aca="false">IF(F1231=1,F1218,9999999)</f>
        <v>9999999</v>
      </c>
      <c r="G1276" s="76" t="n">
        <f aca="false">IF(G1231=1,G1218,9999999)</f>
        <v>9999999</v>
      </c>
      <c r="H1276" s="76" t="n">
        <f aca="false">IF(H1231=1,H1218,9999999)</f>
        <v>9999999</v>
      </c>
      <c r="I1276" s="76" t="n">
        <f aca="false">IF(I1231=1,I1218,9999999)</f>
        <v>9999999</v>
      </c>
      <c r="J1276" s="76" t="n">
        <f aca="false">IF(J1231=1,J1218,9999999)</f>
        <v>9999999</v>
      </c>
      <c r="K1276" s="76" t="n">
        <f aca="false">IF(K1231=1,K1218,9999999)</f>
        <v>9999999</v>
      </c>
      <c r="L1276" s="76" t="n">
        <f aca="false">IF(L1231=1,L1218,9999999)</f>
        <v>9999999</v>
      </c>
      <c r="M1276" s="76" t="n">
        <f aca="false">IF(M1231=1,M1218,9999999)</f>
        <v>9999999</v>
      </c>
      <c r="N1276" s="76" t="n">
        <f aca="false">IF(N1231=1,N1218,9999999)</f>
        <v>9999999</v>
      </c>
      <c r="O1276" s="76" t="n">
        <f aca="false">IF(O1231=1,O1218,9999999)</f>
        <v>9999999</v>
      </c>
    </row>
    <row r="1277" customFormat="false" ht="15" hidden="false" customHeight="false" outlineLevel="0" collapsed="false">
      <c r="B1277" s="76" t="s">
        <v>1075</v>
      </c>
      <c r="C1277" s="76" t="n">
        <v>9999999</v>
      </c>
      <c r="D1277" s="76" t="n">
        <f aca="false">IF(D1273=1,D1218,9999999)</f>
        <v>9999999</v>
      </c>
      <c r="E1277" s="76" t="n">
        <f aca="false">IF(E1273=1,E1218,9999999)</f>
        <v>9999999</v>
      </c>
      <c r="F1277" s="76" t="n">
        <f aca="false">IF(F1273=1,F1218,9999999)</f>
        <v>9999999</v>
      </c>
      <c r="G1277" s="76" t="n">
        <f aca="false">IF(G1273=1,G1218,9999999)</f>
        <v>9999999</v>
      </c>
      <c r="H1277" s="76" t="n">
        <f aca="false">IF(H1273=1,H1218,9999999)</f>
        <v>9999999</v>
      </c>
      <c r="I1277" s="76" t="n">
        <f aca="false">IF(I1273=1,I1218,9999999)</f>
        <v>9999999</v>
      </c>
      <c r="J1277" s="76" t="n">
        <f aca="false">IF(J1273=1,J1218,9999999)</f>
        <v>9999999</v>
      </c>
      <c r="K1277" s="76" t="n">
        <f aca="false">IF(K1273=1,K1218,9999999)</f>
        <v>9999999</v>
      </c>
      <c r="L1277" s="76" t="n">
        <f aca="false">IF(L1273=1,L1218,9999999)</f>
        <v>9999999</v>
      </c>
      <c r="M1277" s="76" t="n">
        <f aca="false">IF(M1273=1,M1218,9999999)</f>
        <v>9999999</v>
      </c>
      <c r="N1277" s="76" t="n">
        <f aca="false">IF(N1273=1,N1218,9999999)</f>
        <v>9999999</v>
      </c>
      <c r="O1277" s="76" t="n">
        <f aca="false">IF(O1273=1,O1218,9999999)</f>
        <v>9999999</v>
      </c>
    </row>
    <row r="1282" customFormat="false" ht="15" hidden="false" customHeight="false" outlineLevel="0" collapsed="false">
      <c r="B1282" s="45" t="str">
        <f aca="false">V$5</f>
        <v>Appels à douze mois 7.5 % de l'actif net</v>
      </c>
      <c r="C1282" s="45" t="s">
        <v>55</v>
      </c>
      <c r="D1282" s="45" t="n">
        <v>20</v>
      </c>
      <c r="E1282" s="2"/>
      <c r="F1282" s="2"/>
      <c r="G1282" s="2"/>
      <c r="H1282" s="2"/>
      <c r="I1282" s="2"/>
      <c r="J1282" s="2"/>
      <c r="K1282" s="2"/>
      <c r="L1282" s="2"/>
      <c r="M1282" s="2"/>
      <c r="N1282" s="2"/>
      <c r="O1282" s="2"/>
    </row>
    <row r="1283" customFormat="false" ht="15" hidden="false" customHeight="false" outlineLevel="0" collapsed="false">
      <c r="B1283" s="65" t="s">
        <v>1019</v>
      </c>
      <c r="C1283" s="65" t="n">
        <v>0</v>
      </c>
      <c r="D1283" s="65" t="n">
        <v>1</v>
      </c>
      <c r="E1283" s="65" t="n">
        <v>2</v>
      </c>
      <c r="F1283" s="65" t="n">
        <v>3</v>
      </c>
      <c r="G1283" s="65" t="n">
        <v>4</v>
      </c>
      <c r="H1283" s="65" t="n">
        <v>5</v>
      </c>
      <c r="I1283" s="65" t="n">
        <v>6</v>
      </c>
      <c r="J1283" s="65" t="n">
        <v>7</v>
      </c>
      <c r="K1283" s="65" t="n">
        <v>8</v>
      </c>
      <c r="L1283" s="65" t="n">
        <v>9</v>
      </c>
      <c r="M1283" s="65" t="n">
        <v>10</v>
      </c>
      <c r="N1283" s="65" t="n">
        <v>11</v>
      </c>
      <c r="O1283" s="65" t="n">
        <v>12</v>
      </c>
    </row>
    <row r="1284" customFormat="false" ht="15" hidden="false" customHeight="false" outlineLevel="0" collapsed="false">
      <c r="B1284" s="65" t="s">
        <v>209</v>
      </c>
      <c r="C1284" s="71" t="n">
        <f aca="false">Date_depart</f>
        <v>47026</v>
      </c>
      <c r="D1284" s="71" t="n">
        <f aca="false">EOMONTH(Date_depart,3*D1283)</f>
        <v>47118</v>
      </c>
      <c r="E1284" s="71" t="n">
        <f aca="false">EOMONTH(Date_depart,3*E1283)</f>
        <v>47208</v>
      </c>
      <c r="F1284" s="71" t="n">
        <f aca="false">EOMONTH(Date_depart,3*F1283)</f>
        <v>47299</v>
      </c>
      <c r="G1284" s="71" t="n">
        <f aca="false">EOMONTH(Date_depart,3*G1283)</f>
        <v>47391</v>
      </c>
      <c r="H1284" s="71" t="n">
        <f aca="false">EOMONTH(Date_depart,3*H1283)</f>
        <v>47483</v>
      </c>
      <c r="I1284" s="71" t="n">
        <f aca="false">EOMONTH(Date_depart,3*I1283)</f>
        <v>47573</v>
      </c>
      <c r="J1284" s="71" t="n">
        <f aca="false">EOMONTH(Date_depart,3*J1283)</f>
        <v>47664</v>
      </c>
      <c r="K1284" s="71" t="n">
        <f aca="false">EOMONTH(Date_depart,3*K1283)</f>
        <v>47756</v>
      </c>
      <c r="L1284" s="71" t="n">
        <f aca="false">EOMONTH(Date_depart,3*L1283)</f>
        <v>47848</v>
      </c>
      <c r="M1284" s="71" t="n">
        <f aca="false">EOMONTH(Date_depart,3*M1283)</f>
        <v>47938</v>
      </c>
      <c r="N1284" s="71" t="n">
        <f aca="false">EOMONTH(Date_depart,3*N1283)</f>
        <v>48029</v>
      </c>
      <c r="O1284" s="71" t="n">
        <f aca="false">EOMONTH(Date_depart,3*O1283)</f>
        <v>48121</v>
      </c>
    </row>
    <row r="1285" customFormat="false" ht="15" hidden="false" customHeight="false" outlineLevel="0" collapsed="false">
      <c r="B1285" s="65" t="s">
        <v>1020</v>
      </c>
      <c r="C1285" s="65" t="n">
        <v>0</v>
      </c>
      <c r="D1285" s="65" t="n">
        <f aca="false">IF(OR(MONTH(D1284)=6,MONTH(D1284)=12),1,0)</f>
        <v>1</v>
      </c>
      <c r="E1285" s="65" t="n">
        <f aca="false">IF(OR(MONTH(E1284)=6,MONTH(E1284)=12),1,0)</f>
        <v>0</v>
      </c>
      <c r="F1285" s="65" t="n">
        <f aca="false">IF(OR(MONTH(F1284)=6,MONTH(F1284)=12),1,0)</f>
        <v>1</v>
      </c>
      <c r="G1285" s="65" t="n">
        <f aca="false">IF(OR(MONTH(G1284)=6,MONTH(G1284)=12),1,0)</f>
        <v>0</v>
      </c>
      <c r="H1285" s="65" t="n">
        <f aca="false">IF(OR(MONTH(H1284)=6,MONTH(H1284)=12),1,0)</f>
        <v>1</v>
      </c>
      <c r="I1285" s="65" t="n">
        <f aca="false">IF(OR(MONTH(I1284)=6,MONTH(I1284)=12),1,0)</f>
        <v>0</v>
      </c>
      <c r="J1285" s="65" t="n">
        <f aca="false">IF(OR(MONTH(J1284)=6,MONTH(J1284)=12),1,0)</f>
        <v>1</v>
      </c>
      <c r="K1285" s="65" t="n">
        <f aca="false">IF(OR(MONTH(K1284)=6,MONTH(K1284)=12),1,0)</f>
        <v>0</v>
      </c>
      <c r="L1285" s="65" t="n">
        <f aca="false">IF(OR(MONTH(L1284)=6,MONTH(L1284)=12),1,0)</f>
        <v>1</v>
      </c>
      <c r="M1285" s="65" t="n">
        <f aca="false">IF(OR(MONTH(M1284)=6,MONTH(M1284)=12),1,0)</f>
        <v>0</v>
      </c>
      <c r="N1285" s="65" t="n">
        <f aca="false">IF(OR(MONTH(N1284)=6,MONTH(N1284)=12),1,0)</f>
        <v>1</v>
      </c>
      <c r="O1285" s="65" t="n">
        <f aca="false">IF(OR(MONTH(O1284)=6,MONTH(O1284)=12),1,0)</f>
        <v>0</v>
      </c>
    </row>
    <row r="1286" customFormat="false" ht="15" hidden="false" customHeight="false" outlineLevel="0" collapsed="false">
      <c r="B1286" s="65" t="s">
        <v>1021</v>
      </c>
      <c r="C1286" s="65" t="n">
        <v>0</v>
      </c>
      <c r="D1286" s="65" t="n">
        <f aca="false">C1286+D1285</f>
        <v>1</v>
      </c>
      <c r="E1286" s="65" t="n">
        <f aca="false">D1286+E1285</f>
        <v>1</v>
      </c>
      <c r="F1286" s="65" t="n">
        <f aca="false">E1286+F1285</f>
        <v>2</v>
      </c>
      <c r="G1286" s="65" t="n">
        <f aca="false">F1286+G1285</f>
        <v>2</v>
      </c>
      <c r="H1286" s="65" t="n">
        <f aca="false">G1286+H1285</f>
        <v>3</v>
      </c>
      <c r="I1286" s="65" t="n">
        <f aca="false">H1286+I1285</f>
        <v>3</v>
      </c>
      <c r="J1286" s="65" t="n">
        <f aca="false">I1286+J1285</f>
        <v>4</v>
      </c>
      <c r="K1286" s="65" t="n">
        <f aca="false">J1286+K1285</f>
        <v>4</v>
      </c>
      <c r="L1286" s="65" t="n">
        <f aca="false">K1286+L1285</f>
        <v>5</v>
      </c>
      <c r="M1286" s="65" t="n">
        <f aca="false">L1286+M1285</f>
        <v>5</v>
      </c>
      <c r="N1286" s="65" t="n">
        <f aca="false">M1286+N1285</f>
        <v>6</v>
      </c>
      <c r="O1286" s="65" t="n">
        <f aca="false">N1286+O1285</f>
        <v>6</v>
      </c>
    </row>
    <row r="1287" customFormat="false" ht="15" hidden="false" customHeight="false" outlineLevel="0" collapsed="false">
      <c r="B1287" s="65" t="s">
        <v>1022</v>
      </c>
      <c r="C1287" s="25"/>
      <c r="D1287" s="72" t="n">
        <f aca="false">IF(D1285=1,IF(C1297=1,0,IF(D1286=1,$V$6,IF(D1286=2,$V$7,$V$8))),0)</f>
        <v>0.02</v>
      </c>
      <c r="E1287" s="72" t="n">
        <f aca="false">IF(E1285=1,IF(D1297=1,0,IF(E1286=1,$V$6,IF(E1286=2,$V$7,$V$8))),0)</f>
        <v>0</v>
      </c>
      <c r="F1287" s="72" t="n">
        <f aca="false">IF(F1285=1,IF(E1297=1,0,IF(F1286=1,$V$6,IF(F1286=2,$V$7,$V$8))),0)</f>
        <v>0.02</v>
      </c>
      <c r="G1287" s="72" t="n">
        <f aca="false">IF(G1285=1,IF(F1297=1,0,IF(G1286=1,$V$6,IF(G1286=2,$V$7,$V$8))),0)</f>
        <v>0</v>
      </c>
      <c r="H1287" s="72" t="n">
        <f aca="false">IF(H1285=1,IF(G1297=1,0,IF(H1286=1,$V$6,IF(H1286=2,$V$7,$V$8))),0)</f>
        <v>0.02</v>
      </c>
      <c r="I1287" s="72" t="n">
        <f aca="false">IF(I1285=1,IF(H1297=1,0,IF(I1286=1,$V$6,IF(I1286=2,$V$7,$V$8))),0)</f>
        <v>0</v>
      </c>
      <c r="J1287" s="72" t="n">
        <f aca="false">IF(J1285=1,IF(I1297=1,0,IF(J1286=1,$V$6,IF(J1286=2,$V$7,$V$8))),0)</f>
        <v>0.02</v>
      </c>
      <c r="K1287" s="72" t="n">
        <f aca="false">IF(K1285=1,IF(J1297=1,0,IF(K1286=1,$V$6,IF(K1286=2,$V$7,$V$8))),0)</f>
        <v>0</v>
      </c>
      <c r="L1287" s="72" t="n">
        <f aca="false">IF(L1285=1,IF(K1297=1,0,IF(L1286=1,$V$6,IF(L1286=2,$V$7,$V$8))),0)</f>
        <v>0.02</v>
      </c>
      <c r="M1287" s="72" t="n">
        <f aca="false">IF(M1285=1,IF(L1297=1,0,IF(M1286=1,$V$6,IF(M1286=2,$V$7,$V$8))),0)</f>
        <v>0</v>
      </c>
      <c r="N1287" s="72" t="n">
        <f aca="false">IF(N1285=1,IF(M1297=1,0,IF(N1286=1,$V$6,IF(N1286=2,$V$7,$V$8))),0)</f>
        <v>0.02</v>
      </c>
      <c r="O1287" s="72" t="n">
        <f aca="false">IF(O1285=1,IF(N1297=1,0,IF(O1286=1,$V$6,IF(O1286=2,$V$7,$V$8))),0)</f>
        <v>0</v>
      </c>
    </row>
    <row r="1288" customFormat="false" ht="15" hidden="false" customHeight="false" outlineLevel="0" collapsed="false">
      <c r="B1288" s="65" t="s">
        <v>1023</v>
      </c>
      <c r="C1288" s="25"/>
      <c r="D1288" s="73" t="n">
        <f aca="false">C1332</f>
        <v>50000000</v>
      </c>
      <c r="E1288" s="73" t="n">
        <f aca="false">D1332</f>
        <v>49600643.75</v>
      </c>
      <c r="F1288" s="73" t="n">
        <f aca="false">E1332</f>
        <v>50330050.1507813</v>
      </c>
      <c r="G1288" s="73" t="n">
        <f aca="false">F1332</f>
        <v>50058591.5444276</v>
      </c>
      <c r="H1288" s="73" t="n">
        <f aca="false">G1332</f>
        <v>50798765.4100173</v>
      </c>
      <c r="I1288" s="73" t="n">
        <f aca="false">H1332</f>
        <v>50555516.5453639</v>
      </c>
      <c r="J1288" s="73" t="n">
        <f aca="false">I1332</f>
        <v>51328237.2081622</v>
      </c>
      <c r="K1288" s="73" t="n">
        <f aca="false">J1332</f>
        <v>50947854.2208152</v>
      </c>
      <c r="L1288" s="73" t="n">
        <f aca="false">K1332</f>
        <v>51723198.7237275</v>
      </c>
      <c r="M1288" s="73" t="n">
        <f aca="false">L1332</f>
        <v>51337544.8783528</v>
      </c>
      <c r="N1288" s="73" t="n">
        <f aca="false">M1332</f>
        <v>52117457.7556971</v>
      </c>
      <c r="O1288" s="73" t="n">
        <f aca="false">N1332</f>
        <v>51728438.0630224</v>
      </c>
    </row>
    <row r="1289" customFormat="false" ht="15" hidden="false" customHeight="false" outlineLevel="0" collapsed="false">
      <c r="B1289" s="65" t="s">
        <v>177</v>
      </c>
      <c r="C1289" s="25"/>
      <c r="D1289" s="73" t="n">
        <f aca="false">IF(C1297=1,0,$V$9*D1288)</f>
        <v>0</v>
      </c>
      <c r="E1289" s="73" t="n">
        <f aca="false">IF(D1297=1,0,$V$9*E1288)</f>
        <v>0</v>
      </c>
      <c r="F1289" s="73" t="n">
        <f aca="false">IF(E1297=1,0,$V$9*F1288)</f>
        <v>0</v>
      </c>
      <c r="G1289" s="73" t="n">
        <f aca="false">IF(F1297=1,0,$V$9*G1288)</f>
        <v>0</v>
      </c>
      <c r="H1289" s="73" t="n">
        <f aca="false">IF(G1297=1,0,$V$9*H1288)</f>
        <v>0</v>
      </c>
      <c r="I1289" s="73" t="n">
        <f aca="false">IF(H1297=1,0,$V$9*I1288)</f>
        <v>0</v>
      </c>
      <c r="J1289" s="73" t="n">
        <f aca="false">IF(I1297=1,0,$V$9*J1288)</f>
        <v>0</v>
      </c>
      <c r="K1289" s="73" t="n">
        <f aca="false">IF(J1297=1,0,$V$9*K1288)</f>
        <v>0</v>
      </c>
      <c r="L1289" s="73" t="n">
        <f aca="false">IF(K1297=1,0,$V$9*L1288)</f>
        <v>0</v>
      </c>
      <c r="M1289" s="73" t="n">
        <f aca="false">IF(L1297=1,0,$V$9*M1288)</f>
        <v>0</v>
      </c>
      <c r="N1289" s="73" t="n">
        <f aca="false">IF(M1297=1,0,$V$9*N1288)</f>
        <v>0</v>
      </c>
      <c r="O1289" s="73" t="n">
        <f aca="false">IF(N1297=1,0,$V$9*O1288)</f>
        <v>0</v>
      </c>
    </row>
    <row r="1290" customFormat="false" ht="15" hidden="false" customHeight="false" outlineLevel="0" collapsed="false">
      <c r="B1290" s="65" t="s">
        <v>1024</v>
      </c>
      <c r="C1290" s="25"/>
      <c r="D1290" s="73" t="n">
        <f aca="false">D1287*D1288</f>
        <v>1000000</v>
      </c>
      <c r="E1290" s="73" t="n">
        <f aca="false">E1287*E1288</f>
        <v>0</v>
      </c>
      <c r="F1290" s="73" t="n">
        <f aca="false">F1287*F1288</f>
        <v>1006601.00301563</v>
      </c>
      <c r="G1290" s="73" t="n">
        <f aca="false">G1287*G1288</f>
        <v>0</v>
      </c>
      <c r="H1290" s="73" t="n">
        <f aca="false">H1287*H1288</f>
        <v>1015975.30820035</v>
      </c>
      <c r="I1290" s="73" t="n">
        <f aca="false">I1287*I1288</f>
        <v>0</v>
      </c>
      <c r="J1290" s="73" t="n">
        <f aca="false">J1287*J1288</f>
        <v>1026564.74416324</v>
      </c>
      <c r="K1290" s="73" t="n">
        <f aca="false">K1287*K1288</f>
        <v>0</v>
      </c>
      <c r="L1290" s="73" t="n">
        <f aca="false">L1287*L1288</f>
        <v>1034463.97447455</v>
      </c>
      <c r="M1290" s="73" t="n">
        <f aca="false">M1287*M1288</f>
        <v>0</v>
      </c>
      <c r="N1290" s="73" t="n">
        <f aca="false">N1287*N1288</f>
        <v>1042349.15511394</v>
      </c>
      <c r="O1290" s="73" t="n">
        <f aca="false">O1287*O1288</f>
        <v>0</v>
      </c>
    </row>
    <row r="1291" customFormat="false" ht="15" hidden="false" customHeight="false" outlineLevel="0" collapsed="false">
      <c r="B1291" s="65" t="s">
        <v>1025</v>
      </c>
      <c r="C1291" s="25"/>
      <c r="D1291" s="73" t="n">
        <f aca="false">C1299</f>
        <v>0</v>
      </c>
      <c r="E1291" s="73" t="n">
        <f aca="false">D1299</f>
        <v>0</v>
      </c>
      <c r="F1291" s="73" t="n">
        <f aca="false">E1299</f>
        <v>0</v>
      </c>
      <c r="G1291" s="73" t="n">
        <f aca="false">F1299</f>
        <v>0</v>
      </c>
      <c r="H1291" s="73" t="n">
        <f aca="false">G1299</f>
        <v>0</v>
      </c>
      <c r="I1291" s="73" t="n">
        <f aca="false">H1299</f>
        <v>0</v>
      </c>
      <c r="J1291" s="73" t="n">
        <f aca="false">I1299</f>
        <v>0</v>
      </c>
      <c r="K1291" s="73" t="n">
        <f aca="false">J1299</f>
        <v>0</v>
      </c>
      <c r="L1291" s="73" t="n">
        <f aca="false">K1299</f>
        <v>0</v>
      </c>
      <c r="M1291" s="73" t="n">
        <f aca="false">L1299</f>
        <v>0</v>
      </c>
      <c r="N1291" s="73" t="n">
        <f aca="false">M1299</f>
        <v>0</v>
      </c>
      <c r="O1291" s="73" t="n">
        <f aca="false">N1299</f>
        <v>0</v>
      </c>
    </row>
    <row r="1292" customFormat="false" ht="15" hidden="false" customHeight="false" outlineLevel="0" collapsed="false">
      <c r="B1292" s="65" t="s">
        <v>1026</v>
      </c>
      <c r="C1292" s="25"/>
      <c r="D1292" s="73" t="n">
        <f aca="false">D1290+D1291</f>
        <v>1000000</v>
      </c>
      <c r="E1292" s="73" t="n">
        <f aca="false">E1290+E1291</f>
        <v>0</v>
      </c>
      <c r="F1292" s="73" t="n">
        <f aca="false">F1290+F1291</f>
        <v>1006601.00301563</v>
      </c>
      <c r="G1292" s="73" t="n">
        <f aca="false">G1290+G1291</f>
        <v>0</v>
      </c>
      <c r="H1292" s="73" t="n">
        <f aca="false">H1290+H1291</f>
        <v>1015975.30820035</v>
      </c>
      <c r="I1292" s="73" t="n">
        <f aca="false">I1290+I1291</f>
        <v>0</v>
      </c>
      <c r="J1292" s="73" t="n">
        <f aca="false">J1290+J1291</f>
        <v>1026564.74416324</v>
      </c>
      <c r="K1292" s="73" t="n">
        <f aca="false">K1290+K1291</f>
        <v>0</v>
      </c>
      <c r="L1292" s="73" t="n">
        <f aca="false">L1290+L1291</f>
        <v>1034463.97447455</v>
      </c>
      <c r="M1292" s="73" t="n">
        <f aca="false">M1290+M1291</f>
        <v>0</v>
      </c>
      <c r="N1292" s="73" t="n">
        <f aca="false">N1290+N1291</f>
        <v>1042349.15511394</v>
      </c>
      <c r="O1292" s="73" t="n">
        <f aca="false">O1290+O1291</f>
        <v>0</v>
      </c>
    </row>
    <row r="1293" customFormat="false" ht="15" hidden="false" customHeight="false" outlineLevel="0" collapsed="false">
      <c r="B1293" s="65" t="s">
        <v>1027</v>
      </c>
      <c r="C1293" s="25"/>
      <c r="D1293" s="73" t="n">
        <f aca="false">IF($V$21=1,Gate*D1288+D1289,D1292)</f>
        <v>2500000</v>
      </c>
      <c r="E1293" s="73" t="n">
        <f aca="false">IF($V$21=1,Gate*E1288+E1289,E1292)</f>
        <v>2480032.1875</v>
      </c>
      <c r="F1293" s="73" t="n">
        <f aca="false">IF($V$21=1,Gate*F1288+F1289,F1292)</f>
        <v>2516502.50753906</v>
      </c>
      <c r="G1293" s="73" t="n">
        <f aca="false">IF($V$21=1,Gate*G1288+G1289,G1292)</f>
        <v>2502929.57722138</v>
      </c>
      <c r="H1293" s="73" t="n">
        <f aca="false">IF($V$21=1,Gate*H1288+H1289,H1292)</f>
        <v>2539938.27050087</v>
      </c>
      <c r="I1293" s="73" t="n">
        <f aca="false">IF($V$21=1,Gate*I1288+I1289,I1292)</f>
        <v>2527775.82726819</v>
      </c>
      <c r="J1293" s="73" t="n">
        <f aca="false">IF($V$21=1,Gate*J1288+J1289,J1292)</f>
        <v>2566411.86040811</v>
      </c>
      <c r="K1293" s="73" t="n">
        <f aca="false">IF($V$21=1,Gate*K1288+K1289,K1292)</f>
        <v>2547392.71104076</v>
      </c>
      <c r="L1293" s="73" t="n">
        <f aca="false">IF($V$21=1,Gate*L1288+L1289,L1292)</f>
        <v>2586159.93618638</v>
      </c>
      <c r="M1293" s="73" t="n">
        <f aca="false">IF($V$21=1,Gate*M1288+M1289,M1292)</f>
        <v>2566877.24391764</v>
      </c>
      <c r="N1293" s="73" t="n">
        <f aca="false">IF($V$21=1,Gate*N1288+N1289,N1292)</f>
        <v>2605872.88778486</v>
      </c>
      <c r="O1293" s="73" t="n">
        <f aca="false">IF($V$21=1,Gate*O1288+O1289,O1292)</f>
        <v>2586421.90315112</v>
      </c>
    </row>
    <row r="1294" customFormat="false" ht="15" hidden="false" customHeight="false" outlineLevel="0" collapsed="false">
      <c r="B1294" s="65" t="s">
        <v>1028</v>
      </c>
      <c r="C1294" s="25"/>
      <c r="D1294" s="73" t="n">
        <f aca="false">IF(D1285=1,MIN(D1292,D1293),0)</f>
        <v>1000000</v>
      </c>
      <c r="E1294" s="73" t="n">
        <f aca="false">IF(E1285=1,MIN(E1292,E1293),0)</f>
        <v>0</v>
      </c>
      <c r="F1294" s="73" t="n">
        <f aca="false">IF(F1285=1,MIN(F1292,F1293),0)</f>
        <v>1006601.00301563</v>
      </c>
      <c r="G1294" s="73" t="n">
        <f aca="false">IF(G1285=1,MIN(G1292,G1293),0)</f>
        <v>0</v>
      </c>
      <c r="H1294" s="73" t="n">
        <f aca="false">IF(H1285=1,MIN(H1292,H1293),0)</f>
        <v>1015975.30820035</v>
      </c>
      <c r="I1294" s="73" t="n">
        <f aca="false">IF(I1285=1,MIN(I1292,I1293),0)</f>
        <v>0</v>
      </c>
      <c r="J1294" s="73" t="n">
        <f aca="false">IF(J1285=1,MIN(J1292,J1293),0)</f>
        <v>1026564.74416324</v>
      </c>
      <c r="K1294" s="73" t="n">
        <f aca="false">IF(K1285=1,MIN(K1292,K1293),0)</f>
        <v>0</v>
      </c>
      <c r="L1294" s="73" t="n">
        <f aca="false">IF(L1285=1,MIN(L1292,L1293),0)</f>
        <v>1034463.97447455</v>
      </c>
      <c r="M1294" s="73" t="n">
        <f aca="false">IF(M1285=1,MIN(M1292,M1293),0)</f>
        <v>0</v>
      </c>
      <c r="N1294" s="73" t="n">
        <f aca="false">IF(N1285=1,MIN(N1292,N1293),0)</f>
        <v>1042349.15511394</v>
      </c>
      <c r="O1294" s="73" t="n">
        <f aca="false">IF(O1285=1,MIN(O1292,O1293),0)</f>
        <v>0</v>
      </c>
    </row>
    <row r="1295" customFormat="false" ht="15" hidden="false" customHeight="false" outlineLevel="0" collapsed="false">
      <c r="B1295" s="65" t="s">
        <v>1029</v>
      </c>
      <c r="C1295" s="25"/>
      <c r="D1295" s="73" t="n">
        <f aca="false">MAX(0,D1323+D1314+D1315-Poche_min_exec*D1288-D1294-SUM(E1320:F1320)+MAX(0,MIN($V$20*AN_cible,Emprunt_max*D1288)-C1331))</f>
        <v>51875</v>
      </c>
      <c r="E1295" s="73" t="n">
        <f aca="false">MAX(0,E1323+E1314+E1315-Poche_min_exec*E1288-E1294-SUM(F1320:G1320)+MAX(0,MIN($V$20*AN_cible,Emprunt_max*E1288)-D1331))</f>
        <v>607748.9375</v>
      </c>
      <c r="F1295" s="73" t="n">
        <f aca="false">MAX(0,F1323+F1314+F1315-Poche_min_exec*F1288-F1294-SUM(G1320:H1320)+MAX(0,MIN($V$20*AN_cible,Emprunt_max*F1288)-E1331))</f>
        <v>323899.884522655</v>
      </c>
      <c r="G1295" s="73" t="n">
        <f aca="false">MAX(0,G1323+G1314+G1315-Poche_min_exec*G1288-G1294-SUM(H1320:I1320)+MAX(0,MIN($V$20*AN_cible,Emprunt_max*G1288)-F1331))</f>
        <v>1114455.59282558</v>
      </c>
      <c r="H1295" s="73" t="n">
        <f aca="false">MAX(0,H1323+H1314+H1315-Poche_min_exec*H1288-H1294-SUM(I1320:J1320)+MAX(0,MIN($V$20*AN_cible,Emprunt_max*H1288)-G1331))</f>
        <v>784230.504868973</v>
      </c>
      <c r="I1295" s="73" t="n">
        <f aca="false">MAX(0,I1323+I1314+I1315-Poche_min_exec*I1288-I1294-SUM(J1320:K1320)+MAX(0,MIN($V$20*AN_cible,Emprunt_max*I1288)-H1331))</f>
        <v>1535172.15630283</v>
      </c>
      <c r="J1295" s="73" t="n">
        <f aca="false">MAX(0,J1323+J1314+J1315-Poche_min_exec*J1288-J1294-SUM(K1320:L1320)+MAX(0,MIN($V$20*AN_cible,Emprunt_max*J1288)-I1331))</f>
        <v>999310.400799336</v>
      </c>
      <c r="K1295" s="73" t="n">
        <f aca="false">MAX(0,K1323+K1314+K1315-Poche_min_exec*K1288-K1294-SUM(L1320:M1320)+MAX(0,MIN($V$20*AN_cible,Emprunt_max*K1288)-J1331))</f>
        <v>1703383.45417217</v>
      </c>
      <c r="L1295" s="73" t="n">
        <f aca="false">MAX(0,L1323+L1314+L1315-Poche_min_exec*L1288-L1294-SUM(M1320:N1320)+MAX(0,MIN($V$20*AN_cible,Emprunt_max*L1288)-K1331))</f>
        <v>1725741.31419848</v>
      </c>
      <c r="M1295" s="73" t="n">
        <f aca="false">MAX(0,M1323+M1314+M1315-Poche_min_exec*M1288-M1294-SUM(N1320:O1320)+MAX(0,MIN($V$20*AN_cible,Emprunt_max*M1288)-L1331))</f>
        <v>3000541.40184585</v>
      </c>
      <c r="N1295" s="73" t="n">
        <f aca="false">MAX(0,N1323+N1314+N1315-Poche_min_exec*N1288-N1294-SUM(O1320:O1320)+MAX(0,MIN($V$20*AN_cible,Emprunt_max*N1288)-M1331))</f>
        <v>2961510.05593084</v>
      </c>
      <c r="O1295" s="73" t="n">
        <f aca="false">MAX(0,O1323+O1314+O1315-Poche_min_exec*O1288-O1294-0+MAX(0,MIN($V$20*AN_cible,Emprunt_max*O1288)-N1331))</f>
        <v>4051798.01629573</v>
      </c>
    </row>
    <row r="1296" customFormat="false" ht="15" hidden="false" customHeight="false" outlineLevel="0" collapsed="false">
      <c r="B1296" s="65" t="s">
        <v>1030</v>
      </c>
      <c r="C1296" s="25"/>
      <c r="D1296" s="73" t="n">
        <f aca="false">IF(AND(D1285=1,$V$21=1,$V$22=1),MIN(D1292-D1294,D1295),0)</f>
        <v>0</v>
      </c>
      <c r="E1296" s="73" t="n">
        <f aca="false">IF(AND(E1285=1,$V$21=1,$V$22=1),MIN(E1292-E1294,E1295),0)</f>
        <v>0</v>
      </c>
      <c r="F1296" s="73" t="n">
        <f aca="false">IF(AND(F1285=1,$V$21=1,$V$22=1),MIN(F1292-F1294,F1295),0)</f>
        <v>0</v>
      </c>
      <c r="G1296" s="73" t="n">
        <f aca="false">IF(AND(G1285=1,$V$21=1,$V$22=1),MIN(G1292-G1294,G1295),0)</f>
        <v>0</v>
      </c>
      <c r="H1296" s="73" t="n">
        <f aca="false">IF(AND(H1285=1,$V$21=1,$V$22=1),MIN(H1292-H1294,H1295),0)</f>
        <v>0</v>
      </c>
      <c r="I1296" s="73" t="n">
        <f aca="false">IF(AND(I1285=1,$V$21=1,$V$22=1),MIN(I1292-I1294,I1295),0)</f>
        <v>0</v>
      </c>
      <c r="J1296" s="73" t="n">
        <f aca="false">IF(AND(J1285=1,$V$21=1,$V$22=1),MIN(J1292-J1294,J1295),0)</f>
        <v>0</v>
      </c>
      <c r="K1296" s="73" t="n">
        <f aca="false">IF(AND(K1285=1,$V$21=1,$V$22=1),MIN(K1292-K1294,K1295),0)</f>
        <v>0</v>
      </c>
      <c r="L1296" s="73" t="n">
        <f aca="false">IF(AND(L1285=1,$V$21=1,$V$22=1),MIN(L1292-L1294,L1295),0)</f>
        <v>0</v>
      </c>
      <c r="M1296" s="73" t="n">
        <f aca="false">IF(AND(M1285=1,$V$21=1,$V$22=1),MIN(M1292-M1294,M1295),0)</f>
        <v>0</v>
      </c>
      <c r="N1296" s="73" t="n">
        <f aca="false">IF(AND(N1285=1,$V$21=1,$V$22=1),MIN(N1292-N1294,N1295),0)</f>
        <v>0</v>
      </c>
      <c r="O1296" s="73" t="n">
        <f aca="false">IF(AND(O1285=1,$V$21=1,$V$22=1),MIN(O1292-O1294,O1295),0)</f>
        <v>0</v>
      </c>
    </row>
    <row r="1297" customFormat="false" ht="15" hidden="false" customHeight="false" outlineLevel="0" collapsed="false">
      <c r="B1297" s="65" t="s">
        <v>1031</v>
      </c>
      <c r="C1297" s="65" t="n">
        <v>0</v>
      </c>
      <c r="D1297" s="65" t="n">
        <f aca="false">IF(C1297=1,1,IF(AND(D1285=1,$V$21=1,C1301&gt;=Gate_dates,D1292-D1294-D1296&gt;0.000001),1,0))</f>
        <v>0</v>
      </c>
      <c r="E1297" s="65" t="n">
        <f aca="false">IF(D1297=1,1,IF(AND(E1285=1,$V$21=1,D1301&gt;=Gate_dates,E1292-E1294-E1296&gt;0.000001),1,0))</f>
        <v>0</v>
      </c>
      <c r="F1297" s="65" t="n">
        <f aca="false">IF(E1297=1,1,IF(AND(F1285=1,$V$21=1,E1301&gt;=Gate_dates,F1292-F1294-F1296&gt;0.000001),1,0))</f>
        <v>0</v>
      </c>
      <c r="G1297" s="65" t="n">
        <f aca="false">IF(F1297=1,1,IF(AND(G1285=1,$V$21=1,F1301&gt;=Gate_dates,G1292-G1294-G1296&gt;0.000001),1,0))</f>
        <v>0</v>
      </c>
      <c r="H1297" s="65" t="n">
        <f aca="false">IF(G1297=1,1,IF(AND(H1285=1,$V$21=1,G1301&gt;=Gate_dates,H1292-H1294-H1296&gt;0.000001),1,0))</f>
        <v>0</v>
      </c>
      <c r="I1297" s="65" t="n">
        <f aca="false">IF(H1297=1,1,IF(AND(I1285=1,$V$21=1,H1301&gt;=Gate_dates,I1292-I1294-I1296&gt;0.000001),1,0))</f>
        <v>0</v>
      </c>
      <c r="J1297" s="65" t="n">
        <f aca="false">IF(I1297=1,1,IF(AND(J1285=1,$V$21=1,I1301&gt;=Gate_dates,J1292-J1294-J1296&gt;0.000001),1,0))</f>
        <v>0</v>
      </c>
      <c r="K1297" s="65" t="n">
        <f aca="false">IF(J1297=1,1,IF(AND(K1285=1,$V$21=1,J1301&gt;=Gate_dates,K1292-K1294-K1296&gt;0.000001),1,0))</f>
        <v>0</v>
      </c>
      <c r="L1297" s="65" t="n">
        <f aca="false">IF(K1297=1,1,IF(AND(L1285=1,$V$21=1,K1301&gt;=Gate_dates,L1292-L1294-L1296&gt;0.000001),1,0))</f>
        <v>0</v>
      </c>
      <c r="M1297" s="65" t="n">
        <f aca="false">IF(L1297=1,1,IF(AND(M1285=1,$V$21=1,L1301&gt;=Gate_dates,M1292-M1294-M1296&gt;0.000001),1,0))</f>
        <v>0</v>
      </c>
      <c r="N1297" s="65" t="n">
        <f aca="false">IF(M1297=1,1,IF(AND(N1285=1,$V$21=1,M1301&gt;=Gate_dates,N1292-N1294-N1296&gt;0.000001),1,0))</f>
        <v>0</v>
      </c>
      <c r="O1297" s="65" t="n">
        <f aca="false">IF(N1297=1,1,IF(AND(O1285=1,$V$21=1,N1301&gt;=Gate_dates,O1292-O1294-O1296&gt;0.000001),1,0))</f>
        <v>0</v>
      </c>
    </row>
    <row r="1298" customFormat="false" ht="15" hidden="false" customHeight="false" outlineLevel="0" collapsed="false">
      <c r="B1298" s="65" t="s">
        <v>1032</v>
      </c>
      <c r="C1298" s="25"/>
      <c r="D1298" s="73" t="n">
        <f aca="false">IF(D1297=1,0,D1294+D1296)</f>
        <v>1000000</v>
      </c>
      <c r="E1298" s="73" t="n">
        <f aca="false">IF(E1297=1,0,E1294+E1296)</f>
        <v>0</v>
      </c>
      <c r="F1298" s="73" t="n">
        <f aca="false">IF(F1297=1,0,F1294+F1296)</f>
        <v>1006601.00301563</v>
      </c>
      <c r="G1298" s="73" t="n">
        <f aca="false">IF(G1297=1,0,G1294+G1296)</f>
        <v>0</v>
      </c>
      <c r="H1298" s="73" t="n">
        <f aca="false">IF(H1297=1,0,H1294+H1296)</f>
        <v>1015975.30820035</v>
      </c>
      <c r="I1298" s="73" t="n">
        <f aca="false">IF(I1297=1,0,I1294+I1296)</f>
        <v>0</v>
      </c>
      <c r="J1298" s="73" t="n">
        <f aca="false">IF(J1297=1,0,J1294+J1296)</f>
        <v>1026564.74416324</v>
      </c>
      <c r="K1298" s="73" t="n">
        <f aca="false">IF(K1297=1,0,K1294+K1296)</f>
        <v>0</v>
      </c>
      <c r="L1298" s="73" t="n">
        <f aca="false">IF(L1297=1,0,L1294+L1296)</f>
        <v>1034463.97447455</v>
      </c>
      <c r="M1298" s="73" t="n">
        <f aca="false">IF(M1297=1,0,M1294+M1296)</f>
        <v>0</v>
      </c>
      <c r="N1298" s="73" t="n">
        <f aca="false">IF(N1297=1,0,N1294+N1296)</f>
        <v>1042349.15511394</v>
      </c>
      <c r="O1298" s="73" t="n">
        <f aca="false">IF(O1297=1,0,O1294+O1296)</f>
        <v>0</v>
      </c>
    </row>
    <row r="1299" customFormat="false" ht="15" hidden="false" customHeight="false" outlineLevel="0" collapsed="false">
      <c r="B1299" s="65" t="s">
        <v>1033</v>
      </c>
      <c r="C1299" s="73" t="n">
        <v>0</v>
      </c>
      <c r="D1299" s="73" t="n">
        <f aca="false">D1292-D1298</f>
        <v>0</v>
      </c>
      <c r="E1299" s="73" t="n">
        <f aca="false">E1292-E1298</f>
        <v>0</v>
      </c>
      <c r="F1299" s="73" t="n">
        <f aca="false">F1292-F1298</f>
        <v>0</v>
      </c>
      <c r="G1299" s="73" t="n">
        <f aca="false">G1292-G1298</f>
        <v>0</v>
      </c>
      <c r="H1299" s="73" t="n">
        <f aca="false">H1292-H1298</f>
        <v>0</v>
      </c>
      <c r="I1299" s="73" t="n">
        <f aca="false">I1292-I1298</f>
        <v>0</v>
      </c>
      <c r="J1299" s="73" t="n">
        <f aca="false">J1292-J1298</f>
        <v>0</v>
      </c>
      <c r="K1299" s="73" t="n">
        <f aca="false">K1292-K1298</f>
        <v>0</v>
      </c>
      <c r="L1299" s="73" t="n">
        <f aca="false">L1292-L1298</f>
        <v>0</v>
      </c>
      <c r="M1299" s="73" t="n">
        <f aca="false">M1292-M1298</f>
        <v>0</v>
      </c>
      <c r="N1299" s="73" t="n">
        <f aca="false">N1292-N1298</f>
        <v>0</v>
      </c>
      <c r="O1299" s="73" t="n">
        <f aca="false">O1292-O1298</f>
        <v>0</v>
      </c>
    </row>
    <row r="1300" customFormat="false" ht="15" hidden="false" customHeight="false" outlineLevel="0" collapsed="false">
      <c r="B1300" s="65" t="s">
        <v>1034</v>
      </c>
      <c r="C1300" s="25"/>
      <c r="D1300" s="65" t="n">
        <f aca="false">IF(AND(D1285=1,D1297=0,D1299&gt;0.000001),1,0)</f>
        <v>0</v>
      </c>
      <c r="E1300" s="65" t="n">
        <f aca="false">IF(AND(E1285=1,E1297=0,E1299&gt;0.000001),1,0)</f>
        <v>0</v>
      </c>
      <c r="F1300" s="65" t="n">
        <f aca="false">IF(AND(F1285=1,F1297=0,F1299&gt;0.000001),1,0)</f>
        <v>0</v>
      </c>
      <c r="G1300" s="65" t="n">
        <f aca="false">IF(AND(G1285=1,G1297=0,G1299&gt;0.000001),1,0)</f>
        <v>0</v>
      </c>
      <c r="H1300" s="65" t="n">
        <f aca="false">IF(AND(H1285=1,H1297=0,H1299&gt;0.000001),1,0)</f>
        <v>0</v>
      </c>
      <c r="I1300" s="65" t="n">
        <f aca="false">IF(AND(I1285=1,I1297=0,I1299&gt;0.000001),1,0)</f>
        <v>0</v>
      </c>
      <c r="J1300" s="65" t="n">
        <f aca="false">IF(AND(J1285=1,J1297=0,J1299&gt;0.000001),1,0)</f>
        <v>0</v>
      </c>
      <c r="K1300" s="65" t="n">
        <f aca="false">IF(AND(K1285=1,K1297=0,K1299&gt;0.000001),1,0)</f>
        <v>0</v>
      </c>
      <c r="L1300" s="65" t="n">
        <f aca="false">IF(AND(L1285=1,L1297=0,L1299&gt;0.000001),1,0)</f>
        <v>0</v>
      </c>
      <c r="M1300" s="65" t="n">
        <f aca="false">IF(AND(M1285=1,M1297=0,M1299&gt;0.000001),1,0)</f>
        <v>0</v>
      </c>
      <c r="N1300" s="65" t="n">
        <f aca="false">IF(AND(N1285=1,N1297=0,N1299&gt;0.000001),1,0)</f>
        <v>0</v>
      </c>
      <c r="O1300" s="65" t="n">
        <f aca="false">IF(AND(O1285=1,O1297=0,O1299&gt;0.000001),1,0)</f>
        <v>0</v>
      </c>
    </row>
    <row r="1301" customFormat="false" ht="15" hidden="false" customHeight="false" outlineLevel="0" collapsed="false">
      <c r="B1301" s="65" t="s">
        <v>843</v>
      </c>
      <c r="C1301" s="65" t="n">
        <v>0</v>
      </c>
      <c r="D1301" s="65" t="n">
        <f aca="false">IF(D1285=1,IF(D1300=1,C1301+1,0),C1301)</f>
        <v>0</v>
      </c>
      <c r="E1301" s="65" t="n">
        <f aca="false">IF(E1285=1,IF(E1300=1,D1301+1,0),D1301)</f>
        <v>0</v>
      </c>
      <c r="F1301" s="65" t="n">
        <f aca="false">IF(F1285=1,IF(F1300=1,E1301+1,0),E1301)</f>
        <v>0</v>
      </c>
      <c r="G1301" s="65" t="n">
        <f aca="false">IF(G1285=1,IF(G1300=1,F1301+1,0),F1301)</f>
        <v>0</v>
      </c>
      <c r="H1301" s="65" t="n">
        <f aca="false">IF(H1285=1,IF(H1300=1,G1301+1,0),G1301)</f>
        <v>0</v>
      </c>
      <c r="I1301" s="65" t="n">
        <f aca="false">IF(I1285=1,IF(I1300=1,H1301+1,0),H1301)</f>
        <v>0</v>
      </c>
      <c r="J1301" s="65" t="n">
        <f aca="false">IF(J1285=1,IF(J1300=1,I1301+1,0),I1301)</f>
        <v>0</v>
      </c>
      <c r="K1301" s="65" t="n">
        <f aca="false">IF(K1285=1,IF(K1300=1,J1301+1,0),J1301)</f>
        <v>0</v>
      </c>
      <c r="L1301" s="65" t="n">
        <f aca="false">IF(L1285=1,IF(L1300=1,K1301+1,0),K1301)</f>
        <v>0</v>
      </c>
      <c r="M1301" s="65" t="n">
        <f aca="false">IF(M1285=1,IF(M1300=1,L1301+1,0),L1301)</f>
        <v>0</v>
      </c>
      <c r="N1301" s="65" t="n">
        <f aca="false">IF(N1285=1,IF(N1300=1,M1301+1,0),M1301)</f>
        <v>0</v>
      </c>
      <c r="O1301" s="65" t="n">
        <f aca="false">IF(O1285=1,IF(O1300=1,N1301+1,0),N1301)</f>
        <v>0</v>
      </c>
    </row>
    <row r="1302" customFormat="false" ht="15" hidden="false" customHeight="false" outlineLevel="0" collapsed="false">
      <c r="B1302" s="65" t="s">
        <v>1035</v>
      </c>
      <c r="C1302" s="73" t="n">
        <f aca="false">AN_cible*Ws_MAPIF</f>
        <v>12500000</v>
      </c>
      <c r="D1302" s="73" t="n">
        <f aca="false">C1302*(1+Rend_MAPIF/4)*IF(D1283=1,(1-(Cap_MAPIF*$V$15+(1-Cap_MAPIF)*$V$16))*(1+1*$V$14),1)+D1312-D1306-D1327*IF((C1302+C1303+C1304+C1305)&gt;0,C1302/(C1302+C1303+C1304+C1305),0)</f>
        <v>13159062.5</v>
      </c>
      <c r="E1302" s="73" t="n">
        <f aca="false">D1302*(1+Rend_MAPIF/4)*IF(E1283=1,(1-(Cap_MAPIF*$V$15+(1-Cap_MAPIF)*$V$16))*(1+1*$V$14),1)+E1312-E1306-E1327*IF((D1302+D1303+D1304+D1305)&gt;0,D1302/(D1302+D1303+D1304+D1305),0)</f>
        <v>13823216.2578125</v>
      </c>
      <c r="F1302" s="73" t="n">
        <f aca="false">E1302*(1+Rend_MAPIF/4)*IF(F1283=1,(1-(Cap_MAPIF*$V$15+(1-Cap_MAPIF)*$V$16))*(1+1*$V$14),1)+F1312-F1306-F1327*IF((E1302+E1303+E1304+E1305)&gt;0,E1302/(E1302+E1303+E1304+E1305),0)</f>
        <v>14492500.6034041</v>
      </c>
      <c r="G1302" s="73" t="n">
        <f aca="false">F1302*(1+Rend_MAPIF/4)*IF(G1283=1,(1-(Cap_MAPIF*$V$15+(1-Cap_MAPIF)*$V$16))*(1+1*$V$14),1)+G1312-G1306-G1327*IF((F1302+F1303+F1304+F1305)&gt;0,F1302/(F1302+F1303+F1304+F1305),0)</f>
        <v>15166955.1705654</v>
      </c>
      <c r="H1302" s="73" t="n">
        <f aca="false">G1302*(1+Rend_MAPIF/4)*IF(H1283=1,(1-(Cap_MAPIF*$V$15+(1-Cap_MAPIF)*$V$16))*(1+1*$V$14),1)+H1312-H1306-H1327*IF((G1302+G1303+G1304+G1305)&gt;0,G1302/(G1302+G1303+G1304+G1305),0)</f>
        <v>15659119.899258</v>
      </c>
      <c r="I1302" s="73" t="n">
        <f aca="false">H1302*(1+Rend_MAPIF/4)*IF(I1283=1,(1-(Cap_MAPIF*$V$15+(1-Cap_MAPIF)*$V$16))*(1+1*$V$14),1)+I1312-I1306-I1327*IF((H1302+H1303+H1304+H1305)&gt;0,H1302/(H1302+H1303+H1304+H1305),0)</f>
        <v>16155086.6004798</v>
      </c>
      <c r="J1302" s="73" t="n">
        <f aca="false">I1302*(1+Rend_MAPIF/4)*IF(J1283=1,(1-(Cap_MAPIF*$V$15+(1-Cap_MAPIF)*$V$16))*(1+1*$V$14),1)+J1312-J1306-J1327*IF((I1302+I1303+I1304+I1305)&gt;0,I1302/(I1302+I1303+I1304+I1305),0)</f>
        <v>16654884.6444685</v>
      </c>
      <c r="K1302" s="73" t="n">
        <f aca="false">J1302*(1+Rend_MAPIF/4)*IF(K1283=1,(1-(Cap_MAPIF*$V$15+(1-Cap_MAPIF)*$V$16))*(1+1*$V$14),1)+K1312-K1306-K1327*IF((J1302+J1303+J1304+J1305)&gt;0,J1302/(J1302+J1303+J1304+J1305),0)</f>
        <v>17158543.628347</v>
      </c>
      <c r="L1302" s="73" t="n">
        <f aca="false">K1302*(1+Rend_MAPIF/4)*IF(L1283=1,(1-(Cap_MAPIF*$V$15+(1-Cap_MAPIF)*$V$16))*(1+1*$V$14),1)+L1312-L1306-L1327*IF((K1302+K1303+K1304+K1305)&gt;0,K1302/(K1302+K1303+K1304+K1305),0)</f>
        <v>17666093.377876</v>
      </c>
      <c r="M1302" s="73" t="n">
        <f aca="false">L1302*(1+Rend_MAPIF/4)*IF(M1283=1,(1-(Cap_MAPIF*$V$15+(1-Cap_MAPIF)*$V$16))*(1+1*$V$14),1)+M1312-M1306-M1327*IF((L1302+L1303+L1304+L1305)&gt;0,L1302/(L1302+L1303+L1304+L1305),0)</f>
        <v>18177563.9492201</v>
      </c>
      <c r="N1302" s="73" t="n">
        <f aca="false">M1302*(1+Rend_MAPIF/4)*IF(N1283=1,(1-(Cap_MAPIF*$V$15+(1-Cap_MAPIF)*$V$16))*(1+1*$V$14),1)+N1312-N1306-N1327*IF((M1302+M1303+M1304+M1305)&gt;0,M1302/(M1302+M1303+M1304+M1305),0)</f>
        <v>18317985.6307278</v>
      </c>
      <c r="O1302" s="73" t="n">
        <f aca="false">N1302*(1+Rend_MAPIF/4)*IF(O1283=1,(1-(Cap_MAPIF*$V$15+(1-Cap_MAPIF)*$V$16))*(1+1*$V$14),1)+O1312-O1306-O1327*IF((N1302+N1303+N1304+N1305)&gt;0,N1302/(N1302+N1303+N1304+N1305),0)</f>
        <v>18459492.0697252</v>
      </c>
    </row>
    <row r="1303" customFormat="false" ht="15" hidden="false" customHeight="false" outlineLevel="0" collapsed="false">
      <c r="B1303" s="65" t="s">
        <v>1036</v>
      </c>
      <c r="C1303" s="73" t="n">
        <f aca="false">AN_cible*Ws_MSIG</f>
        <v>5500000</v>
      </c>
      <c r="D1303" s="73" t="n">
        <f aca="false">C1303*(1+Rend_MSIG/4)*IF(D1283=1,(1-(Cap_MSIG*$V$15+(1-Cap_MSIG)*$V$16))*(1+MSIG_USD*$V$14),1)+D1313-D1307-D1327*IF((C1302+C1303+C1304+C1305)&gt;0,C1303/(C1302+C1303+C1304+C1305),0)</f>
        <v>5898237.5</v>
      </c>
      <c r="E1303" s="73" t="n">
        <f aca="false">D1303*(1+Rend_MSIG/4)*IF(E1283=1,(1-(Cap_MSIG*$V$15+(1-Cap_MSIG)*$V$16))*(1+MSIG_USD*$V$14),1)+E1313-E1307-E1327*IF((D1302+D1303+D1304+D1305)&gt;0,D1303/(D1302+D1303+D1304+D1305),0)</f>
        <v>6298157.5534375</v>
      </c>
      <c r="F1303" s="73" t="n">
        <f aca="false">E1303*(1+Rend_MSIG/4)*IF(F1283=1,(1-(Cap_MSIG*$V$15+(1-Cap_MSIG)*$V$16))*(1+MSIG_USD*$V$14),1)+F1313-F1307-F1327*IF((E1302+E1303+E1304+E1305)&gt;0,E1303/(E1302+E1303+E1304+E1305),0)</f>
        <v>6699767.26910077</v>
      </c>
      <c r="G1303" s="73" t="n">
        <f aca="false">F1303*(1+Rend_MSIG/4)*IF(G1283=1,(1-(Cap_MSIG*$V$15+(1-Cap_MSIG)*$V$16))*(1+MSIG_USD*$V$14),1)+G1313-G1307-G1327*IF((F1302+F1303+F1304+F1305)&gt;0,F1303/(F1302+F1303+F1304+F1305),0)</f>
        <v>7103073.78581272</v>
      </c>
      <c r="H1303" s="73" t="n">
        <f aca="false">G1303*(1+Rend_MSIG/4)*IF(H1283=1,(1-(Cap_MSIG*$V$15+(1-Cap_MSIG)*$V$16))*(1+MSIG_USD*$V$14),1)+H1313-H1307-H1327*IF((G1302+G1303+G1304+G1305)&gt;0,G1303/(G1302+G1303+G1304+G1305),0)</f>
        <v>7383084.27255778</v>
      </c>
      <c r="I1303" s="73" t="n">
        <f aca="false">H1303*(1+Rend_MSIG/4)*IF(I1283=1,(1-(Cap_MSIG*$V$15+(1-Cap_MSIG)*$V$16))*(1+MSIG_USD*$V$14),1)+I1313-I1307-I1327*IF((H1302+H1303+H1304+H1305)&gt;0,H1303/(H1302+H1303+H1304+H1305),0)</f>
        <v>7664277.80360934</v>
      </c>
      <c r="J1303" s="73" t="n">
        <f aca="false">I1303*(1+Rend_MSIG/4)*IF(J1283=1,(1-(Cap_MSIG*$V$15+(1-Cap_MSIG)*$V$16))*(1+MSIG_USD*$V$14),1)+J1313-J1307-J1327*IF((I1302+I1303+I1304+I1305)&gt;0,I1303/(I1302+I1303+I1304+I1305),0)</f>
        <v>7946659.37732959</v>
      </c>
      <c r="K1303" s="73" t="n">
        <f aca="false">J1303*(1+Rend_MSIG/4)*IF(K1283=1,(1-(Cap_MSIG*$V$15+(1-Cap_MSIG)*$V$16))*(1+MSIG_USD*$V$14),1)+K1313-K1307-K1327*IF((J1302+J1303+J1304+J1305)&gt;0,J1303/(J1302+J1303+J1304+J1305),0)</f>
        <v>8230234.01319881</v>
      </c>
      <c r="L1303" s="73" t="n">
        <f aca="false">K1303*(1+Rend_MSIG/4)*IF(L1283=1,(1-(Cap_MSIG*$V$15+(1-Cap_MSIG)*$V$16))*(1+MSIG_USD*$V$14),1)+L1313-L1307-L1327*IF((K1302+K1303+K1304+K1305)&gt;0,K1303/(K1302+K1303+K1304+K1305),0)</f>
        <v>8515006.75190457</v>
      </c>
      <c r="M1303" s="73" t="n">
        <f aca="false">L1303*(1+Rend_MSIG/4)*IF(M1283=1,(1-(Cap_MSIG*$V$15+(1-Cap_MSIG)*$V$16))*(1+MSIG_USD*$V$14),1)+M1313-M1307-M1327*IF((L1302+L1303+L1304+L1305)&gt;0,L1303/(L1302+L1303+L1304+L1305),0)</f>
        <v>8800982.65543137</v>
      </c>
      <c r="N1303" s="73" t="n">
        <f aca="false">M1303*(1+Rend_MSIG/4)*IF(N1283=1,(1-(Cap_MSIG*$V$15+(1-Cap_MSIG)*$V$16))*(1+MSIG_USD*$V$14),1)+N1313-N1307-N1327*IF((M1302+M1303+M1304+M1305)&gt;0,M1303/(M1302+M1303+M1304+M1305),0)</f>
        <v>8838166.80715057</v>
      </c>
      <c r="O1303" s="73" t="n">
        <f aca="false">N1303*(1+Rend_MSIG/4)*IF(O1283=1,(1-(Cap_MSIG*$V$15+(1-Cap_MSIG)*$V$16))*(1+MSIG_USD*$V$14),1)+O1313-O1307-O1327*IF((N1302+N1303+N1304+N1305)&gt;0,N1303/(N1302+N1303+N1304+N1305),0)</f>
        <v>8875508.06191078</v>
      </c>
    </row>
    <row r="1304" customFormat="false" ht="15" hidden="false" customHeight="false" outlineLevel="0" collapsed="false">
      <c r="B1304" s="65" t="s">
        <v>1037</v>
      </c>
      <c r="C1304" s="73" t="n">
        <f aca="false">AN_cible*Ws_PG</f>
        <v>12250000</v>
      </c>
      <c r="D1304" s="73" t="n">
        <f aca="false">C1304*(1+Rend_PG/4)*IF(D1283=1,(1-(Cap_PG*$V$15+(1-Cap_PG)*$V$16))*(1+0*$V$14),1)-D1308-D1324*IF((D1314+D1315)&gt;0,D1314/(D1314+D1315),0)+D1329/2-D1327*IF((C1302+C1303+C1304+C1305)&gt;0,C1304/(C1302+C1303+C1304+C1305),0)</f>
        <v>11888931.25</v>
      </c>
      <c r="E1304" s="73" t="n">
        <f aca="false">D1304*(1+Rend_PG/4)*IF(E1283=1,(1-(Cap_PG*$V$15+(1-Cap_PG)*$V$16))*(1+0*$V$14),1)-E1308-E1324*IF((E1314+E1315)&gt;0,E1314/(E1314+E1315),0)+E1329/2-E1327*IF((D1302+D1303+D1304+D1305)&gt;0,D1304/(D1302+D1303+D1304+D1305),0)</f>
        <v>11538505.0014063</v>
      </c>
      <c r="F1304" s="73" t="n">
        <f aca="false">E1304*(1+Rend_PG/4)*IF(F1283=1,(1-(Cap_PG*$V$15+(1-Cap_PG)*$V$16))*(1+0*$V$14),1)-F1308-F1324*IF((F1314+F1315)&gt;0,F1314/(F1314+F1315),0)+F1329/2-F1327*IF((E1302+E1303+E1304+E1305)&gt;0,E1304/(E1302+E1303+E1304+E1305),0)</f>
        <v>11198407.5664898</v>
      </c>
      <c r="G1304" s="73" t="n">
        <f aca="false">F1304*(1+Rend_PG/4)*IF(G1283=1,(1-(Cap_PG*$V$15+(1-Cap_PG)*$V$16))*(1+0*$V$14),1)-G1308-G1324*IF((G1314+G1315)&gt;0,G1314/(G1314+G1315),0)+G1329/2-G1327*IF((F1302+F1303+F1304+F1305)&gt;0,F1304/(F1302+F1303+F1304+F1305),0)</f>
        <v>10868334.5034675</v>
      </c>
      <c r="H1304" s="73" t="n">
        <f aca="false">G1304*(1+Rend_PG/4)*IF(H1283=1,(1-(Cap_PG*$V$15+(1-Cap_PG)*$V$16))*(1+0*$V$14),1)-H1308-H1324*IF((H1314+H1315)&gt;0,H1314/(H1314+H1315),0)+H1329/2-H1327*IF((G1302+G1303+G1304+G1305)&gt;0,G1304/(G1302+G1303+G1304+G1305),0)</f>
        <v>10547990.3439778</v>
      </c>
      <c r="I1304" s="73" t="n">
        <f aca="false">H1304*(1+Rend_PG/4)*IF(I1283=1,(1-(Cap_PG*$V$15+(1-Cap_PG)*$V$16))*(1+0*$V$14),1)-I1308-I1324*IF((I1314+I1315)&gt;0,I1314/(I1314+I1315),0)+I1329/2-I1327*IF((H1302+H1303+H1304+H1305)&gt;0,H1304/(H1302+H1303+H1304+H1305),0)</f>
        <v>10237088.3285891</v>
      </c>
      <c r="J1304" s="73" t="n">
        <f aca="false">I1304*(1+Rend_PG/4)*IF(J1283=1,(1-(Cap_PG*$V$15+(1-Cap_PG)*$V$16))*(1+0*$V$14),1)-J1308-J1324*IF((J1314+J1315)&gt;0,J1314/(J1314+J1315),0)+J1329/2-J1327*IF((I1302+I1303+I1304+I1305)&gt;0,I1304/(I1302+I1303+I1304+I1305),0)</f>
        <v>9935350.1501039</v>
      </c>
      <c r="K1304" s="73" t="n">
        <f aca="false">J1304*(1+Rend_PG/4)*IF(K1283=1,(1-(Cap_PG*$V$15+(1-Cap_PG)*$V$16))*(1+0*$V$14),1)-K1308-K1324*IF((K1314+K1315)&gt;0,K1314/(K1314+K1315),0)+K1329/2-K1327*IF((J1302+J1303+J1304+J1305)&gt;0,J1304/(J1302+J1303+J1304+J1305),0)</f>
        <v>9642505.70442959</v>
      </c>
      <c r="L1304" s="73" t="n">
        <f aca="false">K1304*(1+Rend_PG/4)*IF(L1283=1,(1-(Cap_PG*$V$15+(1-Cap_PG)*$V$16))*(1+0*$V$14),1)-L1308-L1324*IF((L1314+L1315)&gt;0,L1314/(L1314+L1315),0)+L1329/2-L1327*IF((K1302+K1303+K1304+K1305)&gt;0,K1304/(K1302+K1303+K1304+K1305),0)</f>
        <v>9358292.84879153</v>
      </c>
      <c r="M1304" s="73" t="n">
        <f aca="false">L1304*(1+Rend_PG/4)*IF(M1283=1,(1-(Cap_PG*$V$15+(1-Cap_PG)*$V$16))*(1+0*$V$14),1)-M1308-M1324*IF((M1314+M1315)&gt;0,M1314/(M1314+M1315),0)+M1329/2-M1327*IF((L1302+L1303+L1304+L1305)&gt;0,L1304/(L1302+L1303+L1304+L1305),0)</f>
        <v>9082457.1670734</v>
      </c>
      <c r="N1304" s="73" t="n">
        <f aca="false">M1304*(1+Rend_PG/4)*IF(N1283=1,(1-(Cap_PG*$V$15+(1-Cap_PG)*$V$16))*(1+0*$V$14),1)-N1308-N1324*IF((N1314+N1315)&gt;0,N1314/(N1314+N1315),0)+N1329/2-N1327*IF((M1302+M1303+M1304+M1305)&gt;0,M1304/(M1302+M1303+M1304+M1305),0)</f>
        <v>8814751.74207391</v>
      </c>
      <c r="O1304" s="73" t="n">
        <f aca="false">N1304*(1+Rend_PG/4)*IF(O1283=1,(1-(Cap_PG*$V$15+(1-Cap_PG)*$V$16))*(1+0*$V$14),1)-O1308-O1324*IF((O1314+O1315)&gt;0,O1314/(O1314+O1315),0)+O1329/2-O1327*IF((N1302+N1303+N1304+N1305)&gt;0,N1304/(N1302+N1303+N1304+N1305),0)</f>
        <v>8995674.52157998</v>
      </c>
    </row>
    <row r="1305" customFormat="false" ht="15" hidden="false" customHeight="false" outlineLevel="0" collapsed="false">
      <c r="B1305" s="65" t="s">
        <v>1038</v>
      </c>
      <c r="C1305" s="73" t="n">
        <f aca="false">AN_cible*Ws_ARES</f>
        <v>12250000</v>
      </c>
      <c r="D1305" s="73" t="n">
        <f aca="false">C1305*(1+Rend_ARES/4)*IF(D1283=1,(1-(Cap_ARES*$V$15+(1-Cap_ARES)*$V$16))*(1+0*$V$14),1)-D1309-D1324*IF((D1314+D1315)&gt;0,D1315/(D1314+D1315),0)/(1-IF(D1283&lt;=Deduc_trim,Deduc_ares,0))+D1329/2-D1327*IF((C1302+C1303+C1304+C1305)&gt;0,C1305/(C1302+C1303+C1304+C1305),0)</f>
        <v>11727537.5</v>
      </c>
      <c r="E1305" s="73" t="n">
        <f aca="false">D1305*(1+Rend_ARES/4)*IF(E1283=1,(1-(Cap_ARES*$V$15+(1-Cap_ARES)*$V$16))*(1+0*$V$14),1)-E1309-E1324*IF((E1314+E1315)&gt;0,E1315/(E1314+E1315),0)/(1-IF(E1283&lt;=Deduc_trim,Deduc_ares,0))+E1329/2-E1327*IF((D1302+D1303+D1304+D1305)&gt;0,D1305/(D1302+D1303+D1304+D1305),0)</f>
        <v>11227358.025625</v>
      </c>
      <c r="F1305" s="73" t="n">
        <f aca="false">E1305*(1+Rend_ARES/4)*IF(F1283=1,(1-(Cap_ARES*$V$15+(1-Cap_ARES)*$V$16))*(1+0*$V$14),1)-F1309-F1324*IF((F1314+F1315)&gt;0,F1315/(F1314+F1315),0)/(1-IF(F1283&lt;=Deduc_trim,Deduc_ares,0))+F1329/2-F1327*IF((E1302+E1303+E1304+E1305)&gt;0,E1305/(E1302+E1303+E1304+E1305),0)</f>
        <v>10748511.2058321</v>
      </c>
      <c r="G1305" s="73" t="n">
        <f aca="false">F1305*(1+Rend_ARES/4)*IF(G1283=1,(1-(Cap_ARES*$V$15+(1-Cap_ARES)*$V$16))*(1+0*$V$14),1)-G1309-G1324*IF((G1314+G1315)&gt;0,G1315/(G1314+G1315),0)/(1-IF(G1283&lt;=Deduc_trim,Deduc_ares,0))+G1329/2-G1327*IF((F1302+F1303+F1304+F1305)&gt;0,F1305/(F1302+F1303+F1304+F1305),0)</f>
        <v>10290087.2029034</v>
      </c>
      <c r="H1305" s="73" t="n">
        <f aca="false">G1305*(1+Rend_ARES/4)*IF(H1283=1,(1-(Cap_ARES*$V$15+(1-Cap_ARES)*$V$16))*(1+0*$V$14),1)-H1309-H1324*IF((H1314+H1315)&gt;0,H1315/(H1314+H1315),0)/(1-IF(H1283&lt;=Deduc_trim,Deduc_ares,0))+H1329/2-H1327*IF((G1302+G1303+G1304+G1305)&gt;0,G1305/(G1302+G1303+G1304+G1305),0)</f>
        <v>9851214.98369952</v>
      </c>
      <c r="I1305" s="73" t="n">
        <f aca="false">H1305*(1+Rend_ARES/4)*IF(I1283=1,(1-(Cap_ARES*$V$15+(1-Cap_ARES)*$V$16))*(1+0*$V$14),1)-I1309-I1324*IF((I1314+I1315)&gt;0,I1315/(I1314+I1315),0)/(1-IF(I1283&lt;=Deduc_trim,Deduc_ares,0))+I1329/2-I1327*IF((H1302+H1303+H1304+H1305)&gt;0,H1305/(H1302+H1303+H1304+H1305),0)</f>
        <v>9431060.66464474</v>
      </c>
      <c r="J1305" s="73" t="n">
        <f aca="false">I1305*(1+Rend_ARES/4)*IF(J1283=1,(1-(Cap_ARES*$V$15+(1-Cap_ARES)*$V$16))*(1+0*$V$14),1)-J1309-J1324*IF((J1314+J1315)&gt;0,J1315/(J1314+J1315),0)/(1-IF(J1283&lt;=Deduc_trim,Deduc_ares,0))+J1329/2-J1327*IF((I1302+I1303+I1304+I1305)&gt;0,I1305/(I1302+I1303+I1304+I1305),0)</f>
        <v>9028825.92729764</v>
      </c>
      <c r="K1305" s="73" t="n">
        <f aca="false">J1305*(1+Rend_ARES/4)*IF(K1283=1,(1-(Cap_ARES*$V$15+(1-Cap_ARES)*$V$16))*(1+0*$V$14),1)-K1309-K1324*IF((K1314+K1315)&gt;0,K1315/(K1314+K1315),0)/(1-IF(K1283&lt;=Deduc_trim,Deduc_ares,0))+K1329/2-K1327*IF((J1302+J1303+J1304+J1305)&gt;0,J1305/(J1302+J1303+J1304+J1305),0)</f>
        <v>8643746.5014984</v>
      </c>
      <c r="L1305" s="73" t="n">
        <f aca="false">K1305*(1+Rend_ARES/4)*IF(L1283=1,(1-(Cap_ARES*$V$15+(1-Cap_ARES)*$V$16))*(1+0*$V$14),1)-L1309-L1324*IF((L1314+L1315)&gt;0,L1315/(L1314+L1315),0)/(1-IF(L1283&lt;=Deduc_trim,Deduc_ares,0))+L1329/2-L1327*IF((K1302+K1303+K1304+K1305)&gt;0,K1305/(K1302+K1303+K1304+K1305),0)</f>
        <v>8275090.71320949</v>
      </c>
      <c r="M1305" s="73" t="n">
        <f aca="false">L1305*(1+Rend_ARES/4)*IF(M1283=1,(1-(Cap_ARES*$V$15+(1-Cap_ARES)*$V$16))*(1+0*$V$14),1)-M1309-M1324*IF((M1314+M1315)&gt;0,M1315/(M1314+M1315),0)/(1-IF(M1283&lt;=Deduc_trim,Deduc_ares,0))+M1329/2-M1327*IF((L1302+L1303+L1304+L1305)&gt;0,L1305/(L1302+L1303+L1304+L1305),0)</f>
        <v>7922158.0942911</v>
      </c>
      <c r="N1305" s="73" t="n">
        <f aca="false">M1305*(1+Rend_ARES/4)*IF(N1283=1,(1-(Cap_ARES*$V$15+(1-Cap_ARES)*$V$16))*(1+0*$V$14),1)-N1309-N1324*IF((N1314+N1315)&gt;0,N1315/(N1314+N1315),0)/(1-IF(N1283&lt;=Deduc_trim,Deduc_ares,0))+N1329/2-N1327*IF((M1302+M1303+M1304+M1305)&gt;0,M1305/(M1302+M1303+M1304+M1305),0)</f>
        <v>7584278.05156959</v>
      </c>
      <c r="O1305" s="73" t="n">
        <f aca="false">N1305*(1+Rend_ARES/4)*IF(O1283=1,(1-(Cap_ARES*$V$15+(1-Cap_ARES)*$V$16))*(1+0*$V$14),1)-O1309-O1324*IF((O1314+O1315)&gt;0,O1315/(O1314+O1315),0)/(1-IF(O1283&lt;=Deduc_trim,Deduc_ares,0))+O1329/2-O1327*IF((N1302+N1303+N1304+N1305)&gt;0,N1305/(N1302+N1303+N1304+N1305),0)</f>
        <v>7640022.49524862</v>
      </c>
    </row>
    <row r="1306" customFormat="false" ht="15" hidden="false" customHeight="false" outlineLevel="0" collapsed="false">
      <c r="B1306" s="65" t="s">
        <v>1039</v>
      </c>
      <c r="C1306" s="25"/>
      <c r="D1306" s="73" t="n">
        <f aca="false">C1302*Dist_MAPIF/4*IF(D1283&lt;=$V$11,0,$V$10)</f>
        <v>187500</v>
      </c>
      <c r="E1306" s="73" t="n">
        <f aca="false">D1302*Dist_MAPIF/4*IF(E1283&lt;=$V$11,0,$V$10)</f>
        <v>197385.9375</v>
      </c>
      <c r="F1306" s="73" t="n">
        <f aca="false">E1302*Dist_MAPIF/4*IF(F1283&lt;=$V$11,0,$V$10)</f>
        <v>207348.243867188</v>
      </c>
      <c r="G1306" s="73" t="n">
        <f aca="false">F1302*Dist_MAPIF/4*IF(G1283&lt;=$V$11,0,$V$10)</f>
        <v>217387.509051062</v>
      </c>
      <c r="H1306" s="73" t="n">
        <f aca="false">G1302*Dist_MAPIF/4*IF(H1283&lt;=$V$11,0,$V$10)</f>
        <v>227504.327558481</v>
      </c>
      <c r="I1306" s="73" t="n">
        <f aca="false">H1302*Dist_MAPIF/4*IF(I1283&lt;=$V$11,0,$V$10)</f>
        <v>234886.79848887</v>
      </c>
      <c r="J1306" s="73" t="n">
        <f aca="false">I1302*Dist_MAPIF/4*IF(J1283&lt;=$V$11,0,$V$10)</f>
        <v>242326.299007197</v>
      </c>
      <c r="K1306" s="73" t="n">
        <f aca="false">J1302*Dist_MAPIF/4*IF(K1283&lt;=$V$11,0,$V$10)</f>
        <v>249823.269667028</v>
      </c>
      <c r="L1306" s="73" t="n">
        <f aca="false">K1302*Dist_MAPIF/4*IF(L1283&lt;=$V$11,0,$V$10)</f>
        <v>257378.154425205</v>
      </c>
      <c r="M1306" s="73" t="n">
        <f aca="false">L1302*Dist_MAPIF/4*IF(M1283&lt;=$V$11,0,$V$10)</f>
        <v>264991.40066814</v>
      </c>
      <c r="N1306" s="73" t="n">
        <f aca="false">M1302*Dist_MAPIF/4*IF(N1283&lt;=$V$11,0,$V$10)</f>
        <v>272663.459238302</v>
      </c>
      <c r="O1306" s="73" t="n">
        <f aca="false">N1302*Dist_MAPIF/4*IF(O1283&lt;=$V$11,0,$V$10)</f>
        <v>274769.784460917</v>
      </c>
    </row>
    <row r="1307" customFormat="false" ht="15" hidden="false" customHeight="false" outlineLevel="0" collapsed="false">
      <c r="B1307" s="65" t="s">
        <v>1040</v>
      </c>
      <c r="C1307" s="25"/>
      <c r="D1307" s="73" t="n">
        <f aca="false">C1303*Dist_MSIG/4*IF(D1283&lt;=$V$11,0,$V$10)</f>
        <v>96250</v>
      </c>
      <c r="E1307" s="73" t="n">
        <f aca="false">D1303*Dist_MSIG/4*IF(E1283&lt;=$V$11,0,$V$10)</f>
        <v>103219.15625</v>
      </c>
      <c r="F1307" s="73" t="n">
        <f aca="false">E1303*Dist_MSIG/4*IF(F1283&lt;=$V$11,0,$V$10)</f>
        <v>110217.757185156</v>
      </c>
      <c r="G1307" s="73" t="n">
        <f aca="false">F1303*Dist_MSIG/4*IF(G1283&lt;=$V$11,0,$V$10)</f>
        <v>117245.927209264</v>
      </c>
      <c r="H1307" s="73" t="n">
        <f aca="false">G1303*Dist_MSIG/4*IF(H1283&lt;=$V$11,0,$V$10)</f>
        <v>124303.791251723</v>
      </c>
      <c r="I1307" s="73" t="n">
        <f aca="false">H1303*Dist_MSIG/4*IF(I1283&lt;=$V$11,0,$V$10)</f>
        <v>129203.974769761</v>
      </c>
      <c r="J1307" s="73" t="n">
        <f aca="false">I1303*Dist_MSIG/4*IF(J1283&lt;=$V$11,0,$V$10)</f>
        <v>134124.861563163</v>
      </c>
      <c r="K1307" s="73" t="n">
        <f aca="false">J1303*Dist_MSIG/4*IF(K1283&lt;=$V$11,0,$V$10)</f>
        <v>139066.539103268</v>
      </c>
      <c r="L1307" s="73" t="n">
        <f aca="false">K1303*Dist_MSIG/4*IF(L1283&lt;=$V$11,0,$V$10)</f>
        <v>144029.095230979</v>
      </c>
      <c r="M1307" s="73" t="n">
        <f aca="false">L1303*Dist_MSIG/4*IF(M1283&lt;=$V$11,0,$V$10)</f>
        <v>149012.61815833</v>
      </c>
      <c r="N1307" s="73" t="n">
        <f aca="false">M1303*Dist_MSIG/4*IF(N1283&lt;=$V$11,0,$V$10)</f>
        <v>154017.196470049</v>
      </c>
      <c r="O1307" s="73" t="n">
        <f aca="false">N1303*Dist_MSIG/4*IF(O1283&lt;=$V$11,0,$V$10)</f>
        <v>154667.919125135</v>
      </c>
    </row>
    <row r="1308" customFormat="false" ht="15" hidden="false" customHeight="false" outlineLevel="0" collapsed="false">
      <c r="B1308" s="65" t="s">
        <v>1041</v>
      </c>
      <c r="C1308" s="25"/>
      <c r="D1308" s="73" t="n">
        <f aca="false">C1304*Dist_PG/4*IF(D1283&lt;=$V$11,0,$V$10)</f>
        <v>61250</v>
      </c>
      <c r="E1308" s="73" t="n">
        <f aca="false">D1304*Dist_PG/4*IF(E1283&lt;=$V$11,0,$V$10)</f>
        <v>59444.65625</v>
      </c>
      <c r="F1308" s="73" t="n">
        <f aca="false">E1304*Dist_PG/4*IF(F1283&lt;=$V$11,0,$V$10)</f>
        <v>57692.5250070313</v>
      </c>
      <c r="G1308" s="73" t="n">
        <f aca="false">F1304*Dist_PG/4*IF(G1283&lt;=$V$11,0,$V$10)</f>
        <v>55992.037832449</v>
      </c>
      <c r="H1308" s="73" t="n">
        <f aca="false">G1304*Dist_PG/4*IF(H1283&lt;=$V$11,0,$V$10)</f>
        <v>54341.6725173376</v>
      </c>
      <c r="I1308" s="73" t="n">
        <f aca="false">H1304*Dist_PG/4*IF(I1283&lt;=$V$11,0,$V$10)</f>
        <v>52739.9517198891</v>
      </c>
      <c r="J1308" s="73" t="n">
        <f aca="false">I1304*Dist_PG/4*IF(J1283&lt;=$V$11,0,$V$10)</f>
        <v>51185.4416429453</v>
      </c>
      <c r="K1308" s="73" t="n">
        <f aca="false">J1304*Dist_PG/4*IF(K1283&lt;=$V$11,0,$V$10)</f>
        <v>49676.7507505195</v>
      </c>
      <c r="L1308" s="73" t="n">
        <f aca="false">K1304*Dist_PG/4*IF(L1283&lt;=$V$11,0,$V$10)</f>
        <v>48212.528522148</v>
      </c>
      <c r="M1308" s="73" t="n">
        <f aca="false">L1304*Dist_PG/4*IF(M1283&lt;=$V$11,0,$V$10)</f>
        <v>46791.4642439576</v>
      </c>
      <c r="N1308" s="73" t="n">
        <f aca="false">M1304*Dist_PG/4*IF(N1283&lt;=$V$11,0,$V$10)</f>
        <v>45412.285835367</v>
      </c>
      <c r="O1308" s="73" t="n">
        <f aca="false">N1304*Dist_PG/4*IF(O1283&lt;=$V$11,0,$V$10)</f>
        <v>44073.7587103696</v>
      </c>
    </row>
    <row r="1309" customFormat="false" ht="15" hidden="false" customHeight="false" outlineLevel="0" collapsed="false">
      <c r="B1309" s="65" t="s">
        <v>1042</v>
      </c>
      <c r="C1309" s="25"/>
      <c r="D1309" s="73" t="n">
        <f aca="false">C1305*Dist_ARES/4*IF(D1283&lt;=$V$11,0,$V$10)</f>
        <v>153125</v>
      </c>
      <c r="E1309" s="73" t="n">
        <f aca="false">D1305*Dist_ARES/4*IF(E1283&lt;=$V$11,0,$V$10)</f>
        <v>146594.21875</v>
      </c>
      <c r="F1309" s="73" t="n">
        <f aca="false">E1305*Dist_ARES/4*IF(F1283&lt;=$V$11,0,$V$10)</f>
        <v>140341.975320313</v>
      </c>
      <c r="G1309" s="73" t="n">
        <f aca="false">F1305*Dist_ARES/4*IF(G1283&lt;=$V$11,0,$V$10)</f>
        <v>134356.390072901</v>
      </c>
      <c r="H1309" s="73" t="n">
        <f aca="false">G1305*Dist_ARES/4*IF(H1283&lt;=$V$11,0,$V$10)</f>
        <v>128626.090036292</v>
      </c>
      <c r="I1309" s="73" t="n">
        <f aca="false">H1305*Dist_ARES/4*IF(I1283&lt;=$V$11,0,$V$10)</f>
        <v>123140.187296244</v>
      </c>
      <c r="J1309" s="73" t="n">
        <f aca="false">I1305*Dist_ARES/4*IF(J1283&lt;=$V$11,0,$V$10)</f>
        <v>117888.258308059</v>
      </c>
      <c r="K1309" s="73" t="n">
        <f aca="false">J1305*Dist_ARES/4*IF(K1283&lt;=$V$11,0,$V$10)</f>
        <v>112860.324091221</v>
      </c>
      <c r="L1309" s="73" t="n">
        <f aca="false">K1305*Dist_ARES/4*IF(L1283&lt;=$V$11,0,$V$10)</f>
        <v>108046.83126873</v>
      </c>
      <c r="M1309" s="73" t="n">
        <f aca="false">L1305*Dist_ARES/4*IF(M1283&lt;=$V$11,0,$V$10)</f>
        <v>103438.633915119</v>
      </c>
      <c r="N1309" s="73" t="n">
        <f aca="false">M1305*Dist_ARES/4*IF(N1283&lt;=$V$11,0,$V$10)</f>
        <v>99026.9761786388</v>
      </c>
      <c r="O1309" s="73" t="n">
        <f aca="false">N1305*Dist_ARES/4*IF(O1283&lt;=$V$11,0,$V$10)</f>
        <v>94803.4756446198</v>
      </c>
    </row>
    <row r="1310" customFormat="false" ht="15" hidden="false" customHeight="false" outlineLevel="0" collapsed="false">
      <c r="B1310" s="65" t="s">
        <v>1043</v>
      </c>
      <c r="C1310" s="73" t="n">
        <f aca="false">AN_cible*$V$12*Part_MAPIF_NA</f>
        <v>4500000</v>
      </c>
      <c r="D1310" s="73" t="n">
        <f aca="false">C1310*IF(D1283=1,1+$V$14,1)-D1312</f>
        <v>3937500</v>
      </c>
      <c r="E1310" s="73" t="n">
        <f aca="false">D1310*IF(E1283=1,1+$V$14,1)-E1312</f>
        <v>3375000</v>
      </c>
      <c r="F1310" s="73" t="n">
        <f aca="false">E1310*IF(F1283=1,1+$V$14,1)-F1312</f>
        <v>2812500</v>
      </c>
      <c r="G1310" s="73" t="n">
        <f aca="false">F1310*IF(G1283=1,1+$V$14,1)-G1312</f>
        <v>2250000</v>
      </c>
      <c r="H1310" s="73" t="n">
        <f aca="false">G1310*IF(H1283=1,1+$V$14,1)-H1312</f>
        <v>1875000</v>
      </c>
      <c r="I1310" s="73" t="n">
        <f aca="false">H1310*IF(I1283=1,1+$V$14,1)-I1312</f>
        <v>1500000</v>
      </c>
      <c r="J1310" s="73" t="n">
        <f aca="false">I1310*IF(J1283=1,1+$V$14,1)-J1312</f>
        <v>1125000</v>
      </c>
      <c r="K1310" s="73" t="n">
        <f aca="false">J1310*IF(K1283=1,1+$V$14,1)-K1312</f>
        <v>750000</v>
      </c>
      <c r="L1310" s="73" t="n">
        <f aca="false">K1310*IF(L1283=1,1+$V$14,1)-L1312</f>
        <v>375000</v>
      </c>
      <c r="M1310" s="73" t="n">
        <f aca="false">L1310*IF(M1283=1,1+$V$14,1)-M1312</f>
        <v>0</v>
      </c>
      <c r="N1310" s="73" t="n">
        <f aca="false">M1310*IF(N1283=1,1+$V$14,1)-N1312</f>
        <v>0</v>
      </c>
      <c r="O1310" s="73" t="n">
        <f aca="false">N1310*IF(O1283=1,1+$V$14,1)-O1312</f>
        <v>0</v>
      </c>
    </row>
    <row r="1311" customFormat="false" ht="15" hidden="false" customHeight="false" outlineLevel="0" collapsed="false">
      <c r="B1311" s="65" t="s">
        <v>1044</v>
      </c>
      <c r="C1311" s="73" t="n">
        <f aca="false">AN_cible*$V$12*(1-Part_MAPIF_NA)</f>
        <v>3000000</v>
      </c>
      <c r="D1311" s="73" t="n">
        <f aca="false">C1311*IF(D1283=1,1+MSIG_USD*$V$14,1)-D1313</f>
        <v>2625000</v>
      </c>
      <c r="E1311" s="73" t="n">
        <f aca="false">D1311*IF(E1283=1,1+MSIG_USD*$V$14,1)-E1313</f>
        <v>2250000</v>
      </c>
      <c r="F1311" s="73" t="n">
        <f aca="false">E1311*IF(F1283=1,1+MSIG_USD*$V$14,1)-F1313</f>
        <v>1875000</v>
      </c>
      <c r="G1311" s="73" t="n">
        <f aca="false">F1311*IF(G1283=1,1+MSIG_USD*$V$14,1)-G1313</f>
        <v>1500000</v>
      </c>
      <c r="H1311" s="73" t="n">
        <f aca="false">G1311*IF(H1283=1,1+MSIG_USD*$V$14,1)-H1313</f>
        <v>1250000</v>
      </c>
      <c r="I1311" s="73" t="n">
        <f aca="false">H1311*IF(I1283=1,1+MSIG_USD*$V$14,1)-I1313</f>
        <v>1000000</v>
      </c>
      <c r="J1311" s="73" t="n">
        <f aca="false">I1311*IF(J1283=1,1+MSIG_USD*$V$14,1)-J1313</f>
        <v>750000</v>
      </c>
      <c r="K1311" s="73" t="n">
        <f aca="false">J1311*IF(K1283=1,1+MSIG_USD*$V$14,1)-K1313</f>
        <v>500000</v>
      </c>
      <c r="L1311" s="73" t="n">
        <f aca="false">K1311*IF(L1283=1,1+MSIG_USD*$V$14,1)-L1313</f>
        <v>250000</v>
      </c>
      <c r="M1311" s="73" t="n">
        <f aca="false">L1311*IF(M1283=1,1+MSIG_USD*$V$14,1)-M1313</f>
        <v>0</v>
      </c>
      <c r="N1311" s="73" t="n">
        <f aca="false">M1311*IF(N1283=1,1+MSIG_USD*$V$14,1)-N1313</f>
        <v>0</v>
      </c>
      <c r="O1311" s="73" t="n">
        <f aca="false">N1311*IF(O1283=1,1+MSIG_USD*$V$14,1)-O1313</f>
        <v>0</v>
      </c>
    </row>
    <row r="1312" customFormat="false" ht="15" hidden="false" customHeight="false" outlineLevel="0" collapsed="false">
      <c r="B1312" s="65" t="s">
        <v>1045</v>
      </c>
      <c r="C1312" s="25"/>
      <c r="D1312" s="73" t="n">
        <f aca="false">MIN(C1310*IF(D1283=1,1+$V$14,1),$C1310*(1+$V$14)*IF(D1283&lt;=4,$V$13/4,Appels_base))</f>
        <v>562500</v>
      </c>
      <c r="E1312" s="73" t="n">
        <f aca="false">MIN(D1310*IF(E1283=1,1+$V$14,1),$C1310*(1+$V$14)*IF(E1283&lt;=4,$V$13/4,Appels_base))</f>
        <v>562500</v>
      </c>
      <c r="F1312" s="73" t="n">
        <f aca="false">MIN(E1310*IF(F1283=1,1+$V$14,1),$C1310*(1+$V$14)*IF(F1283&lt;=4,$V$13/4,Appels_base))</f>
        <v>562500</v>
      </c>
      <c r="G1312" s="73" t="n">
        <f aca="false">MIN(F1310*IF(G1283=1,1+$V$14,1),$C1310*(1+$V$14)*IF(G1283&lt;=4,$V$13/4,Appels_base))</f>
        <v>562500</v>
      </c>
      <c r="H1312" s="73" t="n">
        <f aca="false">MIN(G1310*IF(H1283=1,1+$V$14,1),$C1310*(1+$V$14)*IF(H1283&lt;=4,$V$13/4,Appels_base))</f>
        <v>375000</v>
      </c>
      <c r="I1312" s="73" t="n">
        <f aca="false">MIN(H1310*IF(I1283=1,1+$V$14,1),$C1310*(1+$V$14)*IF(I1283&lt;=4,$V$13/4,Appels_base))</f>
        <v>375000</v>
      </c>
      <c r="J1312" s="73" t="n">
        <f aca="false">MIN(I1310*IF(J1283=1,1+$V$14,1),$C1310*(1+$V$14)*IF(J1283&lt;=4,$V$13/4,Appels_base))</f>
        <v>375000</v>
      </c>
      <c r="K1312" s="73" t="n">
        <f aca="false">MIN(J1310*IF(K1283=1,1+$V$14,1),$C1310*(1+$V$14)*IF(K1283&lt;=4,$V$13/4,Appels_base))</f>
        <v>375000</v>
      </c>
      <c r="L1312" s="73" t="n">
        <f aca="false">MIN(K1310*IF(L1283=1,1+$V$14,1),$C1310*(1+$V$14)*IF(L1283&lt;=4,$V$13/4,Appels_base))</f>
        <v>375000</v>
      </c>
      <c r="M1312" s="73" t="n">
        <f aca="false">MIN(L1310*IF(M1283=1,1+$V$14,1),$C1310*(1+$V$14)*IF(M1283&lt;=4,$V$13/4,Appels_base))</f>
        <v>375000</v>
      </c>
      <c r="N1312" s="73" t="n">
        <f aca="false">MIN(M1310*IF(N1283=1,1+$V$14,1),$C1310*(1+$V$14)*IF(N1283&lt;=4,$V$13/4,Appels_base))</f>
        <v>0</v>
      </c>
      <c r="O1312" s="73" t="n">
        <f aca="false">MIN(N1310*IF(O1283=1,1+$V$14,1),$C1310*(1+$V$14)*IF(O1283&lt;=4,$V$13/4,Appels_base))</f>
        <v>0</v>
      </c>
    </row>
    <row r="1313" customFormat="false" ht="15" hidden="false" customHeight="false" outlineLevel="0" collapsed="false">
      <c r="B1313" s="65" t="s">
        <v>1046</v>
      </c>
      <c r="C1313" s="25"/>
      <c r="D1313" s="73" t="n">
        <f aca="false">MIN(C1311*IF(D1283=1,1+MSIG_USD*$V$14,1),$C1311*(1+MSIG_USD*$V$14)*IF(D1283&lt;=4,$V$13/4,Appels_base))</f>
        <v>375000</v>
      </c>
      <c r="E1313" s="73" t="n">
        <f aca="false">MIN(D1311*IF(E1283=1,1+MSIG_USD*$V$14,1),$C1311*(1+MSIG_USD*$V$14)*IF(E1283&lt;=4,$V$13/4,Appels_base))</f>
        <v>375000</v>
      </c>
      <c r="F1313" s="73" t="n">
        <f aca="false">MIN(E1311*IF(F1283=1,1+MSIG_USD*$V$14,1),$C1311*(1+MSIG_USD*$V$14)*IF(F1283&lt;=4,$V$13/4,Appels_base))</f>
        <v>375000</v>
      </c>
      <c r="G1313" s="73" t="n">
        <f aca="false">MIN(F1311*IF(G1283=1,1+MSIG_USD*$V$14,1),$C1311*(1+MSIG_USD*$V$14)*IF(G1283&lt;=4,$V$13/4,Appels_base))</f>
        <v>375000</v>
      </c>
      <c r="H1313" s="73" t="n">
        <f aca="false">MIN(G1311*IF(H1283=1,1+MSIG_USD*$V$14,1),$C1311*(1+MSIG_USD*$V$14)*IF(H1283&lt;=4,$V$13/4,Appels_base))</f>
        <v>250000</v>
      </c>
      <c r="I1313" s="73" t="n">
        <f aca="false">MIN(H1311*IF(I1283=1,1+MSIG_USD*$V$14,1),$C1311*(1+MSIG_USD*$V$14)*IF(I1283&lt;=4,$V$13/4,Appels_base))</f>
        <v>250000</v>
      </c>
      <c r="J1313" s="73" t="n">
        <f aca="false">MIN(I1311*IF(J1283=1,1+MSIG_USD*$V$14,1),$C1311*(1+MSIG_USD*$V$14)*IF(J1283&lt;=4,$V$13/4,Appels_base))</f>
        <v>250000</v>
      </c>
      <c r="K1313" s="73" t="n">
        <f aca="false">MIN(J1311*IF(K1283=1,1+MSIG_USD*$V$14,1),$C1311*(1+MSIG_USD*$V$14)*IF(K1283&lt;=4,$V$13/4,Appels_base))</f>
        <v>250000</v>
      </c>
      <c r="L1313" s="73" t="n">
        <f aca="false">MIN(K1311*IF(L1283=1,1+MSIG_USD*$V$14,1),$C1311*(1+MSIG_USD*$V$14)*IF(L1283&lt;=4,$V$13/4,Appels_base))</f>
        <v>250000</v>
      </c>
      <c r="M1313" s="73" t="n">
        <f aca="false">MIN(L1311*IF(M1283=1,1+MSIG_USD*$V$14,1),$C1311*(1+MSIG_USD*$V$14)*IF(M1283&lt;=4,$V$13/4,Appels_base))</f>
        <v>250000</v>
      </c>
      <c r="N1313" s="73" t="n">
        <f aca="false">MIN(M1311*IF(N1283=1,1+MSIG_USD*$V$14,1),$C1311*(1+MSIG_USD*$V$14)*IF(N1283&lt;=4,$V$13/4,Appels_base))</f>
        <v>0</v>
      </c>
      <c r="O1313" s="73" t="n">
        <f aca="false">MIN(N1311*IF(O1283=1,1+MSIG_USD*$V$14,1),$C1311*(1+MSIG_USD*$V$14)*IF(O1283&lt;=4,$V$13/4,Appels_base))</f>
        <v>0</v>
      </c>
    </row>
    <row r="1314" customFormat="false" ht="15" hidden="false" customHeight="false" outlineLevel="0" collapsed="false">
      <c r="B1314" s="65" t="s">
        <v>1047</v>
      </c>
      <c r="C1314" s="25"/>
      <c r="D1314" s="73" t="n">
        <f aca="false">C1304*Capacite_evg*IF(D1283&lt;=4,$V$17,$V$18)</f>
        <v>612500</v>
      </c>
      <c r="E1314" s="73" t="n">
        <f aca="false">D1304*Capacite_evg*IF(E1283&lt;=4,$V$17,$V$18)</f>
        <v>594446.5625</v>
      </c>
      <c r="F1314" s="73" t="n">
        <f aca="false">E1304*Capacite_evg*IF(F1283&lt;=4,$V$17,$V$18)</f>
        <v>576925.250070313</v>
      </c>
      <c r="G1314" s="73" t="n">
        <f aca="false">F1304*Capacite_evg*IF(G1283&lt;=4,$V$17,$V$18)</f>
        <v>559920.37832449</v>
      </c>
      <c r="H1314" s="73" t="n">
        <f aca="false">G1304*Capacite_evg*IF(H1283&lt;=4,$V$17,$V$18)</f>
        <v>543416.725173376</v>
      </c>
      <c r="I1314" s="73" t="n">
        <f aca="false">H1304*Capacite_evg*IF(I1283&lt;=4,$V$17,$V$18)</f>
        <v>527399.517198891</v>
      </c>
      <c r="J1314" s="73" t="n">
        <f aca="false">I1304*Capacite_evg*IF(J1283&lt;=4,$V$17,$V$18)</f>
        <v>511854.416429453</v>
      </c>
      <c r="K1314" s="73" t="n">
        <f aca="false">J1304*Capacite_evg*IF(K1283&lt;=4,$V$17,$V$18)</f>
        <v>496767.507505195</v>
      </c>
      <c r="L1314" s="73" t="n">
        <f aca="false">K1304*Capacite_evg*IF(L1283&lt;=4,$V$17,$V$18)</f>
        <v>482125.28522148</v>
      </c>
      <c r="M1314" s="73" t="n">
        <f aca="false">L1304*Capacite_evg*IF(M1283&lt;=4,$V$17,$V$18)</f>
        <v>467914.642439576</v>
      </c>
      <c r="N1314" s="73" t="n">
        <f aca="false">M1304*Capacite_evg*IF(N1283&lt;=4,$V$17,$V$18)</f>
        <v>454122.85835367</v>
      </c>
      <c r="O1314" s="73" t="n">
        <f aca="false">N1304*Capacite_evg*IF(O1283&lt;=4,$V$17,$V$18)</f>
        <v>440737.587103696</v>
      </c>
    </row>
    <row r="1315" customFormat="false" ht="15" hidden="false" customHeight="false" outlineLevel="0" collapsed="false">
      <c r="B1315" s="65" t="s">
        <v>1048</v>
      </c>
      <c r="C1315" s="25"/>
      <c r="D1315" s="73" t="n">
        <f aca="false">C1305*Capacite_evg*IF(D1283&lt;=4,$V$17,$V$19)*(1-IF(D1283&lt;=Deduc_trim,Deduc_ares,0))</f>
        <v>581875</v>
      </c>
      <c r="E1315" s="73" t="n">
        <f aca="false">D1305*Capacite_evg*IF(E1283&lt;=4,$V$17,$V$19)*(1-IF(E1283&lt;=Deduc_trim,Deduc_ares,0))</f>
        <v>557058.03125</v>
      </c>
      <c r="F1315" s="73" t="n">
        <f aca="false">E1305*Capacite_evg*IF(F1283&lt;=4,$V$17,$V$19)*(1-IF(F1283&lt;=Deduc_trim,Deduc_ares,0))</f>
        <v>533299.506217187</v>
      </c>
      <c r="G1315" s="73" t="n">
        <f aca="false">F1305*Capacite_evg*IF(G1283&lt;=4,$V$17,$V$19)*(1-IF(G1283&lt;=Deduc_trim,Deduc_ares,0))</f>
        <v>510554.282277024</v>
      </c>
      <c r="H1315" s="73" t="n">
        <f aca="false">G1305*Capacite_evg*IF(H1283&lt;=4,$V$17,$V$19)*(1-IF(H1283&lt;=Deduc_trim,Deduc_ares,0))</f>
        <v>514504.360145168</v>
      </c>
      <c r="I1315" s="73" t="n">
        <f aca="false">H1305*Capacite_evg*IF(I1283&lt;=4,$V$17,$V$19)*(1-IF(I1283&lt;=Deduc_trim,Deduc_ares,0))</f>
        <v>492560.749184976</v>
      </c>
      <c r="J1315" s="73" t="n">
        <f aca="false">I1305*Capacite_evg*IF(J1283&lt;=4,$V$17,$V$19)*(1-IF(J1283&lt;=Deduc_trim,Deduc_ares,0))</f>
        <v>471553.033232237</v>
      </c>
      <c r="K1315" s="73" t="n">
        <f aca="false">J1305*Capacite_evg*IF(K1283&lt;=4,$V$17,$V$19)*(1-IF(K1283&lt;=Deduc_trim,Deduc_ares,0))</f>
        <v>451441.296364882</v>
      </c>
      <c r="L1315" s="73" t="n">
        <f aca="false">K1305*Capacite_evg*IF(L1283&lt;=4,$V$17,$V$19)*(1-IF(L1283&lt;=Deduc_trim,Deduc_ares,0))</f>
        <v>432187.32507492</v>
      </c>
      <c r="M1315" s="73" t="n">
        <f aca="false">L1305*Capacite_evg*IF(M1283&lt;=4,$V$17,$V$19)*(1-IF(M1283&lt;=Deduc_trim,Deduc_ares,0))</f>
        <v>413754.535660474</v>
      </c>
      <c r="N1315" s="73" t="n">
        <f aca="false">M1305*Capacite_evg*IF(N1283&lt;=4,$V$17,$V$19)*(1-IF(N1283&lt;=Deduc_trim,Deduc_ares,0))</f>
        <v>396107.904714555</v>
      </c>
      <c r="O1315" s="73" t="n">
        <f aca="false">N1305*Capacite_evg*IF(O1283&lt;=4,$V$17,$V$19)*(1-IF(O1283&lt;=Deduc_trim,Deduc_ares,0))</f>
        <v>379213.902578479</v>
      </c>
    </row>
    <row r="1316" customFormat="false" ht="15" hidden="false" customHeight="false" outlineLevel="0" collapsed="false">
      <c r="B1316" s="65" t="s">
        <v>1049</v>
      </c>
      <c r="C1316" s="25"/>
      <c r="D1316" s="73" t="n">
        <f aca="false">C1330</f>
        <v>7500000</v>
      </c>
      <c r="E1316" s="73" t="n">
        <f aca="false">D1330</f>
        <v>6926875</v>
      </c>
      <c r="F1316" s="73" t="n">
        <f aca="false">E1330</f>
        <v>7442813.3125</v>
      </c>
      <c r="G1316" s="73" t="n">
        <f aca="false">F1330</f>
        <v>6919404.89960078</v>
      </c>
      <c r="H1316" s="73" t="n">
        <f aca="false">G1330</f>
        <v>7370314.74726834</v>
      </c>
      <c r="I1316" s="73" t="n">
        <f aca="false">H1330</f>
        <v>7114107.04587071</v>
      </c>
      <c r="J1316" s="73" t="n">
        <f aca="false">I1330</f>
        <v>7840723.81083921</v>
      </c>
      <c r="K1316" s="73" t="n">
        <f aca="false">J1330</f>
        <v>7382134.12161555</v>
      </c>
      <c r="L1316" s="73" t="n">
        <f aca="false">K1330</f>
        <v>8048168.87625369</v>
      </c>
      <c r="M1316" s="73" t="n">
        <f aca="false">L1330</f>
        <v>7523061.18657123</v>
      </c>
      <c r="N1316" s="73" t="n">
        <f aca="false">M1330</f>
        <v>8134295.88968113</v>
      </c>
      <c r="O1316" s="73" t="n">
        <f aca="false">N1330</f>
        <v>8173255.83150055</v>
      </c>
    </row>
    <row r="1317" customFormat="false" ht="15" hidden="false" customHeight="false" outlineLevel="0" collapsed="false">
      <c r="B1317" s="65" t="s">
        <v>1050</v>
      </c>
      <c r="C1317" s="25"/>
      <c r="D1317" s="73" t="n">
        <f aca="false">D1316*Taux_treso/4</f>
        <v>46875</v>
      </c>
      <c r="E1317" s="73" t="n">
        <f aca="false">E1316*Taux_treso/4</f>
        <v>43292.96875</v>
      </c>
      <c r="F1317" s="73" t="n">
        <f aca="false">F1316*Taux_treso/4</f>
        <v>46517.583203125</v>
      </c>
      <c r="G1317" s="73" t="n">
        <f aca="false">G1316*Taux_treso/4</f>
        <v>43246.2806225049</v>
      </c>
      <c r="H1317" s="73" t="n">
        <f aca="false">H1316*Taux_treso/4</f>
        <v>46064.4671704271</v>
      </c>
      <c r="I1317" s="73" t="n">
        <f aca="false">I1316*Taux_treso/4</f>
        <v>44463.1690366919</v>
      </c>
      <c r="J1317" s="73" t="n">
        <f aca="false">J1316*Taux_treso/4</f>
        <v>49004.5238177451</v>
      </c>
      <c r="K1317" s="73" t="n">
        <f aca="false">K1316*Taux_treso/4</f>
        <v>46138.3382600972</v>
      </c>
      <c r="L1317" s="73" t="n">
        <f aca="false">L1316*Taux_treso/4</f>
        <v>50301.0554765855</v>
      </c>
      <c r="M1317" s="73" t="n">
        <f aca="false">M1316*Taux_treso/4</f>
        <v>47019.1324160702</v>
      </c>
      <c r="N1317" s="73" t="n">
        <f aca="false">N1316*Taux_treso/4</f>
        <v>50839.3493105071</v>
      </c>
      <c r="O1317" s="73" t="n">
        <f aca="false">O1316*Taux_treso/4</f>
        <v>51082.8489468784</v>
      </c>
    </row>
    <row r="1318" customFormat="false" ht="15" hidden="false" customHeight="false" outlineLevel="0" collapsed="false">
      <c r="B1318" s="65" t="s">
        <v>1051</v>
      </c>
      <c r="C1318" s="25"/>
      <c r="D1318" s="73" t="n">
        <f aca="false">SUM(D1306:D1309)</f>
        <v>498125</v>
      </c>
      <c r="E1318" s="73" t="n">
        <f aca="false">SUM(E1306:E1309)</f>
        <v>506643.96875</v>
      </c>
      <c r="F1318" s="73" t="n">
        <f aca="false">SUM(F1306:F1309)</f>
        <v>515600.501379688</v>
      </c>
      <c r="G1318" s="73" t="n">
        <f aca="false">SUM(G1306:G1309)</f>
        <v>524981.864165675</v>
      </c>
      <c r="H1318" s="73" t="n">
        <f aca="false">SUM(H1306:H1309)</f>
        <v>534775.881363833</v>
      </c>
      <c r="I1318" s="73" t="n">
        <f aca="false">SUM(I1306:I1309)</f>
        <v>539970.912274765</v>
      </c>
      <c r="J1318" s="73" t="n">
        <f aca="false">SUM(J1306:J1309)</f>
        <v>545524.860521365</v>
      </c>
      <c r="K1318" s="73" t="n">
        <f aca="false">SUM(K1306:K1309)</f>
        <v>551426.883612035</v>
      </c>
      <c r="L1318" s="73" t="n">
        <f aca="false">SUM(L1306:L1309)</f>
        <v>557666.609447062</v>
      </c>
      <c r="M1318" s="73" t="n">
        <f aca="false">SUM(M1306:M1309)</f>
        <v>564234.116985546</v>
      </c>
      <c r="N1318" s="73" t="n">
        <f aca="false">SUM(N1306:N1309)</f>
        <v>571119.917722356</v>
      </c>
      <c r="O1318" s="73" t="n">
        <f aca="false">SUM(O1306:O1309)</f>
        <v>568314.937941042</v>
      </c>
    </row>
    <row r="1319" customFormat="false" ht="15" hidden="false" customHeight="false" outlineLevel="0" collapsed="false">
      <c r="B1319" s="65" t="s">
        <v>1052</v>
      </c>
      <c r="C1319" s="25"/>
      <c r="D1319" s="73" t="n">
        <f aca="false">IF(AND(Distrib_tension=1,OR(D1291&gt;0.000001,C1333&lt;Liq_min,C1297=1)),0,MIN(Dist_porteurs/4*Part_d*D1288,D1318))</f>
        <v>125000</v>
      </c>
      <c r="E1319" s="73" t="n">
        <f aca="false">IF(AND(Distrib_tension=1,OR(E1291&gt;0.000001,D1333&lt;Liq_min,D1297=1)),0,MIN(Dist_porteurs/4*Part_d*E1288,E1318))</f>
        <v>0</v>
      </c>
      <c r="F1319" s="73" t="n">
        <f aca="false">IF(AND(Distrib_tension=1,OR(F1291&gt;0.000001,E1333&lt;Liq_min,E1297=1)),0,MIN(Dist_porteurs/4*Part_d*F1288,F1318))</f>
        <v>0</v>
      </c>
      <c r="G1319" s="73" t="n">
        <f aca="false">IF(AND(Distrib_tension=1,OR(G1291&gt;0.000001,F1333&lt;Liq_min,F1297=1)),0,MIN(Dist_porteurs/4*Part_d*G1288,G1318))</f>
        <v>0</v>
      </c>
      <c r="H1319" s="73" t="n">
        <f aca="false">IF(AND(Distrib_tension=1,OR(H1291&gt;0.000001,G1333&lt;Liq_min,G1297=1)),0,MIN(Dist_porteurs/4*Part_d*H1288,H1318))</f>
        <v>0</v>
      </c>
      <c r="I1319" s="73" t="n">
        <f aca="false">IF(AND(Distrib_tension=1,OR(I1291&gt;0.000001,H1333&lt;Liq_min,H1297=1)),0,MIN(Dist_porteurs/4*Part_d*I1288,I1318))</f>
        <v>0</v>
      </c>
      <c r="J1319" s="73" t="n">
        <f aca="false">IF(AND(Distrib_tension=1,OR(J1291&gt;0.000001,I1333&lt;Liq_min,I1297=1)),0,MIN(Dist_porteurs/4*Part_d*J1288,J1318))</f>
        <v>128320.593020405</v>
      </c>
      <c r="K1319" s="73" t="n">
        <f aca="false">IF(AND(Distrib_tension=1,OR(K1291&gt;0.000001,J1333&lt;Liq_min,J1297=1)),0,MIN(Dist_porteurs/4*Part_d*K1288,K1318))</f>
        <v>0</v>
      </c>
      <c r="L1319" s="73" t="n">
        <f aca="false">IF(AND(Distrib_tension=1,OR(L1291&gt;0.000001,K1333&lt;Liq_min,K1297=1)),0,MIN(Dist_porteurs/4*Part_d*L1288,L1318))</f>
        <v>129307.996809319</v>
      </c>
      <c r="M1319" s="73" t="n">
        <f aca="false">IF(AND(Distrib_tension=1,OR(M1291&gt;0.000001,L1333&lt;Liq_min,L1297=1)),0,MIN(Dist_porteurs/4*Part_d*M1288,M1318))</f>
        <v>0</v>
      </c>
      <c r="N1319" s="73" t="n">
        <f aca="false">IF(AND(Distrib_tension=1,OR(N1291&gt;0.000001,M1333&lt;Liq_min,M1297=1)),0,MIN(Dist_porteurs/4*Part_d*N1288,N1318))</f>
        <v>130293.644389243</v>
      </c>
      <c r="O1319" s="73" t="n">
        <f aca="false">IF(AND(Distrib_tension=1,OR(O1291&gt;0.000001,N1333&lt;Liq_min,N1297=1)),0,MIN(Dist_porteurs/4*Part_d*O1288,O1318))</f>
        <v>129321.095157556</v>
      </c>
    </row>
    <row r="1320" customFormat="false" ht="15" hidden="false" customHeight="false" outlineLevel="0" collapsed="false">
      <c r="B1320" s="65" t="s">
        <v>1053</v>
      </c>
      <c r="C1320" s="25"/>
      <c r="D1320" s="73" t="n">
        <f aca="false">D1312+D1313</f>
        <v>937500</v>
      </c>
      <c r="E1320" s="73" t="n">
        <f aca="false">E1312+E1313</f>
        <v>937500</v>
      </c>
      <c r="F1320" s="73" t="n">
        <f aca="false">F1312+F1313</f>
        <v>937500</v>
      </c>
      <c r="G1320" s="73" t="n">
        <f aca="false">G1312+G1313</f>
        <v>937500</v>
      </c>
      <c r="H1320" s="73" t="n">
        <f aca="false">H1312+H1313</f>
        <v>625000</v>
      </c>
      <c r="I1320" s="73" t="n">
        <f aca="false">I1312+I1313</f>
        <v>625000</v>
      </c>
      <c r="J1320" s="73" t="n">
        <f aca="false">J1312+J1313</f>
        <v>625000</v>
      </c>
      <c r="K1320" s="73" t="n">
        <f aca="false">K1312+K1313</f>
        <v>625000</v>
      </c>
      <c r="L1320" s="73" t="n">
        <f aca="false">L1312+L1313</f>
        <v>625000</v>
      </c>
      <c r="M1320" s="73" t="n">
        <f aca="false">M1312+M1313</f>
        <v>625000</v>
      </c>
      <c r="N1320" s="73" t="n">
        <f aca="false">N1312+N1313</f>
        <v>0</v>
      </c>
      <c r="O1320" s="73" t="n">
        <f aca="false">O1312+O1313</f>
        <v>0</v>
      </c>
    </row>
    <row r="1321" customFormat="false" ht="15" hidden="false" customHeight="false" outlineLevel="0" collapsed="false">
      <c r="B1321" s="65" t="s">
        <v>1054</v>
      </c>
      <c r="C1321" s="25"/>
      <c r="D1321" s="73" t="n">
        <f aca="false">D1288*Frais_an/4</f>
        <v>250000</v>
      </c>
      <c r="E1321" s="73" t="n">
        <f aca="false">E1288*Frais_an/4</f>
        <v>248003.21875</v>
      </c>
      <c r="F1321" s="73" t="n">
        <f aca="false">F1288*Frais_an/4</f>
        <v>251650.250753906</v>
      </c>
      <c r="G1321" s="73" t="n">
        <f aca="false">G1288*Frais_an/4</f>
        <v>250292.957722138</v>
      </c>
      <c r="H1321" s="73" t="n">
        <f aca="false">H1288*Frais_an/4</f>
        <v>253993.827050087</v>
      </c>
      <c r="I1321" s="73" t="n">
        <f aca="false">I1288*Frais_an/4</f>
        <v>252777.582726819</v>
      </c>
      <c r="J1321" s="73" t="n">
        <f aca="false">J1288*Frais_an/4</f>
        <v>256641.186040811</v>
      </c>
      <c r="K1321" s="73" t="n">
        <f aca="false">K1288*Frais_an/4</f>
        <v>254739.271104076</v>
      </c>
      <c r="L1321" s="73" t="n">
        <f aca="false">L1288*Frais_an/4</f>
        <v>258615.993618637</v>
      </c>
      <c r="M1321" s="73" t="n">
        <f aca="false">M1288*Frais_an/4</f>
        <v>256687.724391764</v>
      </c>
      <c r="N1321" s="73" t="n">
        <f aca="false">N1288*Frais_an/4</f>
        <v>260587.288778486</v>
      </c>
      <c r="O1321" s="73" t="n">
        <f aca="false">O1288*Frais_an/4</f>
        <v>258642.190315112</v>
      </c>
    </row>
    <row r="1322" customFormat="false" ht="15" hidden="false" customHeight="false" outlineLevel="0" collapsed="false">
      <c r="B1322" s="65" t="s">
        <v>1055</v>
      </c>
      <c r="C1322" s="25"/>
      <c r="D1322" s="73" t="n">
        <f aca="false">C1331*Taux_emprunt/4</f>
        <v>0</v>
      </c>
      <c r="E1322" s="73" t="n">
        <f aca="false">D1331*Taux_emprunt/4</f>
        <v>0</v>
      </c>
      <c r="F1322" s="73" t="n">
        <f aca="false">E1331*Taux_emprunt/4</f>
        <v>0</v>
      </c>
      <c r="G1322" s="73" t="n">
        <f aca="false">F1331*Taux_emprunt/4</f>
        <v>0</v>
      </c>
      <c r="H1322" s="73" t="n">
        <f aca="false">G1331*Taux_emprunt/4</f>
        <v>0</v>
      </c>
      <c r="I1322" s="73" t="n">
        <f aca="false">H1331*Taux_emprunt/4</f>
        <v>0</v>
      </c>
      <c r="J1322" s="73" t="n">
        <f aca="false">I1331*Taux_emprunt/4</f>
        <v>0</v>
      </c>
      <c r="K1322" s="73" t="n">
        <f aca="false">J1331*Taux_emprunt/4</f>
        <v>0</v>
      </c>
      <c r="L1322" s="73" t="n">
        <f aca="false">K1331*Taux_emprunt/4</f>
        <v>0</v>
      </c>
      <c r="M1322" s="73" t="n">
        <f aca="false">L1331*Taux_emprunt/4</f>
        <v>0</v>
      </c>
      <c r="N1322" s="73" t="n">
        <f aca="false">M1331*Taux_emprunt/4</f>
        <v>0</v>
      </c>
      <c r="O1322" s="73" t="n">
        <f aca="false">N1331*Taux_emprunt/4</f>
        <v>0</v>
      </c>
    </row>
    <row r="1323" customFormat="false" ht="15" hidden="false" customHeight="false" outlineLevel="0" collapsed="false">
      <c r="B1323" s="65" t="s">
        <v>1056</v>
      </c>
      <c r="C1323" s="25"/>
      <c r="D1323" s="73" t="n">
        <f aca="false">D1316+D1317+D1318-D1319+D1289-D1320-D1321-D1322</f>
        <v>6732500</v>
      </c>
      <c r="E1323" s="73" t="n">
        <f aca="false">E1316+E1317+E1318-E1319+E1289-E1320-E1321-E1322</f>
        <v>6291308.71875</v>
      </c>
      <c r="F1323" s="73" t="n">
        <f aca="false">F1316+F1317+F1318-F1319+F1289-F1320-F1321-F1322</f>
        <v>6815781.14632891</v>
      </c>
      <c r="G1323" s="73" t="n">
        <f aca="false">G1316+G1317+G1318-G1319+G1289-G1320-G1321-G1322</f>
        <v>6299840.08666682</v>
      </c>
      <c r="H1323" s="73" t="n">
        <f aca="false">H1316+H1317+H1318-H1319+H1289-H1320-H1321-H1322</f>
        <v>7072161.26875251</v>
      </c>
      <c r="I1323" s="73" t="n">
        <f aca="false">I1316+I1317+I1318-I1319+I1289-I1320-I1321-I1322</f>
        <v>6820763.54445534</v>
      </c>
      <c r="J1323" s="73" t="n">
        <f aca="false">J1316+J1317+J1318-J1319+J1289-J1320-J1321-J1322</f>
        <v>7425291.4161171</v>
      </c>
      <c r="K1323" s="73" t="n">
        <f aca="false">K1316+K1317+K1318-K1319+K1289-K1320-K1321-K1322</f>
        <v>7099960.07238361</v>
      </c>
      <c r="L1323" s="73" t="n">
        <f aca="false">L1316+L1317+L1318-L1319+L1289-L1320-L1321-L1322</f>
        <v>7643212.55074938</v>
      </c>
      <c r="M1323" s="73" t="n">
        <f aca="false">M1316+M1317+M1318-M1319+M1289-M1320-M1321-M1322</f>
        <v>7252626.71158108</v>
      </c>
      <c r="N1323" s="73" t="n">
        <f aca="false">N1316+N1317+N1318-N1319+N1289-N1320-N1321-N1322</f>
        <v>8365374.22354627</v>
      </c>
      <c r="O1323" s="73" t="n">
        <f aca="false">O1316+O1317+O1318-O1319+O1289-O1320-O1321-O1322</f>
        <v>8404690.3329158</v>
      </c>
    </row>
    <row r="1324" customFormat="false" ht="15" hidden="false" customHeight="false" outlineLevel="0" collapsed="false">
      <c r="B1324" s="65" t="s">
        <v>1057</v>
      </c>
      <c r="C1324" s="25"/>
      <c r="D1324" s="73" t="n">
        <f aca="false">MIN(D1314+D1315,MAX(0,Liq_cible*D1288-(D1323-D1298)))</f>
        <v>1194375</v>
      </c>
      <c r="E1324" s="73" t="n">
        <f aca="false">MIN(E1314+E1315,MAX(0,Liq_cible*E1288-(E1323-E1298)))</f>
        <v>1151504.59375</v>
      </c>
      <c r="F1324" s="73" t="n">
        <f aca="false">MIN(F1314+F1315,MAX(0,Liq_cible*F1288-(F1323-F1298)))</f>
        <v>1110224.7562875</v>
      </c>
      <c r="G1324" s="73" t="n">
        <f aca="false">MIN(G1314+G1315,MAX(0,Liq_cible*G1288-(G1323-G1298)))</f>
        <v>1070474.66060151</v>
      </c>
      <c r="H1324" s="73" t="n">
        <f aca="false">MIN(H1314+H1315,MAX(0,Liq_cible*H1288-(H1323-H1298)))</f>
        <v>1057921.08531854</v>
      </c>
      <c r="I1324" s="73" t="n">
        <f aca="false">MIN(I1314+I1315,MAX(0,Liq_cible*I1288-(I1323-I1298)))</f>
        <v>1019960.26638387</v>
      </c>
      <c r="J1324" s="73" t="n">
        <f aca="false">MIN(J1314+J1315,MAX(0,Liq_cible*J1288-(J1323-J1298)))</f>
        <v>983407.44966169</v>
      </c>
      <c r="K1324" s="73" t="n">
        <f aca="false">MIN(K1314+K1315,MAX(0,Liq_cible*K1288-(K1323-K1298)))</f>
        <v>948208.803870077</v>
      </c>
      <c r="L1324" s="73" t="n">
        <f aca="false">MIN(L1314+L1315,MAX(0,Liq_cible*L1288-(L1323-L1298)))</f>
        <v>914312.610296399</v>
      </c>
      <c r="M1324" s="73" t="n">
        <f aca="false">MIN(M1314+M1315,MAX(0,Liq_cible*M1288-(M1323-M1298)))</f>
        <v>881669.178100051</v>
      </c>
      <c r="N1324" s="73" t="n">
        <f aca="false">MIN(N1314+N1315,MAX(0,Liq_cible*N1288-(N1323-N1298)))</f>
        <v>850230.763068225</v>
      </c>
      <c r="O1324" s="73" t="n">
        <f aca="false">MIN(O1314+O1315,MAX(0,Liq_cible*O1288-(O1323-O1298)))</f>
        <v>0</v>
      </c>
    </row>
    <row r="1325" customFormat="false" ht="15" hidden="false" customHeight="false" outlineLevel="0" collapsed="false">
      <c r="B1325" s="65" t="s">
        <v>1058</v>
      </c>
      <c r="C1325" s="25"/>
      <c r="D1325" s="73" t="n">
        <f aca="false">D1323-D1298+D1324</f>
        <v>6926875</v>
      </c>
      <c r="E1325" s="73" t="n">
        <f aca="false">E1323-E1298+E1324</f>
        <v>7442813.3125</v>
      </c>
      <c r="F1325" s="73" t="n">
        <f aca="false">F1323-F1298+F1324</f>
        <v>6919404.89960078</v>
      </c>
      <c r="G1325" s="73" t="n">
        <f aca="false">G1323-G1298+G1324</f>
        <v>7370314.74726834</v>
      </c>
      <c r="H1325" s="73" t="n">
        <f aca="false">H1323-H1298+H1324</f>
        <v>7114107.04587071</v>
      </c>
      <c r="I1325" s="73" t="n">
        <f aca="false">I1323-I1298+I1324</f>
        <v>7840723.81083921</v>
      </c>
      <c r="J1325" s="73" t="n">
        <f aca="false">J1323-J1298+J1324</f>
        <v>7382134.12161555</v>
      </c>
      <c r="K1325" s="73" t="n">
        <f aca="false">K1323-K1298+K1324</f>
        <v>8048168.87625369</v>
      </c>
      <c r="L1325" s="73" t="n">
        <f aca="false">L1323-L1298+L1324</f>
        <v>7523061.18657123</v>
      </c>
      <c r="M1325" s="73" t="n">
        <f aca="false">M1323-M1298+M1324</f>
        <v>8134295.88968113</v>
      </c>
      <c r="N1325" s="73" t="n">
        <f aca="false">N1323-N1298+N1324</f>
        <v>8173255.83150055</v>
      </c>
      <c r="O1325" s="73" t="n">
        <f aca="false">O1323-O1298+O1324</f>
        <v>8404690.3329158</v>
      </c>
    </row>
    <row r="1326" customFormat="false" ht="15" hidden="false" customHeight="false" outlineLevel="0" collapsed="false">
      <c r="B1326" s="65" t="s">
        <v>1059</v>
      </c>
      <c r="C1326" s="25"/>
      <c r="D1326" s="73" t="n">
        <f aca="false">MIN(MAX(0,MIN($V$20*AN_cible,Emprunt_max*D1288)-C1331),MAX(0,IF($V$20&gt;0,Poche_min_exec*D1288,0)-D1325))-IF(D1325&gt;Liq_cible*D1288,MIN(C1331,D1325-Liq_cible*D1288),0)</f>
        <v>0</v>
      </c>
      <c r="E1326" s="73" t="n">
        <f aca="false">MIN(MAX(0,MIN($V$20*AN_cible,Emprunt_max*E1288)-D1331),MAX(0,IF($V$20&gt;0,Poche_min_exec*E1288,0)-E1325))-IF(E1325&gt;Liq_cible*E1288,MIN(D1331,E1325-Liq_cible*E1288),0)</f>
        <v>0</v>
      </c>
      <c r="F1326" s="73" t="n">
        <f aca="false">MIN(MAX(0,MIN($V$20*AN_cible,Emprunt_max*F1288)-E1331),MAX(0,IF($V$20&gt;0,Poche_min_exec*F1288,0)-F1325))-IF(F1325&gt;Liq_cible*F1288,MIN(E1331,F1325-Liq_cible*F1288),0)</f>
        <v>0</v>
      </c>
      <c r="G1326" s="73" t="n">
        <f aca="false">MIN(MAX(0,MIN($V$20*AN_cible,Emprunt_max*G1288)-F1331),MAX(0,IF($V$20&gt;0,Poche_min_exec*G1288,0)-G1325))-IF(G1325&gt;Liq_cible*G1288,MIN(F1331,G1325-Liq_cible*G1288),0)</f>
        <v>0</v>
      </c>
      <c r="H1326" s="73" t="n">
        <f aca="false">MIN(MAX(0,MIN($V$20*AN_cible,Emprunt_max*H1288)-G1331),MAX(0,IF($V$20&gt;0,Poche_min_exec*H1288,0)-H1325))-IF(H1325&gt;Liq_cible*H1288,MIN(G1331,H1325-Liq_cible*H1288),0)</f>
        <v>0</v>
      </c>
      <c r="I1326" s="73" t="n">
        <f aca="false">MIN(MAX(0,MIN($V$20*AN_cible,Emprunt_max*I1288)-H1331),MAX(0,IF($V$20&gt;0,Poche_min_exec*I1288,0)-I1325))-IF(I1325&gt;Liq_cible*I1288,MIN(H1331,I1325-Liq_cible*I1288),0)</f>
        <v>0</v>
      </c>
      <c r="J1326" s="73" t="n">
        <f aca="false">MIN(MAX(0,MIN($V$20*AN_cible,Emprunt_max*J1288)-I1331),MAX(0,IF($V$20&gt;0,Poche_min_exec*J1288,0)-J1325))-IF(J1325&gt;Liq_cible*J1288,MIN(I1331,J1325-Liq_cible*J1288),0)</f>
        <v>0</v>
      </c>
      <c r="K1326" s="73" t="n">
        <f aca="false">MIN(MAX(0,MIN($V$20*AN_cible,Emprunt_max*K1288)-J1331),MAX(0,IF($V$20&gt;0,Poche_min_exec*K1288,0)-K1325))-IF(K1325&gt;Liq_cible*K1288,MIN(J1331,K1325-Liq_cible*K1288),0)</f>
        <v>0</v>
      </c>
      <c r="L1326" s="73" t="n">
        <f aca="false">MIN(MAX(0,MIN($V$20*AN_cible,Emprunt_max*L1288)-K1331),MAX(0,IF($V$20&gt;0,Poche_min_exec*L1288,0)-L1325))-IF(L1325&gt;Liq_cible*L1288,MIN(K1331,L1325-Liq_cible*L1288),0)</f>
        <v>0</v>
      </c>
      <c r="M1326" s="73" t="n">
        <f aca="false">MIN(MAX(0,MIN($V$20*AN_cible,Emprunt_max*M1288)-L1331),MAX(0,IF($V$20&gt;0,Poche_min_exec*M1288,0)-M1325))-IF(M1325&gt;Liq_cible*M1288,MIN(L1331,M1325-Liq_cible*M1288),0)</f>
        <v>0</v>
      </c>
      <c r="N1326" s="73" t="n">
        <f aca="false">MIN(MAX(0,MIN($V$20*AN_cible,Emprunt_max*N1288)-M1331),MAX(0,IF($V$20&gt;0,Poche_min_exec*N1288,0)-N1325))-IF(N1325&gt;Liq_cible*N1288,MIN(M1331,N1325-Liq_cible*N1288),0)</f>
        <v>0</v>
      </c>
      <c r="O1326" s="73" t="n">
        <f aca="false">MIN(MAX(0,MIN($V$20*AN_cible,Emprunt_max*O1288)-N1331),MAX(0,IF($V$20&gt;0,Poche_min_exec*O1288,0)-O1325))-IF(O1325&gt;Liq_cible*O1288,MIN(N1331,O1325-Liq_cible*O1288),0)</f>
        <v>0</v>
      </c>
    </row>
    <row r="1327" customFormat="false" ht="15" hidden="false" customHeight="false" outlineLevel="0" collapsed="false">
      <c r="B1327" s="65" t="s">
        <v>1060</v>
      </c>
      <c r="C1327" s="25"/>
      <c r="D1327" s="73" t="n">
        <f aca="false">MIN((C1302+C1303+C1304+C1305),MAX(0,-(D1325+D1326))/(1-Decote))</f>
        <v>0</v>
      </c>
      <c r="E1327" s="73" t="n">
        <f aca="false">MIN((D1302+D1303+D1304+D1305),MAX(0,-(E1325+E1326))/(1-Decote))</f>
        <v>0</v>
      </c>
      <c r="F1327" s="73" t="n">
        <f aca="false">MIN((E1302+E1303+E1304+E1305),MAX(0,-(F1325+F1326))/(1-Decote))</f>
        <v>0</v>
      </c>
      <c r="G1327" s="73" t="n">
        <f aca="false">MIN((F1302+F1303+F1304+F1305),MAX(0,-(G1325+G1326))/(1-Decote))</f>
        <v>0</v>
      </c>
      <c r="H1327" s="73" t="n">
        <f aca="false">MIN((G1302+G1303+G1304+G1305),MAX(0,-(H1325+H1326))/(1-Decote))</f>
        <v>0</v>
      </c>
      <c r="I1327" s="73" t="n">
        <f aca="false">MIN((H1302+H1303+H1304+H1305),MAX(0,-(I1325+I1326))/(1-Decote))</f>
        <v>0</v>
      </c>
      <c r="J1327" s="73" t="n">
        <f aca="false">MIN((I1302+I1303+I1304+I1305),MAX(0,-(J1325+J1326))/(1-Decote))</f>
        <v>0</v>
      </c>
      <c r="K1327" s="73" t="n">
        <f aca="false">MIN((J1302+J1303+J1304+J1305),MAX(0,-(K1325+K1326))/(1-Decote))</f>
        <v>0</v>
      </c>
      <c r="L1327" s="73" t="n">
        <f aca="false">MIN((K1302+K1303+K1304+K1305),MAX(0,-(L1325+L1326))/(1-Decote))</f>
        <v>0</v>
      </c>
      <c r="M1327" s="73" t="n">
        <f aca="false">MIN((L1302+L1303+L1304+L1305),MAX(0,-(M1325+M1326))/(1-Decote))</f>
        <v>0</v>
      </c>
      <c r="N1327" s="73" t="n">
        <f aca="false">MIN((M1302+M1303+M1304+M1305),MAX(0,-(N1325+N1326))/(1-Decote))</f>
        <v>0</v>
      </c>
      <c r="O1327" s="73" t="n">
        <f aca="false">MIN((N1302+N1303+N1304+N1305),MAX(0,-(O1325+O1326))/(1-Decote))</f>
        <v>0</v>
      </c>
    </row>
    <row r="1328" customFormat="false" ht="15" hidden="false" customHeight="false" outlineLevel="0" collapsed="false">
      <c r="B1328" s="65" t="s">
        <v>1061</v>
      </c>
      <c r="C1328" s="25"/>
      <c r="D1328" s="73" t="n">
        <f aca="false">D1327*Decote</f>
        <v>0</v>
      </c>
      <c r="E1328" s="73" t="n">
        <f aca="false">E1327*Decote</f>
        <v>0</v>
      </c>
      <c r="F1328" s="73" t="n">
        <f aca="false">F1327*Decote</f>
        <v>0</v>
      </c>
      <c r="G1328" s="73" t="n">
        <f aca="false">G1327*Decote</f>
        <v>0</v>
      </c>
      <c r="H1328" s="73" t="n">
        <f aca="false">H1327*Decote</f>
        <v>0</v>
      </c>
      <c r="I1328" s="73" t="n">
        <f aca="false">I1327*Decote</f>
        <v>0</v>
      </c>
      <c r="J1328" s="73" t="n">
        <f aca="false">J1327*Decote</f>
        <v>0</v>
      </c>
      <c r="K1328" s="73" t="n">
        <f aca="false">K1327*Decote</f>
        <v>0</v>
      </c>
      <c r="L1328" s="73" t="n">
        <f aca="false">L1327*Decote</f>
        <v>0</v>
      </c>
      <c r="M1328" s="73" t="n">
        <f aca="false">M1327*Decote</f>
        <v>0</v>
      </c>
      <c r="N1328" s="73" t="n">
        <f aca="false">N1327*Decote</f>
        <v>0</v>
      </c>
      <c r="O1328" s="73" t="n">
        <f aca="false">O1327*Decote</f>
        <v>0</v>
      </c>
    </row>
    <row r="1329" customFormat="false" ht="15" hidden="false" customHeight="false" outlineLevel="0" collapsed="false">
      <c r="B1329" s="65" t="s">
        <v>1062</v>
      </c>
      <c r="C1329" s="25"/>
      <c r="D1329" s="73" t="n">
        <f aca="false">IF(AND(D1299&lt;0.000001,C1331+D1326&lt;0.000001),MAX(0,D1325+D1326-Seuil_reinv*D1288),0)</f>
        <v>0</v>
      </c>
      <c r="E1329" s="73" t="n">
        <f aca="false">IF(AND(E1299&lt;0.000001,D1331+E1326&lt;0.000001),MAX(0,E1325+E1326-Seuil_reinv*E1288),0)</f>
        <v>0</v>
      </c>
      <c r="F1329" s="73" t="n">
        <f aca="false">IF(AND(F1299&lt;0.000001,E1331+F1326&lt;0.000001),MAX(0,F1325+F1326-Seuil_reinv*F1288),0)</f>
        <v>0</v>
      </c>
      <c r="G1329" s="73" t="n">
        <f aca="false">IF(AND(G1299&lt;0.000001,F1331+G1326&lt;0.000001),MAX(0,G1325+G1326-Seuil_reinv*G1288),0)</f>
        <v>0</v>
      </c>
      <c r="H1329" s="73" t="n">
        <f aca="false">IF(AND(H1299&lt;0.000001,G1331+H1326&lt;0.000001),MAX(0,H1325+H1326-Seuil_reinv*H1288),0)</f>
        <v>0</v>
      </c>
      <c r="I1329" s="73" t="n">
        <f aca="false">IF(AND(I1299&lt;0.000001,H1331+I1326&lt;0.000001),MAX(0,I1325+I1326-Seuil_reinv*I1288),0)</f>
        <v>0</v>
      </c>
      <c r="J1329" s="73" t="n">
        <f aca="false">IF(AND(J1299&lt;0.000001,I1331+J1326&lt;0.000001),MAX(0,J1325+J1326-Seuil_reinv*J1288),0)</f>
        <v>0</v>
      </c>
      <c r="K1329" s="73" t="n">
        <f aca="false">IF(AND(K1299&lt;0.000001,J1331+K1326&lt;0.000001),MAX(0,K1325+K1326-Seuil_reinv*K1288),0)</f>
        <v>0</v>
      </c>
      <c r="L1329" s="73" t="n">
        <f aca="false">IF(AND(L1299&lt;0.000001,K1331+L1326&lt;0.000001),MAX(0,L1325+L1326-Seuil_reinv*L1288),0)</f>
        <v>0</v>
      </c>
      <c r="M1329" s="73" t="n">
        <f aca="false">IF(AND(M1299&lt;0.000001,L1331+M1326&lt;0.000001),MAX(0,M1325+M1326-Seuil_reinv*M1288),0)</f>
        <v>0</v>
      </c>
      <c r="N1329" s="73" t="n">
        <f aca="false">IF(AND(N1299&lt;0.000001,M1331+N1326&lt;0.000001),MAX(0,N1325+N1326-Seuil_reinv*N1288),0)</f>
        <v>0</v>
      </c>
      <c r="O1329" s="73" t="n">
        <f aca="false">IF(AND(O1299&lt;0.000001,N1331+O1326&lt;0.000001),MAX(0,O1325+O1326-Seuil_reinv*O1288),0)</f>
        <v>0</v>
      </c>
    </row>
    <row r="1330" customFormat="false" ht="15" hidden="false" customHeight="false" outlineLevel="0" collapsed="false">
      <c r="B1330" s="65" t="s">
        <v>1063</v>
      </c>
      <c r="C1330" s="73" t="n">
        <f aca="false">AN_cible*Ws_LIQ</f>
        <v>7500000</v>
      </c>
      <c r="D1330" s="73" t="n">
        <f aca="false">D1325+D1326+D1327-D1328-D1329</f>
        <v>6926875</v>
      </c>
      <c r="E1330" s="73" t="n">
        <f aca="false">E1325+E1326+E1327-E1328-E1329</f>
        <v>7442813.3125</v>
      </c>
      <c r="F1330" s="73" t="n">
        <f aca="false">F1325+F1326+F1327-F1328-F1329</f>
        <v>6919404.89960078</v>
      </c>
      <c r="G1330" s="73" t="n">
        <f aca="false">G1325+G1326+G1327-G1328-G1329</f>
        <v>7370314.74726834</v>
      </c>
      <c r="H1330" s="73" t="n">
        <f aca="false">H1325+H1326+H1327-H1328-H1329</f>
        <v>7114107.04587071</v>
      </c>
      <c r="I1330" s="73" t="n">
        <f aca="false">I1325+I1326+I1327-I1328-I1329</f>
        <v>7840723.81083921</v>
      </c>
      <c r="J1330" s="73" t="n">
        <f aca="false">J1325+J1326+J1327-J1328-J1329</f>
        <v>7382134.12161555</v>
      </c>
      <c r="K1330" s="73" t="n">
        <f aca="false">K1325+K1326+K1327-K1328-K1329</f>
        <v>8048168.87625369</v>
      </c>
      <c r="L1330" s="73" t="n">
        <f aca="false">L1325+L1326+L1327-L1328-L1329</f>
        <v>7523061.18657123</v>
      </c>
      <c r="M1330" s="73" t="n">
        <f aca="false">M1325+M1326+M1327-M1328-M1329</f>
        <v>8134295.88968113</v>
      </c>
      <c r="N1330" s="73" t="n">
        <f aca="false">N1325+N1326+N1327-N1328-N1329</f>
        <v>8173255.83150055</v>
      </c>
      <c r="O1330" s="73" t="n">
        <f aca="false">O1325+O1326+O1327-O1328-O1329</f>
        <v>8404690.3329158</v>
      </c>
    </row>
    <row r="1331" customFormat="false" ht="15" hidden="false" customHeight="false" outlineLevel="0" collapsed="false">
      <c r="B1331" s="65" t="s">
        <v>1064</v>
      </c>
      <c r="C1331" s="73" t="n">
        <v>0</v>
      </c>
      <c r="D1331" s="73" t="n">
        <f aca="false">C1331+D1326</f>
        <v>0</v>
      </c>
      <c r="E1331" s="73" t="n">
        <f aca="false">D1331+E1326</f>
        <v>0</v>
      </c>
      <c r="F1331" s="73" t="n">
        <f aca="false">E1331+F1326</f>
        <v>0</v>
      </c>
      <c r="G1331" s="73" t="n">
        <f aca="false">F1331+G1326</f>
        <v>0</v>
      </c>
      <c r="H1331" s="73" t="n">
        <f aca="false">G1331+H1326</f>
        <v>0</v>
      </c>
      <c r="I1331" s="73" t="n">
        <f aca="false">H1331+I1326</f>
        <v>0</v>
      </c>
      <c r="J1331" s="73" t="n">
        <f aca="false">I1331+J1326</f>
        <v>0</v>
      </c>
      <c r="K1331" s="73" t="n">
        <f aca="false">J1331+K1326</f>
        <v>0</v>
      </c>
      <c r="L1331" s="73" t="n">
        <f aca="false">K1331+L1326</f>
        <v>0</v>
      </c>
      <c r="M1331" s="73" t="n">
        <f aca="false">L1331+M1326</f>
        <v>0</v>
      </c>
      <c r="N1331" s="73" t="n">
        <f aca="false">M1331+N1326</f>
        <v>0</v>
      </c>
      <c r="O1331" s="73" t="n">
        <f aca="false">N1331+O1326</f>
        <v>0</v>
      </c>
    </row>
    <row r="1332" customFormat="false" ht="15" hidden="false" customHeight="false" outlineLevel="0" collapsed="false">
      <c r="B1332" s="74" t="s">
        <v>1065</v>
      </c>
      <c r="C1332" s="73" t="n">
        <f aca="false">C1302+C1303+C1304+C1305+C1330-C1331</f>
        <v>50000000</v>
      </c>
      <c r="D1332" s="73" t="n">
        <f aca="false">D1302+D1303+D1304+D1305+D1330-D1331</f>
        <v>49600643.75</v>
      </c>
      <c r="E1332" s="73" t="n">
        <f aca="false">E1302+E1303+E1304+E1305+E1330-E1331</f>
        <v>50330050.1507813</v>
      </c>
      <c r="F1332" s="73" t="n">
        <f aca="false">F1302+F1303+F1304+F1305+F1330-F1331</f>
        <v>50058591.5444276</v>
      </c>
      <c r="G1332" s="73" t="n">
        <f aca="false">G1302+G1303+G1304+G1305+G1330-G1331</f>
        <v>50798765.4100173</v>
      </c>
      <c r="H1332" s="73" t="n">
        <f aca="false">H1302+H1303+H1304+H1305+H1330-H1331</f>
        <v>50555516.5453639</v>
      </c>
      <c r="I1332" s="73" t="n">
        <f aca="false">I1302+I1303+I1304+I1305+I1330-I1331</f>
        <v>51328237.2081622</v>
      </c>
      <c r="J1332" s="73" t="n">
        <f aca="false">J1302+J1303+J1304+J1305+J1330-J1331</f>
        <v>50947854.2208152</v>
      </c>
      <c r="K1332" s="73" t="n">
        <f aca="false">K1302+K1303+K1304+K1305+K1330-K1331</f>
        <v>51723198.7237275</v>
      </c>
      <c r="L1332" s="73" t="n">
        <f aca="false">L1302+L1303+L1304+L1305+L1330-L1331</f>
        <v>51337544.8783528</v>
      </c>
      <c r="M1332" s="73" t="n">
        <f aca="false">M1302+M1303+M1304+M1305+M1330-M1331</f>
        <v>52117457.7556971</v>
      </c>
      <c r="N1332" s="73" t="n">
        <f aca="false">N1302+N1303+N1304+N1305+N1330-N1331</f>
        <v>51728438.0630224</v>
      </c>
      <c r="O1332" s="73" t="n">
        <f aca="false">O1302+O1303+O1304+O1305+O1330-O1331</f>
        <v>52375387.4813804</v>
      </c>
    </row>
    <row r="1333" customFormat="false" ht="15" hidden="false" customHeight="false" outlineLevel="0" collapsed="false">
      <c r="B1333" s="65" t="s">
        <v>1066</v>
      </c>
      <c r="C1333" s="72" t="n">
        <f aca="false">IF((C1332+C1331)&gt;0,C1330/(C1332+C1331),0)</f>
        <v>0.15</v>
      </c>
      <c r="D1333" s="72" t="n">
        <f aca="false">IF((D1332+D1331)&gt;0,D1330/(D1332+D1331),0)</f>
        <v>0.139652925371558</v>
      </c>
      <c r="E1333" s="72" t="n">
        <f aca="false">IF((E1332+E1331)&gt;0,E1330/(E1332+E1331),0)</f>
        <v>0.147880109203199</v>
      </c>
      <c r="F1333" s="72" t="n">
        <f aca="false">IF((F1332+F1331)&gt;0,F1330/(F1332+F1331),0)</f>
        <v>0.13822612035458</v>
      </c>
      <c r="G1333" s="72" t="n">
        <f aca="false">IF((G1332+G1331)&gt;0,G1330/(G1332+G1331),0)</f>
        <v>0.145088462047838</v>
      </c>
      <c r="H1333" s="72" t="n">
        <f aca="false">IF((H1332+H1331)&gt;0,H1330/(H1332+H1331),0)</f>
        <v>0.140718709490134</v>
      </c>
      <c r="I1333" s="72" t="n">
        <f aca="false">IF((I1332+I1331)&gt;0,I1330/(I1332+I1331),0)</f>
        <v>0.152756537869031</v>
      </c>
      <c r="J1333" s="72" t="n">
        <f aca="false">IF((J1332+J1331)&gt;0,J1330/(J1332+J1331),0)</f>
        <v>0.144895879022114</v>
      </c>
      <c r="K1333" s="72" t="n">
        <f aca="false">IF((K1332+K1331)&gt;0,K1330/(K1332+K1331),0)</f>
        <v>0.155600757007352</v>
      </c>
      <c r="L1333" s="72" t="n">
        <f aca="false">IF((L1332+L1331)&gt;0,L1330/(L1332+L1331),0)</f>
        <v>0.146541117312827</v>
      </c>
      <c r="M1333" s="72" t="n">
        <f aca="false">IF((M1332+M1331)&gt;0,M1330/(M1332+M1331),0)</f>
        <v>0.156076221672419</v>
      </c>
      <c r="N1333" s="72" t="n">
        <f aca="false">IF((N1332+N1331)&gt;0,N1330/(N1332+N1331),0)</f>
        <v>0.158003143677812</v>
      </c>
      <c r="O1333" s="72" t="n">
        <f aca="false">IF((O1332+O1331)&gt;0,O1330/(O1332+O1331),0)</f>
        <v>0.160470227278103</v>
      </c>
    </row>
    <row r="1334" customFormat="false" ht="15" hidden="false" customHeight="false" outlineLevel="0" collapsed="false">
      <c r="B1334" s="65" t="s">
        <v>1067</v>
      </c>
      <c r="C1334" s="72" t="n">
        <f aca="false">0</f>
        <v>0</v>
      </c>
      <c r="D1334" s="72" t="n">
        <f aca="false">IF(D1332&gt;0,D1299/D1332,0)</f>
        <v>0</v>
      </c>
      <c r="E1334" s="72" t="n">
        <f aca="false">IF(E1332&gt;0,E1299/E1332,0)</f>
        <v>0</v>
      </c>
      <c r="F1334" s="72" t="n">
        <f aca="false">IF(F1332&gt;0,F1299/F1332,0)</f>
        <v>0</v>
      </c>
      <c r="G1334" s="72" t="n">
        <f aca="false">IF(G1332&gt;0,G1299/G1332,0)</f>
        <v>0</v>
      </c>
      <c r="H1334" s="72" t="n">
        <f aca="false">IF(H1332&gt;0,H1299/H1332,0)</f>
        <v>0</v>
      </c>
      <c r="I1334" s="72" t="n">
        <f aca="false">IF(I1332&gt;0,I1299/I1332,0)</f>
        <v>0</v>
      </c>
      <c r="J1334" s="72" t="n">
        <f aca="false">IF(J1332&gt;0,J1299/J1332,0)</f>
        <v>0</v>
      </c>
      <c r="K1334" s="72" t="n">
        <f aca="false">IF(K1332&gt;0,K1299/K1332,0)</f>
        <v>0</v>
      </c>
      <c r="L1334" s="72" t="n">
        <f aca="false">IF(L1332&gt;0,L1299/L1332,0)</f>
        <v>0</v>
      </c>
      <c r="M1334" s="72" t="n">
        <f aca="false">IF(M1332&gt;0,M1299/M1332,0)</f>
        <v>0</v>
      </c>
      <c r="N1334" s="72" t="n">
        <f aca="false">IF(N1332&gt;0,N1299/N1332,0)</f>
        <v>0</v>
      </c>
      <c r="O1334" s="72" t="n">
        <f aca="false">IF(O1332&gt;0,O1299/O1332,0)</f>
        <v>0</v>
      </c>
    </row>
    <row r="1335" customFormat="false" ht="15" hidden="false" customHeight="false" outlineLevel="0" collapsed="false">
      <c r="B1335" s="65" t="s">
        <v>1068</v>
      </c>
      <c r="C1335" s="75" t="n">
        <f aca="false">IF((C1299+SUM(D1290:G1290)+SUM(D1320:G1320)+SUM(D1321:G1321)+SUM(D1319:G1319))&lt;=0,9.99,MIN(9.99,(C1330+SUM(D1318:G1318)+SUM(D1314:G1315)+MAX(0,MIN($V$20*AN_cible,Emprunt_max*C1332)-C1331))/(C1299+SUM(D1290:G1290)+SUM(D1320:G1320)+SUM(D1321:G1321)+SUM(D1319:G1319))))</f>
        <v>2.04487878454399</v>
      </c>
      <c r="D1335" s="73" t="n">
        <f aca="false">IF((D1299+SUM(E1290:H1290)+SUM(E1320:H1320)+SUM(E1321:H1321)+SUM(E1319:H1319))&lt;=0,9.99,MIN(9.99,(D1330+SUM(E1318:H1318)+SUM(E1314:H1315)+MAX(0,MIN($V$20*AN_cible,Emprunt_max*D1332)-D1331))/(D1299+SUM(E1290:H1290)+SUM(E1320:H1320)+SUM(E1321:H1321)+SUM(E1319:H1319))))</f>
        <v>2.07286014444128</v>
      </c>
      <c r="E1335" s="73" t="n">
        <f aca="false">IF((E1299+SUM(F1290:I1290)+SUM(F1320:I1320)+SUM(F1321:I1321)+SUM(F1319:I1319))&lt;=0,9.99,MIN(9.99,(E1330+SUM(F1318:I1318)+SUM(F1314:I1315)+MAX(0,MIN($V$20*AN_cible,Emprunt_max*E1332)-E1331))/(E1299+SUM(F1290:I1290)+SUM(F1320:I1320)+SUM(F1321:I1321)+SUM(F1319:I1319))))</f>
        <v>2.24432590963782</v>
      </c>
      <c r="F1335" s="73" t="n">
        <f aca="false">IF((F1299+SUM(G1290:J1290)+SUM(G1320:J1320)+SUM(G1321:J1321)+SUM(G1319:J1319))&lt;=0,9.99,MIN(9.99,(F1330+SUM(G1318:J1318)+SUM(G1314:J1315)+MAX(0,MIN($V$20*AN_cible,Emprunt_max*F1332)-F1331))/(F1299+SUM(G1290:J1290)+SUM(G1320:J1320)+SUM(G1321:J1321)+SUM(G1319:J1319))))</f>
        <v>2.20047960822245</v>
      </c>
      <c r="G1335" s="73" t="n">
        <f aca="false">IF((G1299+SUM(H1290:K1290)+SUM(H1320:K1320)+SUM(H1321:K1321)+SUM(H1319:K1319))&lt;=0,9.99,MIN(9.99,(G1330+SUM(H1318:K1318)+SUM(H1314:K1315)+MAX(0,MIN($V$20*AN_cible,Emprunt_max*G1332)-G1331))/(G1299+SUM(H1290:K1290)+SUM(H1320:K1320)+SUM(H1321:K1321)+SUM(H1319:K1319))))</f>
        <v>2.38204976012296</v>
      </c>
      <c r="H1335" s="73" t="n">
        <f aca="false">IF((H1299+SUM(I1290:L1290)+SUM(I1320:L1320)+SUM(I1321:L1321)+SUM(I1319:L1319))&lt;=0,9.99,MIN(9.99,(H1330+SUM(I1318:L1318)+SUM(I1314:L1315)+MAX(0,MIN($V$20*AN_cible,Emprunt_max*H1332)-H1331))/(H1299+SUM(I1290:L1290)+SUM(I1320:L1320)+SUM(I1321:L1321)+SUM(I1319:L1319))))</f>
        <v>2.25536938991433</v>
      </c>
      <c r="I1335" s="73" t="n">
        <f aca="false">IF((I1299+SUM(J1290:M1290)+SUM(J1320:M1320)+SUM(J1321:M1321)+SUM(J1319:M1319))&lt;=0,9.99,MIN(9.99,(I1330+SUM(J1318:M1318)+SUM(J1314:M1315)+MAX(0,MIN($V$20*AN_cible,Emprunt_max*I1332)-I1331))/(I1299+SUM(J1290:M1290)+SUM(J1320:M1320)+SUM(J1321:M1321)+SUM(J1319:M1319))))</f>
        <v>2.35866020179688</v>
      </c>
      <c r="J1335" s="73" t="n">
        <f aca="false">IF((J1299+SUM(K1290:N1290)+SUM(K1320:N1320)+SUM(K1321:N1321)+SUM(K1319:N1319))&lt;=0,9.99,MIN(9.99,(J1330+SUM(K1318:N1318)+SUM(K1314:N1315)+MAX(0,MIN($V$20*AN_cible,Emprunt_max*J1332)-J1331))/(J1299+SUM(K1290:N1290)+SUM(K1320:N1320)+SUM(K1321:N1321)+SUM(K1319:N1319))))</f>
        <v>2.52210785713229</v>
      </c>
      <c r="K1335" s="73" t="n">
        <f aca="false">IF((K1299+SUM(L1290:O1290)+SUM(L1320:O1320)+SUM(L1321:O1321)+SUM(L1319:O1319))&lt;=0,9.99,MIN(9.99,(K1330+SUM(L1318:O1318)+SUM(L1314:O1315)+MAX(0,MIN($V$20*AN_cible,Emprunt_max*K1332)-K1331))/(K1299+SUM(L1290:O1290)+SUM(L1320:O1320)+SUM(L1321:O1321)+SUM(L1319:O1319))))</f>
        <v>2.8999764679973</v>
      </c>
      <c r="L1335" s="73" t="n">
        <f aca="false">IF((L1299+SUM(M1290:O1290)+SUM(M1320:O1320)+SUM(M1321:O1321)+SUM(M1319:O1319))&lt;=0,9.99,MIN(9.99,(L1330+SUM(M1318:O1318)+SUM(M1314:O1315)+MAX(0,MIN($V$20*AN_cible,Emprunt_max*L1332)-L1331))/(L1299+SUM(M1290:O1290)+SUM(M1320:O1320)+SUM(M1321:O1321)+SUM(M1319:O1319))))</f>
        <v>4.35778754683272</v>
      </c>
      <c r="M1335" s="73" t="n">
        <f aca="false">IF((M1299+SUM(N1290:O1290)+SUM(N1320:O1320)+SUM(N1321:O1321)+SUM(N1319:O1319))&lt;=0,9.99,MIN(9.99,(M1330+SUM(N1318:O1318)+SUM(N1314:O1315)+MAX(0,MIN($V$20*AN_cible,Emprunt_max*M1332)-M1331))/(M1299+SUM(N1290:O1290)+SUM(N1320:O1320)+SUM(N1321:O1321)+SUM(N1319:O1319))))</f>
        <v>6.00919877911392</v>
      </c>
      <c r="N1335" s="73" t="n">
        <f aca="false">IF((N1299+SUM(O1290:O1290)+SUM(O1320:O1320)+SUM(O1321:O1321)+SUM(O1319:O1319))&lt;=0,9.99,MIN(9.99,(N1330+SUM(O1318:O1318)+SUM(O1314:O1315)+MAX(0,MIN($V$20*AN_cible,Emprunt_max*N1332)-N1331))/(N1299+SUM(O1290:O1290)+SUM(O1320:O1320)+SUM(O1321:O1321)+SUM(O1319:O1319))))</f>
        <v>9.99</v>
      </c>
      <c r="O1335" s="73" t="n">
        <f aca="false">9.99</f>
        <v>9.99</v>
      </c>
    </row>
    <row r="1336" customFormat="false" ht="15" hidden="false" customHeight="false" outlineLevel="0" collapsed="false">
      <c r="B1336" s="65" t="s">
        <v>1069</v>
      </c>
      <c r="C1336" s="72" t="n">
        <f aca="false">(C1302+C1303+C1304+C1305+C1310+C1311)/C1332</f>
        <v>1</v>
      </c>
      <c r="D1336" s="72" t="n">
        <f aca="false">(D1302+D1303+D1304+D1305+D1310+D1311)/D1332</f>
        <v>0.992653825183469</v>
      </c>
      <c r="E1336" s="72" t="n">
        <f aca="false">(E1302+E1303+E1304+E1305+E1310+E1311)/E1332</f>
        <v>0.963882147801282</v>
      </c>
      <c r="F1336" s="72" t="n">
        <f aca="false">(F1302+F1303+F1304+F1305+F1310+F1311)/F1332</f>
        <v>0.955414149085279</v>
      </c>
      <c r="G1336" s="72" t="n">
        <f aca="false">(G1302+G1303+G1304+G1305+G1310+G1311)/G1332</f>
        <v>0.928732229650715</v>
      </c>
      <c r="H1336" s="72" t="n">
        <f aca="false">(H1302+H1303+H1304+H1305+H1310+H1311)/H1332</f>
        <v>0.921094525020009</v>
      </c>
      <c r="I1336" s="72" t="n">
        <f aca="false">(I1302+I1303+I1304+I1305+I1310+I1311)/I1332</f>
        <v>0.895949596141791</v>
      </c>
      <c r="J1336" s="72" t="n">
        <f aca="false">(J1302+J1303+J1304+J1305+J1310+J1311)/J1332</f>
        <v>0.89190645600604</v>
      </c>
      <c r="K1336" s="72" t="n">
        <f aca="false">(K1302+K1303+K1304+K1305+K1310+K1311)/K1332</f>
        <v>0.868566348485808</v>
      </c>
      <c r="L1336" s="72" t="n">
        <f aca="false">(L1302+L1303+L1304+L1305+L1310+L1311)/L1332</f>
        <v>0.865633208543249</v>
      </c>
      <c r="M1336" s="72" t="n">
        <f aca="false">(M1302+M1303+M1304+M1305+M1310+M1311)/M1332</f>
        <v>0.843923778327581</v>
      </c>
      <c r="N1336" s="72" t="n">
        <f aca="false">(N1302+N1303+N1304+N1305+N1310+N1311)/N1332</f>
        <v>0.841996856322188</v>
      </c>
      <c r="O1336" s="72" t="n">
        <f aca="false">(O1302+O1303+O1304+O1305+O1310+O1311)/O1332</f>
        <v>0.839529772721897</v>
      </c>
    </row>
    <row r="1337" customFormat="false" ht="15" hidden="false" customHeight="false" outlineLevel="0" collapsed="false">
      <c r="B1337" s="65" t="s">
        <v>849</v>
      </c>
      <c r="C1337" s="72" t="n">
        <f aca="false">(C1332+C1331)/C1332</f>
        <v>1</v>
      </c>
      <c r="D1337" s="72" t="n">
        <f aca="false">(D1332+D1331)/D1332</f>
        <v>1</v>
      </c>
      <c r="E1337" s="72" t="n">
        <f aca="false">(E1332+E1331)/E1332</f>
        <v>1</v>
      </c>
      <c r="F1337" s="72" t="n">
        <f aca="false">(F1332+F1331)/F1332</f>
        <v>1</v>
      </c>
      <c r="G1337" s="72" t="n">
        <f aca="false">(G1332+G1331)/G1332</f>
        <v>1</v>
      </c>
      <c r="H1337" s="72" t="n">
        <f aca="false">(H1332+H1331)/H1332</f>
        <v>1</v>
      </c>
      <c r="I1337" s="72" t="n">
        <f aca="false">(I1332+I1331)/I1332</f>
        <v>1</v>
      </c>
      <c r="J1337" s="72" t="n">
        <f aca="false">(J1332+J1331)/J1332</f>
        <v>1</v>
      </c>
      <c r="K1337" s="72" t="n">
        <f aca="false">(K1332+K1331)/K1332</f>
        <v>1</v>
      </c>
      <c r="L1337" s="72" t="n">
        <f aca="false">(L1332+L1331)/L1332</f>
        <v>1</v>
      </c>
      <c r="M1337" s="72" t="n">
        <f aca="false">(M1332+M1331)/M1332</f>
        <v>1</v>
      </c>
      <c r="N1337" s="72" t="n">
        <f aca="false">(N1332+N1331)/N1332</f>
        <v>1</v>
      </c>
      <c r="O1337" s="72" t="n">
        <f aca="false">(O1332+O1331)/O1332</f>
        <v>1</v>
      </c>
    </row>
    <row r="1338" customFormat="false" ht="15" hidden="false" customHeight="false" outlineLevel="0" collapsed="false">
      <c r="B1338" s="65" t="s">
        <v>1070</v>
      </c>
      <c r="C1338" s="72" t="n">
        <f aca="false">(C1302+C1303*MSIG_USD)/C1332</f>
        <v>0.25</v>
      </c>
      <c r="D1338" s="72" t="n">
        <f aca="false">(D1302+D1303*MSIG_USD)/D1332</f>
        <v>0.265300236148649</v>
      </c>
      <c r="E1338" s="72" t="n">
        <f aca="false">(E1302+E1303*MSIG_USD)/E1332</f>
        <v>0.274651350761627</v>
      </c>
      <c r="F1338" s="72" t="n">
        <f aca="false">(F1302+F1303*MSIG_USD)/F1332</f>
        <v>0.289510754423481</v>
      </c>
      <c r="G1338" s="72" t="n">
        <f aca="false">(G1302+G1303*MSIG_USD)/G1332</f>
        <v>0.298569365773888</v>
      </c>
      <c r="H1338" s="72" t="n">
        <f aca="false">(H1302+H1303*MSIG_USD)/H1332</f>
        <v>0.309741072177692</v>
      </c>
      <c r="I1338" s="72" t="n">
        <f aca="false">(I1302+I1303*MSIG_USD)/I1332</f>
        <v>0.314740725167761</v>
      </c>
      <c r="J1338" s="72" t="n">
        <f aca="false">(J1302+J1303*MSIG_USD)/J1332</f>
        <v>0.326900610421862</v>
      </c>
      <c r="K1338" s="72" t="n">
        <f aca="false">(K1302+K1303*MSIG_USD)/K1332</f>
        <v>0.3317378671802</v>
      </c>
      <c r="L1338" s="72" t="n">
        <f aca="false">(L1302+L1303*MSIG_USD)/L1332</f>
        <v>0.34411644381781</v>
      </c>
      <c r="M1338" s="72" t="n">
        <f aca="false">(M1302+M1303*MSIG_USD)/M1332</f>
        <v>0.348780710571652</v>
      </c>
      <c r="N1338" s="72" t="n">
        <f aca="false">(N1302+N1303*MSIG_USD)/N1332</f>
        <v>0.354118282257246</v>
      </c>
      <c r="O1338" s="72" t="n">
        <f aca="false">(O1302+O1303*MSIG_USD)/O1332</f>
        <v>0.352445928467596</v>
      </c>
    </row>
    <row r="1339" customFormat="false" ht="15" hidden="false" customHeight="false" outlineLevel="0" collapsed="false">
      <c r="B1339" s="65" t="s">
        <v>1071</v>
      </c>
      <c r="C1339" s="25"/>
      <c r="D1339" s="65" t="n">
        <f aca="false">IF(AND($V$9&lt;0.5*Collecte_norm,IF(D1283&lt;=$V$11,0,$V$10)&lt;0.5,IF(D1283&lt;=4,$V$17,($V$18+$V$19)/2)&lt;0.7),1,0)</f>
        <v>0</v>
      </c>
      <c r="E1339" s="65" t="n">
        <f aca="false">IF(AND($V$9&lt;0.5*Collecte_norm,IF(E1283&lt;=$V$11,0,$V$10)&lt;0.5,IF(E1283&lt;=4,$V$17,($V$18+$V$19)/2)&lt;0.7),1,0)</f>
        <v>0</v>
      </c>
      <c r="F1339" s="65" t="n">
        <f aca="false">IF(AND($V$9&lt;0.5*Collecte_norm,IF(F1283&lt;=$V$11,0,$V$10)&lt;0.5,IF(F1283&lt;=4,$V$17,($V$18+$V$19)/2)&lt;0.7),1,0)</f>
        <v>0</v>
      </c>
      <c r="G1339" s="65" t="n">
        <f aca="false">IF(AND($V$9&lt;0.5*Collecte_norm,IF(G1283&lt;=$V$11,0,$V$10)&lt;0.5,IF(G1283&lt;=4,$V$17,($V$18+$V$19)/2)&lt;0.7),1,0)</f>
        <v>0</v>
      </c>
      <c r="H1339" s="65" t="n">
        <f aca="false">IF(AND($V$9&lt;0.5*Collecte_norm,IF(H1283&lt;=$V$11,0,$V$10)&lt;0.5,IF(H1283&lt;=4,$V$17,($V$18+$V$19)/2)&lt;0.7),1,0)</f>
        <v>0</v>
      </c>
      <c r="I1339" s="65" t="n">
        <f aca="false">IF(AND($V$9&lt;0.5*Collecte_norm,IF(I1283&lt;=$V$11,0,$V$10)&lt;0.5,IF(I1283&lt;=4,$V$17,($V$18+$V$19)/2)&lt;0.7),1,0)</f>
        <v>0</v>
      </c>
      <c r="J1339" s="65" t="n">
        <f aca="false">IF(AND($V$9&lt;0.5*Collecte_norm,IF(J1283&lt;=$V$11,0,$V$10)&lt;0.5,IF(J1283&lt;=4,$V$17,($V$18+$V$19)/2)&lt;0.7),1,0)</f>
        <v>0</v>
      </c>
      <c r="K1339" s="65" t="n">
        <f aca="false">IF(AND($V$9&lt;0.5*Collecte_norm,IF(K1283&lt;=$V$11,0,$V$10)&lt;0.5,IF(K1283&lt;=4,$V$17,($V$18+$V$19)/2)&lt;0.7),1,0)</f>
        <v>0</v>
      </c>
      <c r="L1339" s="65" t="n">
        <f aca="false">IF(AND($V$9&lt;0.5*Collecte_norm,IF(L1283&lt;=$V$11,0,$V$10)&lt;0.5,IF(L1283&lt;=4,$V$17,($V$18+$V$19)/2)&lt;0.7),1,0)</f>
        <v>0</v>
      </c>
      <c r="M1339" s="65" t="n">
        <f aca="false">IF(AND($V$9&lt;0.5*Collecte_norm,IF(M1283&lt;=$V$11,0,$V$10)&lt;0.5,IF(M1283&lt;=4,$V$17,($V$18+$V$19)/2)&lt;0.7),1,0)</f>
        <v>0</v>
      </c>
      <c r="N1339" s="65" t="n">
        <f aca="false">IF(AND($V$9&lt;0.5*Collecte_norm,IF(N1283&lt;=$V$11,0,$V$10)&lt;0.5,IF(N1283&lt;=4,$V$17,($V$18+$V$19)/2)&lt;0.7),1,0)</f>
        <v>0</v>
      </c>
      <c r="O1339" s="65" t="n">
        <f aca="false">IF(AND($V$9&lt;0.5*Collecte_norm,IF(O1283&lt;=$V$11,0,$V$10)&lt;0.5,IF(O1283&lt;=4,$V$17,($V$18+$V$19)/2)&lt;0.7),1,0)</f>
        <v>0</v>
      </c>
    </row>
    <row r="1340" customFormat="false" ht="15" hidden="false" customHeight="false" outlineLevel="0" collapsed="false">
      <c r="B1340" s="76" t="s">
        <v>1072</v>
      </c>
      <c r="C1340" s="76" t="n">
        <v>99</v>
      </c>
      <c r="D1340" s="76" t="n">
        <f aca="false">IF(D1300=1,D1286,99)</f>
        <v>99</v>
      </c>
      <c r="E1340" s="76" t="n">
        <f aca="false">IF(E1300=1,E1286,99)</f>
        <v>99</v>
      </c>
      <c r="F1340" s="76" t="n">
        <f aca="false">IF(F1300=1,F1286,99)</f>
        <v>99</v>
      </c>
      <c r="G1340" s="76" t="n">
        <f aca="false">IF(G1300=1,G1286,99)</f>
        <v>99</v>
      </c>
      <c r="H1340" s="76" t="n">
        <f aca="false">IF(H1300=1,H1286,99)</f>
        <v>99</v>
      </c>
      <c r="I1340" s="76" t="n">
        <f aca="false">IF(I1300=1,I1286,99)</f>
        <v>99</v>
      </c>
      <c r="J1340" s="76" t="n">
        <f aca="false">IF(J1300=1,J1286,99)</f>
        <v>99</v>
      </c>
      <c r="K1340" s="76" t="n">
        <f aca="false">IF(K1300=1,K1286,99)</f>
        <v>99</v>
      </c>
      <c r="L1340" s="76" t="n">
        <f aca="false">IF(L1300=1,L1286,99)</f>
        <v>99</v>
      </c>
      <c r="M1340" s="76" t="n">
        <f aca="false">IF(M1300=1,M1286,99)</f>
        <v>99</v>
      </c>
      <c r="N1340" s="76" t="n">
        <f aca="false">IF(N1300=1,N1286,99)</f>
        <v>99</v>
      </c>
      <c r="O1340" s="76" t="n">
        <f aca="false">IF(O1300=1,O1286,99)</f>
        <v>99</v>
      </c>
    </row>
    <row r="1341" customFormat="false" ht="15" hidden="false" customHeight="false" outlineLevel="0" collapsed="false">
      <c r="B1341" s="76" t="s">
        <v>1073</v>
      </c>
      <c r="C1341" s="76" t="n">
        <v>99</v>
      </c>
      <c r="D1341" s="76" t="n">
        <f aca="false">IF(AND(D1285=1,D1286&gt;MIN($D1340:$O1340),D1299&lt;=0.000001),D1286,99)</f>
        <v>99</v>
      </c>
      <c r="E1341" s="76" t="n">
        <f aca="false">IF(AND(E1285=1,E1286&gt;MIN($D1340:$O1340),E1299&lt;=0.000001),E1286,99)</f>
        <v>99</v>
      </c>
      <c r="F1341" s="76" t="n">
        <f aca="false">IF(AND(F1285=1,F1286&gt;MIN($D1340:$O1340),F1299&lt;=0.000001),F1286,99)</f>
        <v>99</v>
      </c>
      <c r="G1341" s="76" t="n">
        <f aca="false">IF(AND(G1285=1,G1286&gt;MIN($D1340:$O1340),G1299&lt;=0.000001),G1286,99)</f>
        <v>99</v>
      </c>
      <c r="H1341" s="76" t="n">
        <f aca="false">IF(AND(H1285=1,H1286&gt;MIN($D1340:$O1340),H1299&lt;=0.000001),H1286,99)</f>
        <v>99</v>
      </c>
      <c r="I1341" s="76" t="n">
        <f aca="false">IF(AND(I1285=1,I1286&gt;MIN($D1340:$O1340),I1299&lt;=0.000001),I1286,99)</f>
        <v>99</v>
      </c>
      <c r="J1341" s="76" t="n">
        <f aca="false">IF(AND(J1285=1,J1286&gt;MIN($D1340:$O1340),J1299&lt;=0.000001),J1286,99)</f>
        <v>99</v>
      </c>
      <c r="K1341" s="76" t="n">
        <f aca="false">IF(AND(K1285=1,K1286&gt;MIN($D1340:$O1340),K1299&lt;=0.000001),K1286,99)</f>
        <v>99</v>
      </c>
      <c r="L1341" s="76" t="n">
        <f aca="false">IF(AND(L1285=1,L1286&gt;MIN($D1340:$O1340),L1299&lt;=0.000001),L1286,99)</f>
        <v>99</v>
      </c>
      <c r="M1341" s="76" t="n">
        <f aca="false">IF(AND(M1285=1,M1286&gt;MIN($D1340:$O1340),M1299&lt;=0.000001),M1286,99)</f>
        <v>99</v>
      </c>
      <c r="N1341" s="76" t="n">
        <f aca="false">IF(AND(N1285=1,N1286&gt;MIN($D1340:$O1340),N1299&lt;=0.000001),N1286,99)</f>
        <v>99</v>
      </c>
      <c r="O1341" s="76" t="n">
        <f aca="false">IF(AND(O1285=1,O1286&gt;MIN($D1340:$O1340),O1299&lt;=0.000001),O1286,99)</f>
        <v>99</v>
      </c>
    </row>
    <row r="1342" customFormat="false" ht="15" hidden="false" customHeight="false" outlineLevel="0" collapsed="false">
      <c r="B1342" s="76" t="s">
        <v>1074</v>
      </c>
      <c r="C1342" s="76" t="n">
        <v>9999999</v>
      </c>
      <c r="D1342" s="76" t="n">
        <f aca="false">IF(D1297=1,D1284,9999999)</f>
        <v>9999999</v>
      </c>
      <c r="E1342" s="76" t="n">
        <f aca="false">IF(E1297=1,E1284,9999999)</f>
        <v>9999999</v>
      </c>
      <c r="F1342" s="76" t="n">
        <f aca="false">IF(F1297=1,F1284,9999999)</f>
        <v>9999999</v>
      </c>
      <c r="G1342" s="76" t="n">
        <f aca="false">IF(G1297=1,G1284,9999999)</f>
        <v>9999999</v>
      </c>
      <c r="H1342" s="76" t="n">
        <f aca="false">IF(H1297=1,H1284,9999999)</f>
        <v>9999999</v>
      </c>
      <c r="I1342" s="76" t="n">
        <f aca="false">IF(I1297=1,I1284,9999999)</f>
        <v>9999999</v>
      </c>
      <c r="J1342" s="76" t="n">
        <f aca="false">IF(J1297=1,J1284,9999999)</f>
        <v>9999999</v>
      </c>
      <c r="K1342" s="76" t="n">
        <f aca="false">IF(K1297=1,K1284,9999999)</f>
        <v>9999999</v>
      </c>
      <c r="L1342" s="76" t="n">
        <f aca="false">IF(L1297=1,L1284,9999999)</f>
        <v>9999999</v>
      </c>
      <c r="M1342" s="76" t="n">
        <f aca="false">IF(M1297=1,M1284,9999999)</f>
        <v>9999999</v>
      </c>
      <c r="N1342" s="76" t="n">
        <f aca="false">IF(N1297=1,N1284,9999999)</f>
        <v>9999999</v>
      </c>
      <c r="O1342" s="76" t="n">
        <f aca="false">IF(O1297=1,O1284,9999999)</f>
        <v>9999999</v>
      </c>
    </row>
    <row r="1343" customFormat="false" ht="15" hidden="false" customHeight="false" outlineLevel="0" collapsed="false">
      <c r="B1343" s="76" t="s">
        <v>1075</v>
      </c>
      <c r="C1343" s="76" t="n">
        <v>9999999</v>
      </c>
      <c r="D1343" s="76" t="n">
        <f aca="false">IF(D1339=1,D1284,9999999)</f>
        <v>9999999</v>
      </c>
      <c r="E1343" s="76" t="n">
        <f aca="false">IF(E1339=1,E1284,9999999)</f>
        <v>9999999</v>
      </c>
      <c r="F1343" s="76" t="n">
        <f aca="false">IF(F1339=1,F1284,9999999)</f>
        <v>9999999</v>
      </c>
      <c r="G1343" s="76" t="n">
        <f aca="false">IF(G1339=1,G1284,9999999)</f>
        <v>9999999</v>
      </c>
      <c r="H1343" s="76" t="n">
        <f aca="false">IF(H1339=1,H1284,9999999)</f>
        <v>9999999</v>
      </c>
      <c r="I1343" s="76" t="n">
        <f aca="false">IF(I1339=1,I1284,9999999)</f>
        <v>9999999</v>
      </c>
      <c r="J1343" s="76" t="n">
        <f aca="false">IF(J1339=1,J1284,9999999)</f>
        <v>9999999</v>
      </c>
      <c r="K1343" s="76" t="n">
        <f aca="false">IF(K1339=1,K1284,9999999)</f>
        <v>9999999</v>
      </c>
      <c r="L1343" s="76" t="n">
        <f aca="false">IF(L1339=1,L1284,9999999)</f>
        <v>9999999</v>
      </c>
      <c r="M1343" s="76" t="n">
        <f aca="false">IF(M1339=1,M1284,9999999)</f>
        <v>9999999</v>
      </c>
      <c r="N1343" s="76" t="n">
        <f aca="false">IF(N1339=1,N1284,9999999)</f>
        <v>9999999</v>
      </c>
      <c r="O1343" s="76" t="n">
        <f aca="false">IF(O1339=1,O1284,9999999)</f>
        <v>9999999</v>
      </c>
    </row>
    <row r="1348" customFormat="false" ht="15" hidden="false" customHeight="false" outlineLevel="0" collapsed="false">
      <c r="B1348" s="45" t="str">
        <f aca="false">W$5</f>
        <v>Appels à douze mois 12.5 % de l'actif net</v>
      </c>
      <c r="C1348" s="45" t="s">
        <v>55</v>
      </c>
      <c r="D1348" s="45" t="n">
        <v>21</v>
      </c>
      <c r="E1348" s="2"/>
      <c r="F1348" s="2"/>
      <c r="G1348" s="2"/>
      <c r="H1348" s="2"/>
      <c r="I1348" s="2"/>
      <c r="J1348" s="2"/>
      <c r="K1348" s="2"/>
      <c r="L1348" s="2"/>
      <c r="M1348" s="2"/>
      <c r="N1348" s="2"/>
      <c r="O1348" s="2"/>
    </row>
    <row r="1349" customFormat="false" ht="15" hidden="false" customHeight="false" outlineLevel="0" collapsed="false">
      <c r="B1349" s="65" t="s">
        <v>1019</v>
      </c>
      <c r="C1349" s="65" t="n">
        <v>0</v>
      </c>
      <c r="D1349" s="65" t="n">
        <v>1</v>
      </c>
      <c r="E1349" s="65" t="n">
        <v>2</v>
      </c>
      <c r="F1349" s="65" t="n">
        <v>3</v>
      </c>
      <c r="G1349" s="65" t="n">
        <v>4</v>
      </c>
      <c r="H1349" s="65" t="n">
        <v>5</v>
      </c>
      <c r="I1349" s="65" t="n">
        <v>6</v>
      </c>
      <c r="J1349" s="65" t="n">
        <v>7</v>
      </c>
      <c r="K1349" s="65" t="n">
        <v>8</v>
      </c>
      <c r="L1349" s="65" t="n">
        <v>9</v>
      </c>
      <c r="M1349" s="65" t="n">
        <v>10</v>
      </c>
      <c r="N1349" s="65" t="n">
        <v>11</v>
      </c>
      <c r="O1349" s="65" t="n">
        <v>12</v>
      </c>
    </row>
    <row r="1350" customFormat="false" ht="15" hidden="false" customHeight="false" outlineLevel="0" collapsed="false">
      <c r="B1350" s="65" t="s">
        <v>209</v>
      </c>
      <c r="C1350" s="71" t="n">
        <f aca="false">Date_depart</f>
        <v>47026</v>
      </c>
      <c r="D1350" s="71" t="n">
        <f aca="false">EOMONTH(Date_depart,3*D1349)</f>
        <v>47118</v>
      </c>
      <c r="E1350" s="71" t="n">
        <f aca="false">EOMONTH(Date_depart,3*E1349)</f>
        <v>47208</v>
      </c>
      <c r="F1350" s="71" t="n">
        <f aca="false">EOMONTH(Date_depart,3*F1349)</f>
        <v>47299</v>
      </c>
      <c r="G1350" s="71" t="n">
        <f aca="false">EOMONTH(Date_depart,3*G1349)</f>
        <v>47391</v>
      </c>
      <c r="H1350" s="71" t="n">
        <f aca="false">EOMONTH(Date_depart,3*H1349)</f>
        <v>47483</v>
      </c>
      <c r="I1350" s="71" t="n">
        <f aca="false">EOMONTH(Date_depart,3*I1349)</f>
        <v>47573</v>
      </c>
      <c r="J1350" s="71" t="n">
        <f aca="false">EOMONTH(Date_depart,3*J1349)</f>
        <v>47664</v>
      </c>
      <c r="K1350" s="71" t="n">
        <f aca="false">EOMONTH(Date_depart,3*K1349)</f>
        <v>47756</v>
      </c>
      <c r="L1350" s="71" t="n">
        <f aca="false">EOMONTH(Date_depart,3*L1349)</f>
        <v>47848</v>
      </c>
      <c r="M1350" s="71" t="n">
        <f aca="false">EOMONTH(Date_depart,3*M1349)</f>
        <v>47938</v>
      </c>
      <c r="N1350" s="71" t="n">
        <f aca="false">EOMONTH(Date_depart,3*N1349)</f>
        <v>48029</v>
      </c>
      <c r="O1350" s="71" t="n">
        <f aca="false">EOMONTH(Date_depart,3*O1349)</f>
        <v>48121</v>
      </c>
    </row>
    <row r="1351" customFormat="false" ht="15" hidden="false" customHeight="false" outlineLevel="0" collapsed="false">
      <c r="B1351" s="65" t="s">
        <v>1020</v>
      </c>
      <c r="C1351" s="65" t="n">
        <v>0</v>
      </c>
      <c r="D1351" s="65" t="n">
        <f aca="false">IF(OR(MONTH(D1350)=6,MONTH(D1350)=12),1,0)</f>
        <v>1</v>
      </c>
      <c r="E1351" s="65" t="n">
        <f aca="false">IF(OR(MONTH(E1350)=6,MONTH(E1350)=12),1,0)</f>
        <v>0</v>
      </c>
      <c r="F1351" s="65" t="n">
        <f aca="false">IF(OR(MONTH(F1350)=6,MONTH(F1350)=12),1,0)</f>
        <v>1</v>
      </c>
      <c r="G1351" s="65" t="n">
        <f aca="false">IF(OR(MONTH(G1350)=6,MONTH(G1350)=12),1,0)</f>
        <v>0</v>
      </c>
      <c r="H1351" s="65" t="n">
        <f aca="false">IF(OR(MONTH(H1350)=6,MONTH(H1350)=12),1,0)</f>
        <v>1</v>
      </c>
      <c r="I1351" s="65" t="n">
        <f aca="false">IF(OR(MONTH(I1350)=6,MONTH(I1350)=12),1,0)</f>
        <v>0</v>
      </c>
      <c r="J1351" s="65" t="n">
        <f aca="false">IF(OR(MONTH(J1350)=6,MONTH(J1350)=12),1,0)</f>
        <v>1</v>
      </c>
      <c r="K1351" s="65" t="n">
        <f aca="false">IF(OR(MONTH(K1350)=6,MONTH(K1350)=12),1,0)</f>
        <v>0</v>
      </c>
      <c r="L1351" s="65" t="n">
        <f aca="false">IF(OR(MONTH(L1350)=6,MONTH(L1350)=12),1,0)</f>
        <v>1</v>
      </c>
      <c r="M1351" s="65" t="n">
        <f aca="false">IF(OR(MONTH(M1350)=6,MONTH(M1350)=12),1,0)</f>
        <v>0</v>
      </c>
      <c r="N1351" s="65" t="n">
        <f aca="false">IF(OR(MONTH(N1350)=6,MONTH(N1350)=12),1,0)</f>
        <v>1</v>
      </c>
      <c r="O1351" s="65" t="n">
        <f aca="false">IF(OR(MONTH(O1350)=6,MONTH(O1350)=12),1,0)</f>
        <v>0</v>
      </c>
    </row>
    <row r="1352" customFormat="false" ht="15" hidden="false" customHeight="false" outlineLevel="0" collapsed="false">
      <c r="B1352" s="65" t="s">
        <v>1021</v>
      </c>
      <c r="C1352" s="65" t="n">
        <v>0</v>
      </c>
      <c r="D1352" s="65" t="n">
        <f aca="false">C1352+D1351</f>
        <v>1</v>
      </c>
      <c r="E1352" s="65" t="n">
        <f aca="false">D1352+E1351</f>
        <v>1</v>
      </c>
      <c r="F1352" s="65" t="n">
        <f aca="false">E1352+F1351</f>
        <v>2</v>
      </c>
      <c r="G1352" s="65" t="n">
        <f aca="false">F1352+G1351</f>
        <v>2</v>
      </c>
      <c r="H1352" s="65" t="n">
        <f aca="false">G1352+H1351</f>
        <v>3</v>
      </c>
      <c r="I1352" s="65" t="n">
        <f aca="false">H1352+I1351</f>
        <v>3</v>
      </c>
      <c r="J1352" s="65" t="n">
        <f aca="false">I1352+J1351</f>
        <v>4</v>
      </c>
      <c r="K1352" s="65" t="n">
        <f aca="false">J1352+K1351</f>
        <v>4</v>
      </c>
      <c r="L1352" s="65" t="n">
        <f aca="false">K1352+L1351</f>
        <v>5</v>
      </c>
      <c r="M1352" s="65" t="n">
        <f aca="false">L1352+M1351</f>
        <v>5</v>
      </c>
      <c r="N1352" s="65" t="n">
        <f aca="false">M1352+N1351</f>
        <v>6</v>
      </c>
      <c r="O1352" s="65" t="n">
        <f aca="false">N1352+O1351</f>
        <v>6</v>
      </c>
    </row>
    <row r="1353" customFormat="false" ht="15" hidden="false" customHeight="false" outlineLevel="0" collapsed="false">
      <c r="B1353" s="65" t="s">
        <v>1022</v>
      </c>
      <c r="C1353" s="25"/>
      <c r="D1353" s="72" t="n">
        <f aca="false">IF(D1351=1,IF(C1363=1,0,IF(D1352=1,$W$6,IF(D1352=2,$W$7,$W$8))),0)</f>
        <v>0.02</v>
      </c>
      <c r="E1353" s="72" t="n">
        <f aca="false">IF(E1351=1,IF(D1363=1,0,IF(E1352=1,$W$6,IF(E1352=2,$W$7,$W$8))),0)</f>
        <v>0</v>
      </c>
      <c r="F1353" s="72" t="n">
        <f aca="false">IF(F1351=1,IF(E1363=1,0,IF(F1352=1,$W$6,IF(F1352=2,$W$7,$W$8))),0)</f>
        <v>0.02</v>
      </c>
      <c r="G1353" s="72" t="n">
        <f aca="false">IF(G1351=1,IF(F1363=1,0,IF(G1352=1,$W$6,IF(G1352=2,$W$7,$W$8))),0)</f>
        <v>0</v>
      </c>
      <c r="H1353" s="72" t="n">
        <f aca="false">IF(H1351=1,IF(G1363=1,0,IF(H1352=1,$W$6,IF(H1352=2,$W$7,$W$8))),0)</f>
        <v>0.02</v>
      </c>
      <c r="I1353" s="72" t="n">
        <f aca="false">IF(I1351=1,IF(H1363=1,0,IF(I1352=1,$W$6,IF(I1352=2,$W$7,$W$8))),0)</f>
        <v>0</v>
      </c>
      <c r="J1353" s="72" t="n">
        <f aca="false">IF(J1351=1,IF(I1363=1,0,IF(J1352=1,$W$6,IF(J1352=2,$W$7,$W$8))),0)</f>
        <v>0.02</v>
      </c>
      <c r="K1353" s="72" t="n">
        <f aca="false">IF(K1351=1,IF(J1363=1,0,IF(K1352=1,$W$6,IF(K1352=2,$W$7,$W$8))),0)</f>
        <v>0</v>
      </c>
      <c r="L1353" s="72" t="n">
        <f aca="false">IF(L1351=1,IF(K1363=1,0,IF(L1352=1,$W$6,IF(L1352=2,$W$7,$W$8))),0)</f>
        <v>0.02</v>
      </c>
      <c r="M1353" s="72" t="n">
        <f aca="false">IF(M1351=1,IF(L1363=1,0,IF(M1352=1,$W$6,IF(M1352=2,$W$7,$W$8))),0)</f>
        <v>0</v>
      </c>
      <c r="N1353" s="72" t="n">
        <f aca="false">IF(N1351=1,IF(M1363=1,0,IF(N1352=1,$W$6,IF(N1352=2,$W$7,$W$8))),0)</f>
        <v>0.02</v>
      </c>
      <c r="O1353" s="72" t="n">
        <f aca="false">IF(O1351=1,IF(N1363=1,0,IF(O1352=1,$W$6,IF(O1352=2,$W$7,$W$8))),0)</f>
        <v>0</v>
      </c>
    </row>
    <row r="1354" customFormat="false" ht="15" hidden="false" customHeight="false" outlineLevel="0" collapsed="false">
      <c r="B1354" s="65" t="s">
        <v>1023</v>
      </c>
      <c r="C1354" s="25"/>
      <c r="D1354" s="73" t="n">
        <f aca="false">C1398</f>
        <v>50000000</v>
      </c>
      <c r="E1354" s="73" t="n">
        <f aca="false">D1398</f>
        <v>49600643.75</v>
      </c>
      <c r="F1354" s="73" t="n">
        <f aca="false">E1398</f>
        <v>50340097.0257813</v>
      </c>
      <c r="G1354" s="73" t="n">
        <f aca="false">F1398</f>
        <v>50088607.8620057</v>
      </c>
      <c r="H1354" s="73" t="n">
        <f aca="false">G1398</f>
        <v>50859152.5251886</v>
      </c>
      <c r="I1354" s="73" t="n">
        <f aca="false">H1398</f>
        <v>50655345.0851441</v>
      </c>
      <c r="J1354" s="73" t="n">
        <f aca="false">I1398</f>
        <v>51475721.0582808</v>
      </c>
      <c r="K1354" s="73" t="n">
        <f aca="false">J1398</f>
        <v>51275425.192301</v>
      </c>
      <c r="L1354" s="73" t="n">
        <f aca="false">K1398</f>
        <v>52112757.1240926</v>
      </c>
      <c r="M1354" s="73" t="n">
        <f aca="false">L1398</f>
        <v>51917776.230785</v>
      </c>
      <c r="N1354" s="73" t="n">
        <f aca="false">M1398</f>
        <v>52774220.1870743</v>
      </c>
      <c r="O1354" s="73" t="n">
        <f aca="false">N1398</f>
        <v>52586167.9629735</v>
      </c>
    </row>
    <row r="1355" customFormat="false" ht="15" hidden="false" customHeight="false" outlineLevel="0" collapsed="false">
      <c r="B1355" s="65" t="s">
        <v>177</v>
      </c>
      <c r="C1355" s="25"/>
      <c r="D1355" s="73" t="n">
        <f aca="false">IF(C1363=1,0,$W$9*D1354)</f>
        <v>0</v>
      </c>
      <c r="E1355" s="73" t="n">
        <f aca="false">IF(D1363=1,0,$W$9*E1354)</f>
        <v>0</v>
      </c>
      <c r="F1355" s="73" t="n">
        <f aca="false">IF(E1363=1,0,$W$9*F1354)</f>
        <v>0</v>
      </c>
      <c r="G1355" s="73" t="n">
        <f aca="false">IF(F1363=1,0,$W$9*G1354)</f>
        <v>0</v>
      </c>
      <c r="H1355" s="73" t="n">
        <f aca="false">IF(G1363=1,0,$W$9*H1354)</f>
        <v>0</v>
      </c>
      <c r="I1355" s="73" t="n">
        <f aca="false">IF(H1363=1,0,$W$9*I1354)</f>
        <v>0</v>
      </c>
      <c r="J1355" s="73" t="n">
        <f aca="false">IF(I1363=1,0,$W$9*J1354)</f>
        <v>0</v>
      </c>
      <c r="K1355" s="73" t="n">
        <f aca="false">IF(J1363=1,0,$W$9*K1354)</f>
        <v>0</v>
      </c>
      <c r="L1355" s="73" t="n">
        <f aca="false">IF(K1363=1,0,$W$9*L1354)</f>
        <v>0</v>
      </c>
      <c r="M1355" s="73" t="n">
        <f aca="false">IF(L1363=1,0,$W$9*M1354)</f>
        <v>0</v>
      </c>
      <c r="N1355" s="73" t="n">
        <f aca="false">IF(M1363=1,0,$W$9*N1354)</f>
        <v>0</v>
      </c>
      <c r="O1355" s="73" t="n">
        <f aca="false">IF(N1363=1,0,$W$9*O1354)</f>
        <v>0</v>
      </c>
    </row>
    <row r="1356" customFormat="false" ht="15" hidden="false" customHeight="false" outlineLevel="0" collapsed="false">
      <c r="B1356" s="65" t="s">
        <v>1024</v>
      </c>
      <c r="C1356" s="25"/>
      <c r="D1356" s="73" t="n">
        <f aca="false">D1353*D1354</f>
        <v>1000000</v>
      </c>
      <c r="E1356" s="73" t="n">
        <f aca="false">E1353*E1354</f>
        <v>0</v>
      </c>
      <c r="F1356" s="73" t="n">
        <f aca="false">F1353*F1354</f>
        <v>1006801.94051563</v>
      </c>
      <c r="G1356" s="73" t="n">
        <f aca="false">G1353*G1354</f>
        <v>0</v>
      </c>
      <c r="H1356" s="73" t="n">
        <f aca="false">H1353*H1354</f>
        <v>1017183.05050377</v>
      </c>
      <c r="I1356" s="73" t="n">
        <f aca="false">I1353*I1354</f>
        <v>0</v>
      </c>
      <c r="J1356" s="73" t="n">
        <f aca="false">J1353*J1354</f>
        <v>1029514.42116562</v>
      </c>
      <c r="K1356" s="73" t="n">
        <f aca="false">K1353*K1354</f>
        <v>0</v>
      </c>
      <c r="L1356" s="73" t="n">
        <f aca="false">L1353*L1354</f>
        <v>1042255.14248185</v>
      </c>
      <c r="M1356" s="73" t="n">
        <f aca="false">M1353*M1354</f>
        <v>0</v>
      </c>
      <c r="N1356" s="73" t="n">
        <f aca="false">N1353*N1354</f>
        <v>1055484.40374149</v>
      </c>
      <c r="O1356" s="73" t="n">
        <f aca="false">O1353*O1354</f>
        <v>0</v>
      </c>
    </row>
    <row r="1357" customFormat="false" ht="15" hidden="false" customHeight="false" outlineLevel="0" collapsed="false">
      <c r="B1357" s="65" t="s">
        <v>1025</v>
      </c>
      <c r="C1357" s="25"/>
      <c r="D1357" s="73" t="n">
        <f aca="false">C1365</f>
        <v>0</v>
      </c>
      <c r="E1357" s="73" t="n">
        <f aca="false">D1365</f>
        <v>0</v>
      </c>
      <c r="F1357" s="73" t="n">
        <f aca="false">E1365</f>
        <v>0</v>
      </c>
      <c r="G1357" s="73" t="n">
        <f aca="false">F1365</f>
        <v>0</v>
      </c>
      <c r="H1357" s="73" t="n">
        <f aca="false">G1365</f>
        <v>0</v>
      </c>
      <c r="I1357" s="73" t="n">
        <f aca="false">H1365</f>
        <v>0</v>
      </c>
      <c r="J1357" s="73" t="n">
        <f aca="false">I1365</f>
        <v>0</v>
      </c>
      <c r="K1357" s="73" t="n">
        <f aca="false">J1365</f>
        <v>0</v>
      </c>
      <c r="L1357" s="73" t="n">
        <f aca="false">K1365</f>
        <v>0</v>
      </c>
      <c r="M1357" s="73" t="n">
        <f aca="false">L1365</f>
        <v>0</v>
      </c>
      <c r="N1357" s="73" t="n">
        <f aca="false">M1365</f>
        <v>0</v>
      </c>
      <c r="O1357" s="73" t="n">
        <f aca="false">N1365</f>
        <v>0</v>
      </c>
    </row>
    <row r="1358" customFormat="false" ht="15" hidden="false" customHeight="false" outlineLevel="0" collapsed="false">
      <c r="B1358" s="65" t="s">
        <v>1026</v>
      </c>
      <c r="C1358" s="25"/>
      <c r="D1358" s="73" t="n">
        <f aca="false">D1356+D1357</f>
        <v>1000000</v>
      </c>
      <c r="E1358" s="73" t="n">
        <f aca="false">E1356+E1357</f>
        <v>0</v>
      </c>
      <c r="F1358" s="73" t="n">
        <f aca="false">F1356+F1357</f>
        <v>1006801.94051563</v>
      </c>
      <c r="G1358" s="73" t="n">
        <f aca="false">G1356+G1357</f>
        <v>0</v>
      </c>
      <c r="H1358" s="73" t="n">
        <f aca="false">H1356+H1357</f>
        <v>1017183.05050377</v>
      </c>
      <c r="I1358" s="73" t="n">
        <f aca="false">I1356+I1357</f>
        <v>0</v>
      </c>
      <c r="J1358" s="73" t="n">
        <f aca="false">J1356+J1357</f>
        <v>1029514.42116562</v>
      </c>
      <c r="K1358" s="73" t="n">
        <f aca="false">K1356+K1357</f>
        <v>0</v>
      </c>
      <c r="L1358" s="73" t="n">
        <f aca="false">L1356+L1357</f>
        <v>1042255.14248185</v>
      </c>
      <c r="M1358" s="73" t="n">
        <f aca="false">M1356+M1357</f>
        <v>0</v>
      </c>
      <c r="N1358" s="73" t="n">
        <f aca="false">N1356+N1357</f>
        <v>1055484.40374149</v>
      </c>
      <c r="O1358" s="73" t="n">
        <f aca="false">O1356+O1357</f>
        <v>0</v>
      </c>
    </row>
    <row r="1359" customFormat="false" ht="15" hidden="false" customHeight="false" outlineLevel="0" collapsed="false">
      <c r="B1359" s="65" t="s">
        <v>1027</v>
      </c>
      <c r="C1359" s="25"/>
      <c r="D1359" s="73" t="n">
        <f aca="false">IF($W$21=1,Gate*D1354+D1355,D1358)</f>
        <v>2500000</v>
      </c>
      <c r="E1359" s="73" t="n">
        <f aca="false">IF($W$21=1,Gate*E1354+E1355,E1358)</f>
        <v>2480032.1875</v>
      </c>
      <c r="F1359" s="73" t="n">
        <f aca="false">IF($W$21=1,Gate*F1354+F1355,F1358)</f>
        <v>2517004.85128906</v>
      </c>
      <c r="G1359" s="73" t="n">
        <f aca="false">IF($W$21=1,Gate*G1354+G1355,G1358)</f>
        <v>2504430.39310028</v>
      </c>
      <c r="H1359" s="73" t="n">
        <f aca="false">IF($W$21=1,Gate*H1354+H1355,H1358)</f>
        <v>2542957.62625943</v>
      </c>
      <c r="I1359" s="73" t="n">
        <f aca="false">IF($W$21=1,Gate*I1354+I1355,I1358)</f>
        <v>2532767.25425721</v>
      </c>
      <c r="J1359" s="73" t="n">
        <f aca="false">IF($W$21=1,Gate*J1354+J1355,J1358)</f>
        <v>2573786.05291404</v>
      </c>
      <c r="K1359" s="73" t="n">
        <f aca="false">IF($W$21=1,Gate*K1354+K1355,K1358)</f>
        <v>2563771.25961505</v>
      </c>
      <c r="L1359" s="73" t="n">
        <f aca="false">IF($W$21=1,Gate*L1354+L1355,L1358)</f>
        <v>2605637.85620463</v>
      </c>
      <c r="M1359" s="73" t="n">
        <f aca="false">IF($W$21=1,Gate*M1354+M1355,M1358)</f>
        <v>2595888.81153925</v>
      </c>
      <c r="N1359" s="73" t="n">
        <f aca="false">IF($W$21=1,Gate*N1354+N1355,N1358)</f>
        <v>2638711.00935371</v>
      </c>
      <c r="O1359" s="73" t="n">
        <f aca="false">IF($W$21=1,Gate*O1354+O1355,O1358)</f>
        <v>2629308.39814868</v>
      </c>
    </row>
    <row r="1360" customFormat="false" ht="15" hidden="false" customHeight="false" outlineLevel="0" collapsed="false">
      <c r="B1360" s="65" t="s">
        <v>1028</v>
      </c>
      <c r="C1360" s="25"/>
      <c r="D1360" s="73" t="n">
        <f aca="false">IF(D1351=1,MIN(D1358,D1359),0)</f>
        <v>1000000</v>
      </c>
      <c r="E1360" s="73" t="n">
        <f aca="false">IF(E1351=1,MIN(E1358,E1359),0)</f>
        <v>0</v>
      </c>
      <c r="F1360" s="73" t="n">
        <f aca="false">IF(F1351=1,MIN(F1358,F1359),0)</f>
        <v>1006801.94051563</v>
      </c>
      <c r="G1360" s="73" t="n">
        <f aca="false">IF(G1351=1,MIN(G1358,G1359),0)</f>
        <v>0</v>
      </c>
      <c r="H1360" s="73" t="n">
        <f aca="false">IF(H1351=1,MIN(H1358,H1359),0)</f>
        <v>1017183.05050377</v>
      </c>
      <c r="I1360" s="73" t="n">
        <f aca="false">IF(I1351=1,MIN(I1358,I1359),0)</f>
        <v>0</v>
      </c>
      <c r="J1360" s="73" t="n">
        <f aca="false">IF(J1351=1,MIN(J1358,J1359),0)</f>
        <v>1029514.42116562</v>
      </c>
      <c r="K1360" s="73" t="n">
        <f aca="false">IF(K1351=1,MIN(K1358,K1359),0)</f>
        <v>0</v>
      </c>
      <c r="L1360" s="73" t="n">
        <f aca="false">IF(L1351=1,MIN(L1358,L1359),0)</f>
        <v>1042255.14248185</v>
      </c>
      <c r="M1360" s="73" t="n">
        <f aca="false">IF(M1351=1,MIN(M1358,M1359),0)</f>
        <v>0</v>
      </c>
      <c r="N1360" s="73" t="n">
        <f aca="false">IF(N1351=1,MIN(N1358,N1359),0)</f>
        <v>1055484.40374149</v>
      </c>
      <c r="O1360" s="73" t="n">
        <f aca="false">IF(O1351=1,MIN(O1358,O1359),0)</f>
        <v>0</v>
      </c>
    </row>
    <row r="1361" customFormat="false" ht="15" hidden="false" customHeight="false" outlineLevel="0" collapsed="false">
      <c r="B1361" s="65" t="s">
        <v>1029</v>
      </c>
      <c r="C1361" s="25"/>
      <c r="D1361" s="73" t="n">
        <f aca="false">MAX(0,D1389+D1380+D1381-Poche_min_exec*D1354-D1360-SUM(E1386:F1386)+MAX(0,MIN($W$20*AN_cible,Emprunt_max*D1354)-C1397))</f>
        <v>0</v>
      </c>
      <c r="E1361" s="73" t="n">
        <f aca="false">MAX(0,E1389+E1380+E1381-Poche_min_exec*E1354-E1360-SUM(F1386:G1386)+MAX(0,MIN($W$20*AN_cible,Emprunt_max*E1354)-D1397))</f>
        <v>0</v>
      </c>
      <c r="F1361" s="73" t="n">
        <f aca="false">MAX(0,F1389+F1380+F1381-Poche_min_exec*F1354-F1360-SUM(G1386:H1386)+MAX(0,MIN($W$20*AN_cible,Emprunt_max*F1354)-E1397))</f>
        <v>0</v>
      </c>
      <c r="G1361" s="73" t="n">
        <f aca="false">MAX(0,G1389+G1380+G1381-Poche_min_exec*G1354-G1360-SUM(H1386:I1386)+MAX(0,MIN($W$20*AN_cible,Emprunt_max*G1354)-F1397))</f>
        <v>0</v>
      </c>
      <c r="H1361" s="73" t="n">
        <f aca="false">MAX(0,H1389+H1380+H1381-Poche_min_exec*H1354-H1360-SUM(I1386:J1386)+MAX(0,MIN($W$20*AN_cible,Emprunt_max*H1354)-G1397))</f>
        <v>0</v>
      </c>
      <c r="I1361" s="73" t="n">
        <f aca="false">MAX(0,I1389+I1380+I1381-Poche_min_exec*I1354-I1360-SUM(J1386:K1386)+MAX(0,MIN($W$20*AN_cible,Emprunt_max*I1354)-H1397))</f>
        <v>0</v>
      </c>
      <c r="J1361" s="73" t="n">
        <f aca="false">MAX(0,J1389+J1380+J1381-Poche_min_exec*J1354-J1360-SUM(K1386:L1386)+MAX(0,MIN($W$20*AN_cible,Emprunt_max*J1354)-I1397))</f>
        <v>0</v>
      </c>
      <c r="K1361" s="73" t="n">
        <f aca="false">MAX(0,K1389+K1380+K1381-Poche_min_exec*K1354-K1360-SUM(L1386:M1386)+MAX(0,MIN($W$20*AN_cible,Emprunt_max*K1354)-J1397))</f>
        <v>0</v>
      </c>
      <c r="L1361" s="73" t="n">
        <f aca="false">MAX(0,L1389+L1380+L1381-Poche_min_exec*L1354-L1360-SUM(M1386:N1386)+MAX(0,MIN($W$20*AN_cible,Emprunt_max*L1354)-K1397))</f>
        <v>0</v>
      </c>
      <c r="M1361" s="73" t="n">
        <f aca="false">MAX(0,M1389+M1380+M1381-Poche_min_exec*M1354-M1360-SUM(N1386:O1386)+MAX(0,MIN($W$20*AN_cible,Emprunt_max*M1354)-L1397))</f>
        <v>0</v>
      </c>
      <c r="N1361" s="73" t="n">
        <f aca="false">MAX(0,N1389+N1380+N1381-Poche_min_exec*N1354-N1360-SUM(O1386:O1386)+MAX(0,MIN($W$20*AN_cible,Emprunt_max*N1354)-M1397))</f>
        <v>0</v>
      </c>
      <c r="O1361" s="73" t="n">
        <f aca="false">MAX(0,O1389+O1380+O1381-Poche_min_exec*O1354-O1360-0+MAX(0,MIN($W$20*AN_cible,Emprunt_max*O1354)-N1397))</f>
        <v>0</v>
      </c>
    </row>
    <row r="1362" customFormat="false" ht="15" hidden="false" customHeight="false" outlineLevel="0" collapsed="false">
      <c r="B1362" s="65" t="s">
        <v>1030</v>
      </c>
      <c r="C1362" s="25"/>
      <c r="D1362" s="73" t="n">
        <f aca="false">IF(AND(D1351=1,$W$21=1,$W$22=1),MIN(D1358-D1360,D1361),0)</f>
        <v>0</v>
      </c>
      <c r="E1362" s="73" t="n">
        <f aca="false">IF(AND(E1351=1,$W$21=1,$W$22=1),MIN(E1358-E1360,E1361),0)</f>
        <v>0</v>
      </c>
      <c r="F1362" s="73" t="n">
        <f aca="false">IF(AND(F1351=1,$W$21=1,$W$22=1),MIN(F1358-F1360,F1361),0)</f>
        <v>0</v>
      </c>
      <c r="G1362" s="73" t="n">
        <f aca="false">IF(AND(G1351=1,$W$21=1,$W$22=1),MIN(G1358-G1360,G1361),0)</f>
        <v>0</v>
      </c>
      <c r="H1362" s="73" t="n">
        <f aca="false">IF(AND(H1351=1,$W$21=1,$W$22=1),MIN(H1358-H1360,H1361),0)</f>
        <v>0</v>
      </c>
      <c r="I1362" s="73" t="n">
        <f aca="false">IF(AND(I1351=1,$W$21=1,$W$22=1),MIN(I1358-I1360,I1361),0)</f>
        <v>0</v>
      </c>
      <c r="J1362" s="73" t="n">
        <f aca="false">IF(AND(J1351=1,$W$21=1,$W$22=1),MIN(J1358-J1360,J1361),0)</f>
        <v>0</v>
      </c>
      <c r="K1362" s="73" t="n">
        <f aca="false">IF(AND(K1351=1,$W$21=1,$W$22=1),MIN(K1358-K1360,K1361),0)</f>
        <v>0</v>
      </c>
      <c r="L1362" s="73" t="n">
        <f aca="false">IF(AND(L1351=1,$W$21=1,$W$22=1),MIN(L1358-L1360,L1361),0)</f>
        <v>0</v>
      </c>
      <c r="M1362" s="73" t="n">
        <f aca="false">IF(AND(M1351=1,$W$21=1,$W$22=1),MIN(M1358-M1360,M1361),0)</f>
        <v>0</v>
      </c>
      <c r="N1362" s="73" t="n">
        <f aca="false">IF(AND(N1351=1,$W$21=1,$W$22=1),MIN(N1358-N1360,N1361),0)</f>
        <v>0</v>
      </c>
      <c r="O1362" s="73" t="n">
        <f aca="false">IF(AND(O1351=1,$W$21=1,$W$22=1),MIN(O1358-O1360,O1361),0)</f>
        <v>0</v>
      </c>
    </row>
    <row r="1363" customFormat="false" ht="15" hidden="false" customHeight="false" outlineLevel="0" collapsed="false">
      <c r="B1363" s="65" t="s">
        <v>1031</v>
      </c>
      <c r="C1363" s="65" t="n">
        <v>0</v>
      </c>
      <c r="D1363" s="65" t="n">
        <f aca="false">IF(C1363=1,1,IF(AND(D1351=1,$W$21=1,C1367&gt;=Gate_dates,D1358-D1360-D1362&gt;0.000001),1,0))</f>
        <v>0</v>
      </c>
      <c r="E1363" s="65" t="n">
        <f aca="false">IF(D1363=1,1,IF(AND(E1351=1,$W$21=1,D1367&gt;=Gate_dates,E1358-E1360-E1362&gt;0.000001),1,0))</f>
        <v>0</v>
      </c>
      <c r="F1363" s="65" t="n">
        <f aca="false">IF(E1363=1,1,IF(AND(F1351=1,$W$21=1,E1367&gt;=Gate_dates,F1358-F1360-F1362&gt;0.000001),1,0))</f>
        <v>0</v>
      </c>
      <c r="G1363" s="65" t="n">
        <f aca="false">IF(F1363=1,1,IF(AND(G1351=1,$W$21=1,F1367&gt;=Gate_dates,G1358-G1360-G1362&gt;0.000001),1,0))</f>
        <v>0</v>
      </c>
      <c r="H1363" s="65" t="n">
        <f aca="false">IF(G1363=1,1,IF(AND(H1351=1,$W$21=1,G1367&gt;=Gate_dates,H1358-H1360-H1362&gt;0.000001),1,0))</f>
        <v>0</v>
      </c>
      <c r="I1363" s="65" t="n">
        <f aca="false">IF(H1363=1,1,IF(AND(I1351=1,$W$21=1,H1367&gt;=Gate_dates,I1358-I1360-I1362&gt;0.000001),1,0))</f>
        <v>0</v>
      </c>
      <c r="J1363" s="65" t="n">
        <f aca="false">IF(I1363=1,1,IF(AND(J1351=1,$W$21=1,I1367&gt;=Gate_dates,J1358-J1360-J1362&gt;0.000001),1,0))</f>
        <v>0</v>
      </c>
      <c r="K1363" s="65" t="n">
        <f aca="false">IF(J1363=1,1,IF(AND(K1351=1,$W$21=1,J1367&gt;=Gate_dates,K1358-K1360-K1362&gt;0.000001),1,0))</f>
        <v>0</v>
      </c>
      <c r="L1363" s="65" t="n">
        <f aca="false">IF(K1363=1,1,IF(AND(L1351=1,$W$21=1,K1367&gt;=Gate_dates,L1358-L1360-L1362&gt;0.000001),1,0))</f>
        <v>0</v>
      </c>
      <c r="M1363" s="65" t="n">
        <f aca="false">IF(L1363=1,1,IF(AND(M1351=1,$W$21=1,L1367&gt;=Gate_dates,M1358-M1360-M1362&gt;0.000001),1,0))</f>
        <v>0</v>
      </c>
      <c r="N1363" s="65" t="n">
        <f aca="false">IF(M1363=1,1,IF(AND(N1351=1,$W$21=1,M1367&gt;=Gate_dates,N1358-N1360-N1362&gt;0.000001),1,0))</f>
        <v>0</v>
      </c>
      <c r="O1363" s="65" t="n">
        <f aca="false">IF(N1363=1,1,IF(AND(O1351=1,$W$21=1,N1367&gt;=Gate_dates,O1358-O1360-O1362&gt;0.000001),1,0))</f>
        <v>0</v>
      </c>
    </row>
    <row r="1364" customFormat="false" ht="15" hidden="false" customHeight="false" outlineLevel="0" collapsed="false">
      <c r="B1364" s="65" t="s">
        <v>1032</v>
      </c>
      <c r="C1364" s="25"/>
      <c r="D1364" s="73" t="n">
        <f aca="false">IF(D1363=1,0,D1360+D1362)</f>
        <v>1000000</v>
      </c>
      <c r="E1364" s="73" t="n">
        <f aca="false">IF(E1363=1,0,E1360+E1362)</f>
        <v>0</v>
      </c>
      <c r="F1364" s="73" t="n">
        <f aca="false">IF(F1363=1,0,F1360+F1362)</f>
        <v>1006801.94051563</v>
      </c>
      <c r="G1364" s="73" t="n">
        <f aca="false">IF(G1363=1,0,G1360+G1362)</f>
        <v>0</v>
      </c>
      <c r="H1364" s="73" t="n">
        <f aca="false">IF(H1363=1,0,H1360+H1362)</f>
        <v>1017183.05050377</v>
      </c>
      <c r="I1364" s="73" t="n">
        <f aca="false">IF(I1363=1,0,I1360+I1362)</f>
        <v>0</v>
      </c>
      <c r="J1364" s="73" t="n">
        <f aca="false">IF(J1363=1,0,J1360+J1362)</f>
        <v>1029514.42116562</v>
      </c>
      <c r="K1364" s="73" t="n">
        <f aca="false">IF(K1363=1,0,K1360+K1362)</f>
        <v>0</v>
      </c>
      <c r="L1364" s="73" t="n">
        <f aca="false">IF(L1363=1,0,L1360+L1362)</f>
        <v>1042255.14248185</v>
      </c>
      <c r="M1364" s="73" t="n">
        <f aca="false">IF(M1363=1,0,M1360+M1362)</f>
        <v>0</v>
      </c>
      <c r="N1364" s="73" t="n">
        <f aca="false">IF(N1363=1,0,N1360+N1362)</f>
        <v>1055484.40374149</v>
      </c>
      <c r="O1364" s="73" t="n">
        <f aca="false">IF(O1363=1,0,O1360+O1362)</f>
        <v>0</v>
      </c>
    </row>
    <row r="1365" customFormat="false" ht="15" hidden="false" customHeight="false" outlineLevel="0" collapsed="false">
      <c r="B1365" s="65" t="s">
        <v>1033</v>
      </c>
      <c r="C1365" s="73" t="n">
        <v>0</v>
      </c>
      <c r="D1365" s="73" t="n">
        <f aca="false">D1358-D1364</f>
        <v>0</v>
      </c>
      <c r="E1365" s="73" t="n">
        <f aca="false">E1358-E1364</f>
        <v>0</v>
      </c>
      <c r="F1365" s="73" t="n">
        <f aca="false">F1358-F1364</f>
        <v>0</v>
      </c>
      <c r="G1365" s="73" t="n">
        <f aca="false">G1358-G1364</f>
        <v>0</v>
      </c>
      <c r="H1365" s="73" t="n">
        <f aca="false">H1358-H1364</f>
        <v>0</v>
      </c>
      <c r="I1365" s="73" t="n">
        <f aca="false">I1358-I1364</f>
        <v>0</v>
      </c>
      <c r="J1365" s="73" t="n">
        <f aca="false">J1358-J1364</f>
        <v>0</v>
      </c>
      <c r="K1365" s="73" t="n">
        <f aca="false">K1358-K1364</f>
        <v>0</v>
      </c>
      <c r="L1365" s="73" t="n">
        <f aca="false">L1358-L1364</f>
        <v>0</v>
      </c>
      <c r="M1365" s="73" t="n">
        <f aca="false">M1358-M1364</f>
        <v>0</v>
      </c>
      <c r="N1365" s="73" t="n">
        <f aca="false">N1358-N1364</f>
        <v>0</v>
      </c>
      <c r="O1365" s="73" t="n">
        <f aca="false">O1358-O1364</f>
        <v>0</v>
      </c>
    </row>
    <row r="1366" customFormat="false" ht="15" hidden="false" customHeight="false" outlineLevel="0" collapsed="false">
      <c r="B1366" s="65" t="s">
        <v>1034</v>
      </c>
      <c r="C1366" s="25"/>
      <c r="D1366" s="65" t="n">
        <f aca="false">IF(AND(D1351=1,D1363=0,D1365&gt;0.000001),1,0)</f>
        <v>0</v>
      </c>
      <c r="E1366" s="65" t="n">
        <f aca="false">IF(AND(E1351=1,E1363=0,E1365&gt;0.000001),1,0)</f>
        <v>0</v>
      </c>
      <c r="F1366" s="65" t="n">
        <f aca="false">IF(AND(F1351=1,F1363=0,F1365&gt;0.000001),1,0)</f>
        <v>0</v>
      </c>
      <c r="G1366" s="65" t="n">
        <f aca="false">IF(AND(G1351=1,G1363=0,G1365&gt;0.000001),1,0)</f>
        <v>0</v>
      </c>
      <c r="H1366" s="65" t="n">
        <f aca="false">IF(AND(H1351=1,H1363=0,H1365&gt;0.000001),1,0)</f>
        <v>0</v>
      </c>
      <c r="I1366" s="65" t="n">
        <f aca="false">IF(AND(I1351=1,I1363=0,I1365&gt;0.000001),1,0)</f>
        <v>0</v>
      </c>
      <c r="J1366" s="65" t="n">
        <f aca="false">IF(AND(J1351=1,J1363=0,J1365&gt;0.000001),1,0)</f>
        <v>0</v>
      </c>
      <c r="K1366" s="65" t="n">
        <f aca="false">IF(AND(K1351=1,K1363=0,K1365&gt;0.000001),1,0)</f>
        <v>0</v>
      </c>
      <c r="L1366" s="65" t="n">
        <f aca="false">IF(AND(L1351=1,L1363=0,L1365&gt;0.000001),1,0)</f>
        <v>0</v>
      </c>
      <c r="M1366" s="65" t="n">
        <f aca="false">IF(AND(M1351=1,M1363=0,M1365&gt;0.000001),1,0)</f>
        <v>0</v>
      </c>
      <c r="N1366" s="65" t="n">
        <f aca="false">IF(AND(N1351=1,N1363=0,N1365&gt;0.000001),1,0)</f>
        <v>0</v>
      </c>
      <c r="O1366" s="65" t="n">
        <f aca="false">IF(AND(O1351=1,O1363=0,O1365&gt;0.000001),1,0)</f>
        <v>0</v>
      </c>
    </row>
    <row r="1367" customFormat="false" ht="15" hidden="false" customHeight="false" outlineLevel="0" collapsed="false">
      <c r="B1367" s="65" t="s">
        <v>843</v>
      </c>
      <c r="C1367" s="65" t="n">
        <v>0</v>
      </c>
      <c r="D1367" s="65" t="n">
        <f aca="false">IF(D1351=1,IF(D1366=1,C1367+1,0),C1367)</f>
        <v>0</v>
      </c>
      <c r="E1367" s="65" t="n">
        <f aca="false">IF(E1351=1,IF(E1366=1,D1367+1,0),D1367)</f>
        <v>0</v>
      </c>
      <c r="F1367" s="65" t="n">
        <f aca="false">IF(F1351=1,IF(F1366=1,E1367+1,0),E1367)</f>
        <v>0</v>
      </c>
      <c r="G1367" s="65" t="n">
        <f aca="false">IF(G1351=1,IF(G1366=1,F1367+1,0),F1367)</f>
        <v>0</v>
      </c>
      <c r="H1367" s="65" t="n">
        <f aca="false">IF(H1351=1,IF(H1366=1,G1367+1,0),G1367)</f>
        <v>0</v>
      </c>
      <c r="I1367" s="65" t="n">
        <f aca="false">IF(I1351=1,IF(I1366=1,H1367+1,0),H1367)</f>
        <v>0</v>
      </c>
      <c r="J1367" s="65" t="n">
        <f aca="false">IF(J1351=1,IF(J1366=1,I1367+1,0),I1367)</f>
        <v>0</v>
      </c>
      <c r="K1367" s="65" t="n">
        <f aca="false">IF(K1351=1,IF(K1366=1,J1367+1,0),J1367)</f>
        <v>0</v>
      </c>
      <c r="L1367" s="65" t="n">
        <f aca="false">IF(L1351=1,IF(L1366=1,K1367+1,0),K1367)</f>
        <v>0</v>
      </c>
      <c r="M1367" s="65" t="n">
        <f aca="false">IF(M1351=1,IF(M1366=1,L1367+1,0),L1367)</f>
        <v>0</v>
      </c>
      <c r="N1367" s="65" t="n">
        <f aca="false">IF(N1351=1,IF(N1366=1,M1367+1,0),M1367)</f>
        <v>0</v>
      </c>
      <c r="O1367" s="65" t="n">
        <f aca="false">IF(O1351=1,IF(O1366=1,N1367+1,0),N1367)</f>
        <v>0</v>
      </c>
    </row>
    <row r="1368" customFormat="false" ht="15" hidden="false" customHeight="false" outlineLevel="0" collapsed="false">
      <c r="B1368" s="65" t="s">
        <v>1035</v>
      </c>
      <c r="C1368" s="73" t="n">
        <f aca="false">AN_cible*Ws_MAPIF</f>
        <v>12500000</v>
      </c>
      <c r="D1368" s="73" t="n">
        <f aca="false">C1368*(1+Rend_MAPIF/4)*IF(D1349=1,(1-(Cap_MAPIF*$W$15+(1-Cap_MAPIF)*$W$16))*(1+1*$W$14),1)+D1378-D1372-D1393*IF((C1368+C1369+C1370+C1371)&gt;0,C1368/(C1368+C1369+C1370+C1371),0)</f>
        <v>13534062.5</v>
      </c>
      <c r="E1368" s="73" t="n">
        <f aca="false">D1368*(1+Rend_MAPIF/4)*IF(E1349=1,(1-(Cap_MAPIF*$W$15+(1-Cap_MAPIF)*$W$16))*(1+1*$W$14),1)+E1378-E1372-E1393*IF((D1368+D1369+D1370+D1371)&gt;0,D1368/(D1368+D1369+D1370+D1371),0)</f>
        <v>14576113.1328125</v>
      </c>
      <c r="F1368" s="73" t="n">
        <f aca="false">E1368*(1+Rend_MAPIF/4)*IF(F1349=1,(1-(Cap_MAPIF*$W$15+(1-Cap_MAPIF)*$W$16))*(1+1*$W$14),1)+F1378-F1372-F1393*IF((E1368+E1369+E1370+E1371)&gt;0,E1368/(E1368+E1369+E1370+E1371),0)</f>
        <v>15626213.6067635</v>
      </c>
      <c r="G1368" s="73" t="n">
        <f aca="false">F1368*(1+Rend_MAPIF/4)*IF(G1349=1,(1-(Cap_MAPIF*$W$15+(1-Cap_MAPIF)*$W$16))*(1+1*$W$14),1)+G1378-G1372-G1393*IF((F1368+F1369+F1370+F1371)&gt;0,F1368/(F1368+F1369+F1370+F1371),0)</f>
        <v>16684426.1068757</v>
      </c>
      <c r="H1368" s="73" t="n">
        <f aca="false">G1368*(1+Rend_MAPIF/4)*IF(H1349=1,(1-(Cap_MAPIF*$W$15+(1-Cap_MAPIF)*$W$16))*(1+1*$W$14),1)+H1378-H1372-H1393*IF((G1368+G1369+G1370+G1371)&gt;0,G1368/(G1368+G1369+G1370+G1371),0)</f>
        <v>17438313.2985513</v>
      </c>
      <c r="I1368" s="73" t="n">
        <f aca="false">H1368*(1+Rend_MAPIF/4)*IF(I1349=1,(1-(Cap_MAPIF*$W$15+(1-Cap_MAPIF)*$W$16))*(1+1*$W$14),1)+I1378-I1372-I1393*IF((H1368+H1369+H1370+H1371)&gt;0,H1368/(H1368+H1369+H1370+H1371),0)</f>
        <v>18198024.2687827</v>
      </c>
      <c r="J1368" s="73" t="n">
        <f aca="false">I1368*(1+Rend_MAPIF/4)*IF(J1349=1,(1-(Cap_MAPIF*$W$15+(1-Cap_MAPIF)*$W$16))*(1+1*$W$14),1)+J1378-J1372-J1393*IF((I1368+I1369+I1370+I1371)&gt;0,I1368/(I1368+I1369+I1370+I1371),0)</f>
        <v>18963604.006259</v>
      </c>
      <c r="K1368" s="73" t="n">
        <f aca="false">J1368*(1+Rend_MAPIF/4)*IF(K1349=1,(1-(Cap_MAPIF*$W$15+(1-Cap_MAPIF)*$W$16))*(1+1*$W$14),1)+K1378-K1372-K1393*IF((J1368+J1369+J1370+J1371)&gt;0,J1368/(J1368+J1369+J1370+J1371),0)</f>
        <v>19735097.8472074</v>
      </c>
      <c r="L1368" s="73" t="n">
        <f aca="false">K1368*(1+Rend_MAPIF/4)*IF(L1349=1,(1-(Cap_MAPIF*$W$15+(1-Cap_MAPIF)*$W$16))*(1+1*$W$14),1)+L1378-L1372-L1393*IF((K1368+K1369+K1370+K1371)&gt;0,K1368/(K1368+K1369+K1370+K1371),0)</f>
        <v>20512551.478077</v>
      </c>
      <c r="M1368" s="73" t="n">
        <f aca="false">L1368*(1+Rend_MAPIF/4)*IF(M1349=1,(1-(Cap_MAPIF*$W$15+(1-Cap_MAPIF)*$W$16))*(1+1*$W$14),1)+M1378-M1372-M1393*IF((L1368+L1369+L1370+L1371)&gt;0,L1368/(L1368+L1369+L1370+L1371),0)</f>
        <v>21296010.9382452</v>
      </c>
      <c r="N1368" s="73" t="n">
        <f aca="false">M1368*(1+Rend_MAPIF/4)*IF(N1349=1,(1-(Cap_MAPIF*$W$15+(1-Cap_MAPIF)*$W$16))*(1+1*$W$14),1)+N1378-N1372-N1393*IF((M1368+M1369+M1370+M1371)&gt;0,M1368/(M1368+M1369+M1370+M1371),0)</f>
        <v>21460522.6227431</v>
      </c>
      <c r="O1368" s="73" t="n">
        <f aca="false">N1368*(1+Rend_MAPIF/4)*IF(O1349=1,(1-(Cap_MAPIF*$W$15+(1-Cap_MAPIF)*$W$16))*(1+1*$W$14),1)+O1378-O1372-O1393*IF((N1368+N1369+N1370+N1371)&gt;0,N1368/(N1368+N1369+N1370+N1371),0)</f>
        <v>21626305.1600038</v>
      </c>
    </row>
    <row r="1369" customFormat="false" ht="15" hidden="false" customHeight="false" outlineLevel="0" collapsed="false">
      <c r="B1369" s="65" t="s">
        <v>1036</v>
      </c>
      <c r="C1369" s="73" t="n">
        <f aca="false">AN_cible*Ws_MSIG</f>
        <v>5500000</v>
      </c>
      <c r="D1369" s="73" t="n">
        <f aca="false">C1369*(1+Rend_MSIG/4)*IF(D1349=1,(1-(Cap_MSIG*$W$15+(1-Cap_MSIG)*$W$16))*(1+MSIG_USD*$W$14),1)+D1379-D1373-D1393*IF((C1368+C1369+C1370+C1371)&gt;0,C1369/(C1368+C1369+C1370+C1371),0)</f>
        <v>6148237.5</v>
      </c>
      <c r="E1369" s="73" t="n">
        <f aca="false">D1369*(1+Rend_MSIG/4)*IF(E1349=1,(1-(Cap_MSIG*$W$15+(1-Cap_MSIG)*$W$16))*(1+MSIG_USD*$W$14),1)+E1379-E1373-E1393*IF((D1368+D1369+D1370+D1371)&gt;0,D1369/(D1368+D1369+D1370+D1371),0)</f>
        <v>6799213.8034375</v>
      </c>
      <c r="F1369" s="73" t="n">
        <f aca="false">E1369*(1+Rend_MSIG/4)*IF(F1349=1,(1-(Cap_MSIG*$W$15+(1-Cap_MSIG)*$W$16))*(1+MSIG_USD*$W$14),1)+F1379-F1373-F1393*IF((E1368+E1369+E1370+E1371)&gt;0,E1369/(E1368+E1369+E1370+E1371),0)</f>
        <v>7452940.48175702</v>
      </c>
      <c r="G1369" s="73" t="n">
        <f aca="false">F1369*(1+Rend_MSIG/4)*IF(G1349=1,(1-(Cap_MSIG*$W$15+(1-Cap_MSIG)*$W$16))*(1+MSIG_USD*$W$14),1)+G1379-G1373-G1393*IF((F1368+F1369+F1370+F1371)&gt;0,F1369/(F1368+F1369+F1370+F1371),0)</f>
        <v>8109429.15529245</v>
      </c>
      <c r="H1369" s="73" t="n">
        <f aca="false">G1369*(1+Rend_MSIG/4)*IF(H1349=1,(1-(Cap_MSIG*$W$15+(1-Cap_MSIG)*$W$16))*(1+MSIG_USD*$W$14),1)+H1379-H1373-H1393*IF((G1368+G1369+G1370+G1371)&gt;0,G1369/(G1368+G1369+G1370+G1371),0)</f>
        <v>8560358.16014022</v>
      </c>
      <c r="I1369" s="73" t="n">
        <f aca="false">H1369*(1+Rend_MSIG/4)*IF(I1349=1,(1-(Cap_MSIG*$W$15+(1-Cap_MSIG)*$W$16))*(1+MSIG_USD*$W$14),1)+I1379-I1373-I1393*IF((H1368+H1369+H1370+H1371)&gt;0,H1369/(H1368+H1369+H1370+H1371),0)</f>
        <v>9013192.34003348</v>
      </c>
      <c r="J1369" s="73" t="n">
        <f aca="false">I1369*(1+Rend_MSIG/4)*IF(J1349=1,(1-(Cap_MSIG*$W$15+(1-Cap_MSIG)*$W$16))*(1+MSIG_USD*$W$14),1)+J1379-J1373-J1393*IF((I1368+I1369+I1370+I1371)&gt;0,I1369/(I1368+I1369+I1370+I1371),0)</f>
        <v>9467939.74433679</v>
      </c>
      <c r="K1369" s="73" t="n">
        <f aca="false">J1369*(1+Rend_MSIG/4)*IF(K1349=1,(1-(Cap_MSIG*$W$15+(1-Cap_MSIG)*$W$16))*(1+MSIG_USD*$W$14),1)+K1379-K1373-K1393*IF((J1368+J1369+J1370+J1371)&gt;0,J1369/(J1368+J1369+J1370+J1371),0)</f>
        <v>9924608.45642328</v>
      </c>
      <c r="L1369" s="73" t="n">
        <f aca="false">K1369*(1+Rend_MSIG/4)*IF(L1349=1,(1-(Cap_MSIG*$W$15+(1-Cap_MSIG)*$W$16))*(1+MSIG_USD*$W$14),1)+L1379-L1373-L1393*IF((K1368+K1369+K1370+K1371)&gt;0,K1369/(K1368+K1369+K1370+K1371),0)</f>
        <v>10383206.5938183</v>
      </c>
      <c r="M1369" s="73" t="n">
        <f aca="false">L1369*(1+Rend_MSIG/4)*IF(M1349=1,(1-(Cap_MSIG*$W$15+(1-Cap_MSIG)*$W$16))*(1+MSIG_USD*$W$14),1)+M1379-M1373-M1393*IF((L1368+L1369+L1370+L1371)&gt;0,L1369/(L1368+L1369+L1370+L1371),0)</f>
        <v>10843742.3083439</v>
      </c>
      <c r="N1369" s="73" t="n">
        <f aca="false">M1369*(1+Rend_MSIG/4)*IF(N1349=1,(1-(Cap_MSIG*$W$15+(1-Cap_MSIG)*$W$16))*(1+MSIG_USD*$W$14),1)+N1379-N1373-N1393*IF((M1368+M1369+M1370+M1371)&gt;0,M1369/(M1368+M1369+M1370+M1371),0)</f>
        <v>10889557.1195966</v>
      </c>
      <c r="O1369" s="73" t="n">
        <f aca="false">N1369*(1+Rend_MSIG/4)*IF(O1349=1,(1-(Cap_MSIG*$W$15+(1-Cap_MSIG)*$W$16))*(1+MSIG_USD*$W$14),1)+O1379-O1373-O1393*IF((N1368+N1369+N1370+N1371)&gt;0,N1369/(N1368+N1369+N1370+N1371),0)</f>
        <v>10935565.4984269</v>
      </c>
    </row>
    <row r="1370" customFormat="false" ht="15" hidden="false" customHeight="false" outlineLevel="0" collapsed="false">
      <c r="B1370" s="65" t="s">
        <v>1037</v>
      </c>
      <c r="C1370" s="73" t="n">
        <f aca="false">AN_cible*Ws_PG</f>
        <v>12250000</v>
      </c>
      <c r="D1370" s="73" t="n">
        <f aca="false">C1370*(1+Rend_PG/4)*IF(D1349=1,(1-(Cap_PG*$W$15+(1-Cap_PG)*$W$16))*(1+0*$W$14),1)-D1374-D1390*IF((D1380+D1381)&gt;0,D1380/(D1380+D1381),0)+D1395/2-D1393*IF((C1368+C1369+C1370+C1371)&gt;0,C1370/(C1368+C1369+C1370+C1371),0)</f>
        <v>11888931.25</v>
      </c>
      <c r="E1370" s="73" t="n">
        <f aca="false">D1370*(1+Rend_PG/4)*IF(E1349=1,(1-(Cap_PG*$W$15+(1-Cap_PG)*$W$16))*(1+0*$W$14),1)-E1374-E1390*IF((E1380+E1381)&gt;0,E1380/(E1380+E1381),0)+E1395/2-E1393*IF((D1368+D1369+D1370+D1371)&gt;0,D1370/(D1368+D1369+D1370+D1371),0)</f>
        <v>11538505.0014063</v>
      </c>
      <c r="F1370" s="73" t="n">
        <f aca="false">E1370*(1+Rend_PG/4)*IF(F1349=1,(1-(Cap_PG*$W$15+(1-Cap_PG)*$W$16))*(1+0*$W$14),1)-F1374-F1390*IF((F1380+F1381)&gt;0,F1380/(F1380+F1381),0)+F1395/2-F1393*IF((E1368+E1369+E1370+E1371)&gt;0,E1370/(E1368+E1369+E1370+E1371),0)</f>
        <v>11198407.5664898</v>
      </c>
      <c r="G1370" s="73" t="n">
        <f aca="false">F1370*(1+Rend_PG/4)*IF(G1349=1,(1-(Cap_PG*$W$15+(1-Cap_PG)*$W$16))*(1+0*$W$14),1)-G1374-G1390*IF((G1380+G1381)&gt;0,G1380/(G1380+G1381),0)+G1395/2-G1393*IF((F1368+F1369+F1370+F1371)&gt;0,F1370/(F1368+F1369+F1370+F1371),0)</f>
        <v>10868334.5034675</v>
      </c>
      <c r="H1370" s="73" t="n">
        <f aca="false">G1370*(1+Rend_PG/4)*IF(H1349=1,(1-(Cap_PG*$W$15+(1-Cap_PG)*$W$16))*(1+0*$W$14),1)-H1374-H1390*IF((H1380+H1381)&gt;0,H1380/(H1380+H1381),0)+H1395/2-H1393*IF((G1368+G1369+G1370+G1371)&gt;0,G1370/(G1368+G1369+G1370+G1371),0)</f>
        <v>10547990.3439778</v>
      </c>
      <c r="I1370" s="73" t="n">
        <f aca="false">H1370*(1+Rend_PG/4)*IF(I1349=1,(1-(Cap_PG*$W$15+(1-Cap_PG)*$W$16))*(1+0*$W$14),1)-I1374-I1390*IF((I1380+I1381)&gt;0,I1380/(I1380+I1381),0)+I1395/2-I1393*IF((H1368+H1369+H1370+H1371)&gt;0,H1370/(H1368+H1369+H1370+H1371),0)</f>
        <v>10237088.3285891</v>
      </c>
      <c r="J1370" s="73" t="n">
        <f aca="false">I1370*(1+Rend_PG/4)*IF(J1349=1,(1-(Cap_PG*$W$15+(1-Cap_PG)*$W$16))*(1+0*$W$14),1)-J1374-J1390*IF((J1380+J1381)&gt;0,J1380/(J1380+J1381),0)+J1395/2-J1393*IF((I1368+I1369+I1370+I1371)&gt;0,I1370/(I1368+I1369+I1370+I1371),0)</f>
        <v>9935350.1501039</v>
      </c>
      <c r="K1370" s="73" t="n">
        <f aca="false">J1370*(1+Rend_PG/4)*IF(K1349=1,(1-(Cap_PG*$W$15+(1-Cap_PG)*$W$16))*(1+0*$W$14),1)-K1374-K1390*IF((K1380+K1381)&gt;0,K1380/(K1380+K1381),0)+K1395/2-K1393*IF((J1368+J1369+J1370+J1371)&gt;0,J1370/(J1368+J1369+J1370+J1371),0)</f>
        <v>9642505.70442959</v>
      </c>
      <c r="L1370" s="73" t="n">
        <f aca="false">K1370*(1+Rend_PG/4)*IF(L1349=1,(1-(Cap_PG*$W$15+(1-Cap_PG)*$W$16))*(1+0*$W$14),1)-L1374-L1390*IF((L1380+L1381)&gt;0,L1380/(L1380+L1381),0)+L1395/2-L1393*IF((K1368+K1369+K1370+K1371)&gt;0,K1370/(K1368+K1369+K1370+K1371),0)</f>
        <v>9358292.84879153</v>
      </c>
      <c r="M1370" s="73" t="n">
        <f aca="false">L1370*(1+Rend_PG/4)*IF(M1349=1,(1-(Cap_PG*$W$15+(1-Cap_PG)*$W$16))*(1+0*$W$14),1)-M1374-M1390*IF((M1380+M1381)&gt;0,M1380/(M1380+M1381),0)+M1395/2-M1393*IF((L1368+L1369+L1370+L1371)&gt;0,L1370/(L1368+L1369+L1370+L1371),0)</f>
        <v>9082457.1670734</v>
      </c>
      <c r="N1370" s="73" t="n">
        <f aca="false">M1370*(1+Rend_PG/4)*IF(N1349=1,(1-(Cap_PG*$W$15+(1-Cap_PG)*$W$16))*(1+0*$W$14),1)-N1374-N1390*IF((N1380+N1381)&gt;0,N1380/(N1380+N1381),0)+N1395/2-N1393*IF((M1368+M1369+M1370+M1371)&gt;0,M1370/(M1368+M1369+M1370+M1371),0)</f>
        <v>8814751.74207391</v>
      </c>
      <c r="O1370" s="73" t="n">
        <f aca="false">N1370*(1+Rend_PG/4)*IF(O1349=1,(1-(Cap_PG*$W$15+(1-Cap_PG)*$W$16))*(1+0*$W$14),1)-O1374-O1390*IF((O1380+O1381)&gt;0,O1380/(O1380+O1381),0)+O1395/2-O1393*IF((N1368+N1369+N1370+N1371)&gt;0,N1370/(N1368+N1369+N1370+N1371),0)</f>
        <v>8554936.93447628</v>
      </c>
    </row>
    <row r="1371" customFormat="false" ht="15" hidden="false" customHeight="false" outlineLevel="0" collapsed="false">
      <c r="B1371" s="65" t="s">
        <v>1038</v>
      </c>
      <c r="C1371" s="73" t="n">
        <f aca="false">AN_cible*Ws_ARES</f>
        <v>12250000</v>
      </c>
      <c r="D1371" s="73" t="n">
        <f aca="false">C1371*(1+Rend_ARES/4)*IF(D1349=1,(1-(Cap_ARES*$W$15+(1-Cap_ARES)*$W$16))*(1+0*$W$14),1)-D1375-D1390*IF((D1380+D1381)&gt;0,D1381/(D1380+D1381),0)/(1-IF(D1349&lt;=Deduc_trim,Deduc_ares,0))+D1395/2-D1393*IF((C1368+C1369+C1370+C1371)&gt;0,C1371/(C1368+C1369+C1370+C1371),0)</f>
        <v>11727537.5</v>
      </c>
      <c r="E1371" s="73" t="n">
        <f aca="false">D1371*(1+Rend_ARES/4)*IF(E1349=1,(1-(Cap_ARES*$W$15+(1-Cap_ARES)*$W$16))*(1+0*$W$14),1)-E1375-E1390*IF((E1380+E1381)&gt;0,E1381/(E1380+E1381),0)/(1-IF(E1349&lt;=Deduc_trim,Deduc_ares,0))+E1395/2-E1393*IF((D1368+D1369+D1370+D1371)&gt;0,D1371/(D1368+D1369+D1370+D1371),0)</f>
        <v>11227358.025625</v>
      </c>
      <c r="F1371" s="73" t="n">
        <f aca="false">E1371*(1+Rend_ARES/4)*IF(F1349=1,(1-(Cap_ARES*$W$15+(1-Cap_ARES)*$W$16))*(1+0*$W$14),1)-F1375-F1390*IF((F1380+F1381)&gt;0,F1381/(F1380+F1381),0)/(1-IF(F1349&lt;=Deduc_trim,Deduc_ares,0))+F1395/2-F1393*IF((E1368+E1369+E1370+E1371)&gt;0,E1371/(E1368+E1369+E1370+E1371),0)</f>
        <v>10748511.2058321</v>
      </c>
      <c r="G1371" s="73" t="n">
        <f aca="false">F1371*(1+Rend_ARES/4)*IF(G1349=1,(1-(Cap_ARES*$W$15+(1-Cap_ARES)*$W$16))*(1+0*$W$14),1)-G1375-G1390*IF((G1380+G1381)&gt;0,G1381/(G1380+G1381),0)/(1-IF(G1349&lt;=Deduc_trim,Deduc_ares,0))+G1395/2-G1393*IF((F1368+F1369+F1370+F1371)&gt;0,F1371/(F1368+F1369+F1370+F1371),0)</f>
        <v>10290087.2029034</v>
      </c>
      <c r="H1371" s="73" t="n">
        <f aca="false">G1371*(1+Rend_ARES/4)*IF(H1349=1,(1-(Cap_ARES*$W$15+(1-Cap_ARES)*$W$16))*(1+0*$W$14),1)-H1375-H1390*IF((H1380+H1381)&gt;0,H1381/(H1380+H1381),0)/(1-IF(H1349&lt;=Deduc_trim,Deduc_ares,0))+H1395/2-H1393*IF((G1368+G1369+G1370+G1371)&gt;0,G1371/(G1368+G1369+G1370+G1371),0)</f>
        <v>9851214.98369952</v>
      </c>
      <c r="I1371" s="73" t="n">
        <f aca="false">H1371*(1+Rend_ARES/4)*IF(I1349=1,(1-(Cap_ARES*$W$15+(1-Cap_ARES)*$W$16))*(1+0*$W$14),1)-I1375-I1390*IF((I1380+I1381)&gt;0,I1381/(I1380+I1381),0)/(1-IF(I1349&lt;=Deduc_trim,Deduc_ares,0))+I1395/2-I1393*IF((H1368+H1369+H1370+H1371)&gt;0,H1371/(H1368+H1369+H1370+H1371),0)</f>
        <v>9431060.66464474</v>
      </c>
      <c r="J1371" s="73" t="n">
        <f aca="false">I1371*(1+Rend_ARES/4)*IF(J1349=1,(1-(Cap_ARES*$W$15+(1-Cap_ARES)*$W$16))*(1+0*$W$14),1)-J1375-J1390*IF((J1380+J1381)&gt;0,J1381/(J1380+J1381),0)/(1-IF(J1349&lt;=Deduc_trim,Deduc_ares,0))+J1395/2-J1393*IF((I1368+I1369+I1370+I1371)&gt;0,I1371/(I1368+I1369+I1370+I1371),0)</f>
        <v>9028825.92729764</v>
      </c>
      <c r="K1371" s="73" t="n">
        <f aca="false">J1371*(1+Rend_ARES/4)*IF(K1349=1,(1-(Cap_ARES*$W$15+(1-Cap_ARES)*$W$16))*(1+0*$W$14),1)-K1375-K1390*IF((K1380+K1381)&gt;0,K1381/(K1380+K1381),0)/(1-IF(K1349&lt;=Deduc_trim,Deduc_ares,0))+K1395/2-K1393*IF((J1368+J1369+J1370+J1371)&gt;0,J1371/(J1368+J1369+J1370+J1371),0)</f>
        <v>8643746.5014984</v>
      </c>
      <c r="L1371" s="73" t="n">
        <f aca="false">K1371*(1+Rend_ARES/4)*IF(L1349=1,(1-(Cap_ARES*$W$15+(1-Cap_ARES)*$W$16))*(1+0*$W$14),1)-L1375-L1390*IF((L1380+L1381)&gt;0,L1381/(L1380+L1381),0)/(1-IF(L1349&lt;=Deduc_trim,Deduc_ares,0))+L1395/2-L1393*IF((K1368+K1369+K1370+K1371)&gt;0,K1371/(K1368+K1369+K1370+K1371),0)</f>
        <v>8275090.71320949</v>
      </c>
      <c r="M1371" s="73" t="n">
        <f aca="false">L1371*(1+Rend_ARES/4)*IF(M1349=1,(1-(Cap_ARES*$W$15+(1-Cap_ARES)*$W$16))*(1+0*$W$14),1)-M1375-M1390*IF((M1380+M1381)&gt;0,M1381/(M1380+M1381),0)/(1-IF(M1349&lt;=Deduc_trim,Deduc_ares,0))+M1395/2-M1393*IF((L1368+L1369+L1370+L1371)&gt;0,L1371/(L1368+L1369+L1370+L1371),0)</f>
        <v>7922158.0942911</v>
      </c>
      <c r="N1371" s="73" t="n">
        <f aca="false">M1371*(1+Rend_ARES/4)*IF(N1349=1,(1-(Cap_ARES*$W$15+(1-Cap_ARES)*$W$16))*(1+0*$W$14),1)-N1375-N1390*IF((N1380+N1381)&gt;0,N1381/(N1380+N1381),0)/(1-IF(N1349&lt;=Deduc_trim,Deduc_ares,0))+N1395/2-N1393*IF((M1368+M1369+M1370+M1371)&gt;0,M1371/(M1368+M1369+M1370+M1371),0)</f>
        <v>7584278.05156959</v>
      </c>
      <c r="O1371" s="73" t="n">
        <f aca="false">N1371*(1+Rend_ARES/4)*IF(O1349=1,(1-(Cap_ARES*$W$15+(1-Cap_ARES)*$W$16))*(1+0*$W$14),1)-O1375-O1390*IF((O1380+O1381)&gt;0,O1381/(O1380+O1381),0)/(1-IF(O1349&lt;=Deduc_trim,Deduc_ares,0))+O1395/2-O1393*IF((N1368+N1369+N1370+N1371)&gt;0,N1371/(N1368+N1369+N1370+N1371),0)</f>
        <v>7260808.59267014</v>
      </c>
    </row>
    <row r="1372" customFormat="false" ht="15" hidden="false" customHeight="false" outlineLevel="0" collapsed="false">
      <c r="B1372" s="65" t="s">
        <v>1039</v>
      </c>
      <c r="C1372" s="25"/>
      <c r="D1372" s="73" t="n">
        <f aca="false">C1368*Dist_MAPIF/4*IF(D1349&lt;=$W$11,0,$W$10)</f>
        <v>187500</v>
      </c>
      <c r="E1372" s="73" t="n">
        <f aca="false">D1368*Dist_MAPIF/4*IF(E1349&lt;=$W$11,0,$W$10)</f>
        <v>203010.9375</v>
      </c>
      <c r="F1372" s="73" t="n">
        <f aca="false">E1368*Dist_MAPIF/4*IF(F1349&lt;=$W$11,0,$W$10)</f>
        <v>218641.696992188</v>
      </c>
      <c r="G1372" s="73" t="n">
        <f aca="false">F1368*Dist_MAPIF/4*IF(G1349&lt;=$W$11,0,$W$10)</f>
        <v>234393.204101452</v>
      </c>
      <c r="H1372" s="73" t="n">
        <f aca="false">G1368*Dist_MAPIF/4*IF(H1349&lt;=$W$11,0,$W$10)</f>
        <v>250266.391603136</v>
      </c>
      <c r="I1372" s="73" t="n">
        <f aca="false">H1368*Dist_MAPIF/4*IF(I1349&lt;=$W$11,0,$W$10)</f>
        <v>261574.69947827</v>
      </c>
      <c r="J1372" s="73" t="n">
        <f aca="false">I1368*Dist_MAPIF/4*IF(J1349&lt;=$W$11,0,$W$10)</f>
        <v>272970.36403174</v>
      </c>
      <c r="K1372" s="73" t="n">
        <f aca="false">J1368*Dist_MAPIF/4*IF(K1349&lt;=$W$11,0,$W$10)</f>
        <v>284454.060093885</v>
      </c>
      <c r="L1372" s="73" t="n">
        <f aca="false">K1368*Dist_MAPIF/4*IF(L1349&lt;=$W$11,0,$W$10)</f>
        <v>296026.46770811</v>
      </c>
      <c r="M1372" s="73" t="n">
        <f aca="false">L1368*Dist_MAPIF/4*IF(M1349&lt;=$W$11,0,$W$10)</f>
        <v>307688.272171156</v>
      </c>
      <c r="N1372" s="73" t="n">
        <f aca="false">M1368*Dist_MAPIF/4*IF(N1349&lt;=$W$11,0,$W$10)</f>
        <v>319440.164073678</v>
      </c>
      <c r="O1372" s="73" t="n">
        <f aca="false">N1368*Dist_MAPIF/4*IF(O1349&lt;=$W$11,0,$W$10)</f>
        <v>321907.839341147</v>
      </c>
    </row>
    <row r="1373" customFormat="false" ht="15" hidden="false" customHeight="false" outlineLevel="0" collapsed="false">
      <c r="B1373" s="65" t="s">
        <v>1040</v>
      </c>
      <c r="C1373" s="25"/>
      <c r="D1373" s="73" t="n">
        <f aca="false">C1369*Dist_MSIG/4*IF(D1349&lt;=$W$11,0,$W$10)</f>
        <v>96250</v>
      </c>
      <c r="E1373" s="73" t="n">
        <f aca="false">D1369*Dist_MSIG/4*IF(E1349&lt;=$W$11,0,$W$10)</f>
        <v>107594.15625</v>
      </c>
      <c r="F1373" s="73" t="n">
        <f aca="false">E1369*Dist_MSIG/4*IF(F1349&lt;=$W$11,0,$W$10)</f>
        <v>118986.241560156</v>
      </c>
      <c r="G1373" s="73" t="n">
        <f aca="false">F1369*Dist_MSIG/4*IF(G1349&lt;=$W$11,0,$W$10)</f>
        <v>130426.458430748</v>
      </c>
      <c r="H1373" s="73" t="n">
        <f aca="false">G1369*Dist_MSIG/4*IF(H1349&lt;=$W$11,0,$W$10)</f>
        <v>141915.010217618</v>
      </c>
      <c r="I1373" s="73" t="n">
        <f aca="false">H1369*Dist_MSIG/4*IF(I1349&lt;=$W$11,0,$W$10)</f>
        <v>149806.267802454</v>
      </c>
      <c r="J1373" s="73" t="n">
        <f aca="false">I1369*Dist_MSIG/4*IF(J1349&lt;=$W$11,0,$W$10)</f>
        <v>157730.865950586</v>
      </c>
      <c r="K1373" s="73" t="n">
        <f aca="false">J1369*Dist_MSIG/4*IF(K1349&lt;=$W$11,0,$W$10)</f>
        <v>165688.945525894</v>
      </c>
      <c r="L1373" s="73" t="n">
        <f aca="false">K1369*Dist_MSIG/4*IF(L1349&lt;=$W$11,0,$W$10)</f>
        <v>173680.647987407</v>
      </c>
      <c r="M1373" s="73" t="n">
        <f aca="false">L1369*Dist_MSIG/4*IF(M1349&lt;=$W$11,0,$W$10)</f>
        <v>181706.115391821</v>
      </c>
      <c r="N1373" s="73" t="n">
        <f aca="false">M1369*Dist_MSIG/4*IF(N1349&lt;=$W$11,0,$W$10)</f>
        <v>189765.490396018</v>
      </c>
      <c r="O1373" s="73" t="n">
        <f aca="false">N1369*Dist_MSIG/4*IF(O1349&lt;=$W$11,0,$W$10)</f>
        <v>190567.249592941</v>
      </c>
    </row>
    <row r="1374" customFormat="false" ht="15" hidden="false" customHeight="false" outlineLevel="0" collapsed="false">
      <c r="B1374" s="65" t="s">
        <v>1041</v>
      </c>
      <c r="C1374" s="25"/>
      <c r="D1374" s="73" t="n">
        <f aca="false">C1370*Dist_PG/4*IF(D1349&lt;=$W$11,0,$W$10)</f>
        <v>61250</v>
      </c>
      <c r="E1374" s="73" t="n">
        <f aca="false">D1370*Dist_PG/4*IF(E1349&lt;=$W$11,0,$W$10)</f>
        <v>59444.65625</v>
      </c>
      <c r="F1374" s="73" t="n">
        <f aca="false">E1370*Dist_PG/4*IF(F1349&lt;=$W$11,0,$W$10)</f>
        <v>57692.5250070313</v>
      </c>
      <c r="G1374" s="73" t="n">
        <f aca="false">F1370*Dist_PG/4*IF(G1349&lt;=$W$11,0,$W$10)</f>
        <v>55992.037832449</v>
      </c>
      <c r="H1374" s="73" t="n">
        <f aca="false">G1370*Dist_PG/4*IF(H1349&lt;=$W$11,0,$W$10)</f>
        <v>54341.6725173376</v>
      </c>
      <c r="I1374" s="73" t="n">
        <f aca="false">H1370*Dist_PG/4*IF(I1349&lt;=$W$11,0,$W$10)</f>
        <v>52739.9517198891</v>
      </c>
      <c r="J1374" s="73" t="n">
        <f aca="false">I1370*Dist_PG/4*IF(J1349&lt;=$W$11,0,$W$10)</f>
        <v>51185.4416429453</v>
      </c>
      <c r="K1374" s="73" t="n">
        <f aca="false">J1370*Dist_PG/4*IF(K1349&lt;=$W$11,0,$W$10)</f>
        <v>49676.7507505195</v>
      </c>
      <c r="L1374" s="73" t="n">
        <f aca="false">K1370*Dist_PG/4*IF(L1349&lt;=$W$11,0,$W$10)</f>
        <v>48212.528522148</v>
      </c>
      <c r="M1374" s="73" t="n">
        <f aca="false">L1370*Dist_PG/4*IF(M1349&lt;=$W$11,0,$W$10)</f>
        <v>46791.4642439576</v>
      </c>
      <c r="N1374" s="73" t="n">
        <f aca="false">M1370*Dist_PG/4*IF(N1349&lt;=$W$11,0,$W$10)</f>
        <v>45412.285835367</v>
      </c>
      <c r="O1374" s="73" t="n">
        <f aca="false">N1370*Dist_PG/4*IF(O1349&lt;=$W$11,0,$W$10)</f>
        <v>44073.7587103696</v>
      </c>
    </row>
    <row r="1375" customFormat="false" ht="15" hidden="false" customHeight="false" outlineLevel="0" collapsed="false">
      <c r="B1375" s="65" t="s">
        <v>1042</v>
      </c>
      <c r="C1375" s="25"/>
      <c r="D1375" s="73" t="n">
        <f aca="false">C1371*Dist_ARES/4*IF(D1349&lt;=$W$11,0,$W$10)</f>
        <v>153125</v>
      </c>
      <c r="E1375" s="73" t="n">
        <f aca="false">D1371*Dist_ARES/4*IF(E1349&lt;=$W$11,0,$W$10)</f>
        <v>146594.21875</v>
      </c>
      <c r="F1375" s="73" t="n">
        <f aca="false">E1371*Dist_ARES/4*IF(F1349&lt;=$W$11,0,$W$10)</f>
        <v>140341.975320313</v>
      </c>
      <c r="G1375" s="73" t="n">
        <f aca="false">F1371*Dist_ARES/4*IF(G1349&lt;=$W$11,0,$W$10)</f>
        <v>134356.390072901</v>
      </c>
      <c r="H1375" s="73" t="n">
        <f aca="false">G1371*Dist_ARES/4*IF(H1349&lt;=$W$11,0,$W$10)</f>
        <v>128626.090036292</v>
      </c>
      <c r="I1375" s="73" t="n">
        <f aca="false">H1371*Dist_ARES/4*IF(I1349&lt;=$W$11,0,$W$10)</f>
        <v>123140.187296244</v>
      </c>
      <c r="J1375" s="73" t="n">
        <f aca="false">I1371*Dist_ARES/4*IF(J1349&lt;=$W$11,0,$W$10)</f>
        <v>117888.258308059</v>
      </c>
      <c r="K1375" s="73" t="n">
        <f aca="false">J1371*Dist_ARES/4*IF(K1349&lt;=$W$11,0,$W$10)</f>
        <v>112860.324091221</v>
      </c>
      <c r="L1375" s="73" t="n">
        <f aca="false">K1371*Dist_ARES/4*IF(L1349&lt;=$W$11,0,$W$10)</f>
        <v>108046.83126873</v>
      </c>
      <c r="M1375" s="73" t="n">
        <f aca="false">L1371*Dist_ARES/4*IF(M1349&lt;=$W$11,0,$W$10)</f>
        <v>103438.633915119</v>
      </c>
      <c r="N1375" s="73" t="n">
        <f aca="false">M1371*Dist_ARES/4*IF(N1349&lt;=$W$11,0,$W$10)</f>
        <v>99026.9761786388</v>
      </c>
      <c r="O1375" s="73" t="n">
        <f aca="false">N1371*Dist_ARES/4*IF(O1349&lt;=$W$11,0,$W$10)</f>
        <v>94803.4756446198</v>
      </c>
    </row>
    <row r="1376" customFormat="false" ht="15" hidden="false" customHeight="false" outlineLevel="0" collapsed="false">
      <c r="B1376" s="65" t="s">
        <v>1043</v>
      </c>
      <c r="C1376" s="73" t="n">
        <f aca="false">AN_cible*$W$12*Part_MAPIF_NA</f>
        <v>7500000</v>
      </c>
      <c r="D1376" s="73" t="n">
        <f aca="false">C1376*IF(D1349=1,1+$W$14,1)-D1378</f>
        <v>6562500</v>
      </c>
      <c r="E1376" s="73" t="n">
        <f aca="false">D1376*IF(E1349=1,1+$W$14,1)-E1378</f>
        <v>5625000</v>
      </c>
      <c r="F1376" s="73" t="n">
        <f aca="false">E1376*IF(F1349=1,1+$W$14,1)-F1378</f>
        <v>4687500</v>
      </c>
      <c r="G1376" s="73" t="n">
        <f aca="false">F1376*IF(G1349=1,1+$W$14,1)-G1378</f>
        <v>3750000</v>
      </c>
      <c r="H1376" s="73" t="n">
        <f aca="false">G1376*IF(H1349=1,1+$W$14,1)-H1378</f>
        <v>3125000</v>
      </c>
      <c r="I1376" s="73" t="n">
        <f aca="false">H1376*IF(I1349=1,1+$W$14,1)-I1378</f>
        <v>2500000</v>
      </c>
      <c r="J1376" s="73" t="n">
        <f aca="false">I1376*IF(J1349=1,1+$W$14,1)-J1378</f>
        <v>1875000</v>
      </c>
      <c r="K1376" s="73" t="n">
        <f aca="false">J1376*IF(K1349=1,1+$W$14,1)-K1378</f>
        <v>1250000</v>
      </c>
      <c r="L1376" s="73" t="n">
        <f aca="false">K1376*IF(L1349=1,1+$W$14,1)-L1378</f>
        <v>625000</v>
      </c>
      <c r="M1376" s="73" t="n">
        <f aca="false">L1376*IF(M1349=1,1+$W$14,1)-M1378</f>
        <v>0</v>
      </c>
      <c r="N1376" s="73" t="n">
        <f aca="false">M1376*IF(N1349=1,1+$W$14,1)-N1378</f>
        <v>0</v>
      </c>
      <c r="O1376" s="73" t="n">
        <f aca="false">N1376*IF(O1349=1,1+$W$14,1)-O1378</f>
        <v>0</v>
      </c>
    </row>
    <row r="1377" customFormat="false" ht="15" hidden="false" customHeight="false" outlineLevel="0" collapsed="false">
      <c r="B1377" s="65" t="s">
        <v>1044</v>
      </c>
      <c r="C1377" s="73" t="n">
        <f aca="false">AN_cible*$W$12*(1-Part_MAPIF_NA)</f>
        <v>5000000</v>
      </c>
      <c r="D1377" s="73" t="n">
        <f aca="false">C1377*IF(D1349=1,1+MSIG_USD*$W$14,1)-D1379</f>
        <v>4375000</v>
      </c>
      <c r="E1377" s="73" t="n">
        <f aca="false">D1377*IF(E1349=1,1+MSIG_USD*$W$14,1)-E1379</f>
        <v>3750000</v>
      </c>
      <c r="F1377" s="73" t="n">
        <f aca="false">E1377*IF(F1349=1,1+MSIG_USD*$W$14,1)-F1379</f>
        <v>3125000</v>
      </c>
      <c r="G1377" s="73" t="n">
        <f aca="false">F1377*IF(G1349=1,1+MSIG_USD*$W$14,1)-G1379</f>
        <v>2500000</v>
      </c>
      <c r="H1377" s="73" t="n">
        <f aca="false">G1377*IF(H1349=1,1+MSIG_USD*$W$14,1)-H1379</f>
        <v>2083333.33333333</v>
      </c>
      <c r="I1377" s="73" t="n">
        <f aca="false">H1377*IF(I1349=1,1+MSIG_USD*$W$14,1)-I1379</f>
        <v>1666666.66666667</v>
      </c>
      <c r="J1377" s="73" t="n">
        <f aca="false">I1377*IF(J1349=1,1+MSIG_USD*$W$14,1)-J1379</f>
        <v>1250000</v>
      </c>
      <c r="K1377" s="73" t="n">
        <f aca="false">J1377*IF(K1349=1,1+MSIG_USD*$W$14,1)-K1379</f>
        <v>833333.333333334</v>
      </c>
      <c r="L1377" s="73" t="n">
        <f aca="false">K1377*IF(L1349=1,1+MSIG_USD*$W$14,1)-L1379</f>
        <v>416666.666666667</v>
      </c>
      <c r="M1377" s="73" t="n">
        <f aca="false">L1377*IF(M1349=1,1+MSIG_USD*$W$14,1)-M1379</f>
        <v>0</v>
      </c>
      <c r="N1377" s="73" t="n">
        <f aca="false">M1377*IF(N1349=1,1+MSIG_USD*$W$14,1)-N1379</f>
        <v>0</v>
      </c>
      <c r="O1377" s="73" t="n">
        <f aca="false">N1377*IF(O1349=1,1+MSIG_USD*$W$14,1)-O1379</f>
        <v>0</v>
      </c>
    </row>
    <row r="1378" customFormat="false" ht="15" hidden="false" customHeight="false" outlineLevel="0" collapsed="false">
      <c r="B1378" s="65" t="s">
        <v>1045</v>
      </c>
      <c r="C1378" s="25"/>
      <c r="D1378" s="73" t="n">
        <f aca="false">MIN(C1376*IF(D1349=1,1+$W$14,1),$C1376*(1+$W$14)*IF(D1349&lt;=4,$W$13/4,Appels_base))</f>
        <v>937500</v>
      </c>
      <c r="E1378" s="73" t="n">
        <f aca="false">MIN(D1376*IF(E1349=1,1+$W$14,1),$C1376*(1+$W$14)*IF(E1349&lt;=4,$W$13/4,Appels_base))</f>
        <v>937500</v>
      </c>
      <c r="F1378" s="73" t="n">
        <f aca="false">MIN(E1376*IF(F1349=1,1+$W$14,1),$C1376*(1+$W$14)*IF(F1349&lt;=4,$W$13/4,Appels_base))</f>
        <v>937500</v>
      </c>
      <c r="G1378" s="73" t="n">
        <f aca="false">MIN(F1376*IF(G1349=1,1+$W$14,1),$C1376*(1+$W$14)*IF(G1349&lt;=4,$W$13/4,Appels_base))</f>
        <v>937500</v>
      </c>
      <c r="H1378" s="73" t="n">
        <f aca="false">MIN(G1376*IF(H1349=1,1+$W$14,1),$C1376*(1+$W$14)*IF(H1349&lt;=4,$W$13/4,Appels_base))</f>
        <v>625000</v>
      </c>
      <c r="I1378" s="73" t="n">
        <f aca="false">MIN(H1376*IF(I1349=1,1+$W$14,1),$C1376*(1+$W$14)*IF(I1349&lt;=4,$W$13/4,Appels_base))</f>
        <v>625000</v>
      </c>
      <c r="J1378" s="73" t="n">
        <f aca="false">MIN(I1376*IF(J1349=1,1+$W$14,1),$C1376*(1+$W$14)*IF(J1349&lt;=4,$W$13/4,Appels_base))</f>
        <v>625000</v>
      </c>
      <c r="K1378" s="73" t="n">
        <f aca="false">MIN(J1376*IF(K1349=1,1+$W$14,1),$C1376*(1+$W$14)*IF(K1349&lt;=4,$W$13/4,Appels_base))</f>
        <v>625000</v>
      </c>
      <c r="L1378" s="73" t="n">
        <f aca="false">MIN(K1376*IF(L1349=1,1+$W$14,1),$C1376*(1+$W$14)*IF(L1349&lt;=4,$W$13/4,Appels_base))</f>
        <v>625000</v>
      </c>
      <c r="M1378" s="73" t="n">
        <f aca="false">MIN(L1376*IF(M1349=1,1+$W$14,1),$C1376*(1+$W$14)*IF(M1349&lt;=4,$W$13/4,Appels_base))</f>
        <v>625000</v>
      </c>
      <c r="N1378" s="73" t="n">
        <f aca="false">MIN(M1376*IF(N1349=1,1+$W$14,1),$C1376*(1+$W$14)*IF(N1349&lt;=4,$W$13/4,Appels_base))</f>
        <v>0</v>
      </c>
      <c r="O1378" s="73" t="n">
        <f aca="false">MIN(N1376*IF(O1349=1,1+$W$14,1),$C1376*(1+$W$14)*IF(O1349&lt;=4,$W$13/4,Appels_base))</f>
        <v>0</v>
      </c>
    </row>
    <row r="1379" customFormat="false" ht="15" hidden="false" customHeight="false" outlineLevel="0" collapsed="false">
      <c r="B1379" s="65" t="s">
        <v>1046</v>
      </c>
      <c r="C1379" s="25"/>
      <c r="D1379" s="73" t="n">
        <f aca="false">MIN(C1377*IF(D1349=1,1+MSIG_USD*$W$14,1),$C1377*(1+MSIG_USD*$W$14)*IF(D1349&lt;=4,$W$13/4,Appels_base))</f>
        <v>625000</v>
      </c>
      <c r="E1379" s="73" t="n">
        <f aca="false">MIN(D1377*IF(E1349=1,1+MSIG_USD*$W$14,1),$C1377*(1+MSIG_USD*$W$14)*IF(E1349&lt;=4,$W$13/4,Appels_base))</f>
        <v>625000</v>
      </c>
      <c r="F1379" s="73" t="n">
        <f aca="false">MIN(E1377*IF(F1349=1,1+MSIG_USD*$W$14,1),$C1377*(1+MSIG_USD*$W$14)*IF(F1349&lt;=4,$W$13/4,Appels_base))</f>
        <v>625000</v>
      </c>
      <c r="G1379" s="73" t="n">
        <f aca="false">MIN(F1377*IF(G1349=1,1+MSIG_USD*$W$14,1),$C1377*(1+MSIG_USD*$W$14)*IF(G1349&lt;=4,$W$13/4,Appels_base))</f>
        <v>625000</v>
      </c>
      <c r="H1379" s="73" t="n">
        <f aca="false">MIN(G1377*IF(H1349=1,1+MSIG_USD*$W$14,1),$C1377*(1+MSIG_USD*$W$14)*IF(H1349&lt;=4,$W$13/4,Appels_base))</f>
        <v>416666.666666667</v>
      </c>
      <c r="I1379" s="73" t="n">
        <f aca="false">MIN(H1377*IF(I1349=1,1+MSIG_USD*$W$14,1),$C1377*(1+MSIG_USD*$W$14)*IF(I1349&lt;=4,$W$13/4,Appels_base))</f>
        <v>416666.666666667</v>
      </c>
      <c r="J1379" s="73" t="n">
        <f aca="false">MIN(I1377*IF(J1349=1,1+MSIG_USD*$W$14,1),$C1377*(1+MSIG_USD*$W$14)*IF(J1349&lt;=4,$W$13/4,Appels_base))</f>
        <v>416666.666666667</v>
      </c>
      <c r="K1379" s="73" t="n">
        <f aca="false">MIN(J1377*IF(K1349=1,1+MSIG_USD*$W$14,1),$C1377*(1+MSIG_USD*$W$14)*IF(K1349&lt;=4,$W$13/4,Appels_base))</f>
        <v>416666.666666667</v>
      </c>
      <c r="L1379" s="73" t="n">
        <f aca="false">MIN(K1377*IF(L1349=1,1+MSIG_USD*$W$14,1),$C1377*(1+MSIG_USD*$W$14)*IF(L1349&lt;=4,$W$13/4,Appels_base))</f>
        <v>416666.666666667</v>
      </c>
      <c r="M1379" s="73" t="n">
        <f aca="false">MIN(L1377*IF(M1349=1,1+MSIG_USD*$W$14,1),$C1377*(1+MSIG_USD*$W$14)*IF(M1349&lt;=4,$W$13/4,Appels_base))</f>
        <v>416666.666666667</v>
      </c>
      <c r="N1379" s="73" t="n">
        <f aca="false">MIN(M1377*IF(N1349=1,1+MSIG_USD*$W$14,1),$C1377*(1+MSIG_USD*$W$14)*IF(N1349&lt;=4,$W$13/4,Appels_base))</f>
        <v>0</v>
      </c>
      <c r="O1379" s="73" t="n">
        <f aca="false">MIN(N1377*IF(O1349=1,1+MSIG_USD*$W$14,1),$C1377*(1+MSIG_USD*$W$14)*IF(O1349&lt;=4,$W$13/4,Appels_base))</f>
        <v>0</v>
      </c>
    </row>
    <row r="1380" customFormat="false" ht="15" hidden="false" customHeight="false" outlineLevel="0" collapsed="false">
      <c r="B1380" s="65" t="s">
        <v>1047</v>
      </c>
      <c r="C1380" s="25"/>
      <c r="D1380" s="73" t="n">
        <f aca="false">C1370*Capacite_evg*IF(D1349&lt;=4,$W$17,$W$18)</f>
        <v>612500</v>
      </c>
      <c r="E1380" s="73" t="n">
        <f aca="false">D1370*Capacite_evg*IF(E1349&lt;=4,$W$17,$W$18)</f>
        <v>594446.5625</v>
      </c>
      <c r="F1380" s="73" t="n">
        <f aca="false">E1370*Capacite_evg*IF(F1349&lt;=4,$W$17,$W$18)</f>
        <v>576925.250070313</v>
      </c>
      <c r="G1380" s="73" t="n">
        <f aca="false">F1370*Capacite_evg*IF(G1349&lt;=4,$W$17,$W$18)</f>
        <v>559920.37832449</v>
      </c>
      <c r="H1380" s="73" t="n">
        <f aca="false">G1370*Capacite_evg*IF(H1349&lt;=4,$W$17,$W$18)</f>
        <v>543416.725173376</v>
      </c>
      <c r="I1380" s="73" t="n">
        <f aca="false">H1370*Capacite_evg*IF(I1349&lt;=4,$W$17,$W$18)</f>
        <v>527399.517198891</v>
      </c>
      <c r="J1380" s="73" t="n">
        <f aca="false">I1370*Capacite_evg*IF(J1349&lt;=4,$W$17,$W$18)</f>
        <v>511854.416429453</v>
      </c>
      <c r="K1380" s="73" t="n">
        <f aca="false">J1370*Capacite_evg*IF(K1349&lt;=4,$W$17,$W$18)</f>
        <v>496767.507505195</v>
      </c>
      <c r="L1380" s="73" t="n">
        <f aca="false">K1370*Capacite_evg*IF(L1349&lt;=4,$W$17,$W$18)</f>
        <v>482125.28522148</v>
      </c>
      <c r="M1380" s="73" t="n">
        <f aca="false">L1370*Capacite_evg*IF(M1349&lt;=4,$W$17,$W$18)</f>
        <v>467914.642439576</v>
      </c>
      <c r="N1380" s="73" t="n">
        <f aca="false">M1370*Capacite_evg*IF(N1349&lt;=4,$W$17,$W$18)</f>
        <v>454122.85835367</v>
      </c>
      <c r="O1380" s="73" t="n">
        <f aca="false">N1370*Capacite_evg*IF(O1349&lt;=4,$W$17,$W$18)</f>
        <v>440737.587103696</v>
      </c>
    </row>
    <row r="1381" customFormat="false" ht="15" hidden="false" customHeight="false" outlineLevel="0" collapsed="false">
      <c r="B1381" s="65" t="s">
        <v>1048</v>
      </c>
      <c r="C1381" s="25"/>
      <c r="D1381" s="73" t="n">
        <f aca="false">C1371*Capacite_evg*IF(D1349&lt;=4,$W$17,$W$19)*(1-IF(D1349&lt;=Deduc_trim,Deduc_ares,0))</f>
        <v>581875</v>
      </c>
      <c r="E1381" s="73" t="n">
        <f aca="false">D1371*Capacite_evg*IF(E1349&lt;=4,$W$17,$W$19)*(1-IF(E1349&lt;=Deduc_trim,Deduc_ares,0))</f>
        <v>557058.03125</v>
      </c>
      <c r="F1381" s="73" t="n">
        <f aca="false">E1371*Capacite_evg*IF(F1349&lt;=4,$W$17,$W$19)*(1-IF(F1349&lt;=Deduc_trim,Deduc_ares,0))</f>
        <v>533299.506217187</v>
      </c>
      <c r="G1381" s="73" t="n">
        <f aca="false">F1371*Capacite_evg*IF(G1349&lt;=4,$W$17,$W$19)*(1-IF(G1349&lt;=Deduc_trim,Deduc_ares,0))</f>
        <v>510554.282277024</v>
      </c>
      <c r="H1381" s="73" t="n">
        <f aca="false">G1371*Capacite_evg*IF(H1349&lt;=4,$W$17,$W$19)*(1-IF(H1349&lt;=Deduc_trim,Deduc_ares,0))</f>
        <v>514504.360145168</v>
      </c>
      <c r="I1381" s="73" t="n">
        <f aca="false">H1371*Capacite_evg*IF(I1349&lt;=4,$W$17,$W$19)*(1-IF(I1349&lt;=Deduc_trim,Deduc_ares,0))</f>
        <v>492560.749184976</v>
      </c>
      <c r="J1381" s="73" t="n">
        <f aca="false">I1371*Capacite_evg*IF(J1349&lt;=4,$W$17,$W$19)*(1-IF(J1349&lt;=Deduc_trim,Deduc_ares,0))</f>
        <v>471553.033232237</v>
      </c>
      <c r="K1381" s="73" t="n">
        <f aca="false">J1371*Capacite_evg*IF(K1349&lt;=4,$W$17,$W$19)*(1-IF(K1349&lt;=Deduc_trim,Deduc_ares,0))</f>
        <v>451441.296364882</v>
      </c>
      <c r="L1381" s="73" t="n">
        <f aca="false">K1371*Capacite_evg*IF(L1349&lt;=4,$W$17,$W$19)*(1-IF(L1349&lt;=Deduc_trim,Deduc_ares,0))</f>
        <v>432187.32507492</v>
      </c>
      <c r="M1381" s="73" t="n">
        <f aca="false">L1371*Capacite_evg*IF(M1349&lt;=4,$W$17,$W$19)*(1-IF(M1349&lt;=Deduc_trim,Deduc_ares,0))</f>
        <v>413754.535660474</v>
      </c>
      <c r="N1381" s="73" t="n">
        <f aca="false">M1371*Capacite_evg*IF(N1349&lt;=4,$W$17,$W$19)*(1-IF(N1349&lt;=Deduc_trim,Deduc_ares,0))</f>
        <v>396107.904714555</v>
      </c>
      <c r="O1381" s="73" t="n">
        <f aca="false">N1371*Capacite_evg*IF(O1349&lt;=4,$W$17,$W$19)*(1-IF(O1349&lt;=Deduc_trim,Deduc_ares,0))</f>
        <v>379213.902578479</v>
      </c>
    </row>
    <row r="1382" customFormat="false" ht="15" hidden="false" customHeight="false" outlineLevel="0" collapsed="false">
      <c r="B1382" s="65" t="s">
        <v>1049</v>
      </c>
      <c r="C1382" s="25"/>
      <c r="D1382" s="73" t="n">
        <f aca="false">C1396</f>
        <v>7500000</v>
      </c>
      <c r="E1382" s="73" t="n">
        <f aca="false">D1396</f>
        <v>6301875</v>
      </c>
      <c r="F1382" s="73" t="n">
        <f aca="false">E1396</f>
        <v>6198907.0625</v>
      </c>
      <c r="G1382" s="73" t="n">
        <f aca="false">F1396</f>
        <v>5062535.00116328</v>
      </c>
      <c r="H1382" s="73" t="n">
        <f aca="false">G1396</f>
        <v>4906875.55664959</v>
      </c>
      <c r="I1382" s="73" t="n">
        <f aca="false">H1396</f>
        <v>4257468.29877519</v>
      </c>
      <c r="J1382" s="73" t="n">
        <f aca="false">I1396</f>
        <v>4596355.45623087</v>
      </c>
      <c r="K1382" s="73" t="n">
        <f aca="false">J1396</f>
        <v>3879705.36430365</v>
      </c>
      <c r="L1382" s="73" t="n">
        <f aca="false">K1396</f>
        <v>4166798.61453397</v>
      </c>
      <c r="M1382" s="73" t="n">
        <f aca="false">L1396</f>
        <v>3388634.59688862</v>
      </c>
      <c r="N1382" s="73" t="n">
        <f aca="false">M1396</f>
        <v>3629851.67912069</v>
      </c>
      <c r="O1382" s="73" t="n">
        <f aca="false">N1396</f>
        <v>3837058.42699026</v>
      </c>
    </row>
    <row r="1383" customFormat="false" ht="15" hidden="false" customHeight="false" outlineLevel="0" collapsed="false">
      <c r="B1383" s="65" t="s">
        <v>1050</v>
      </c>
      <c r="C1383" s="25"/>
      <c r="D1383" s="73" t="n">
        <f aca="false">D1382*Taux_treso/4</f>
        <v>46875</v>
      </c>
      <c r="E1383" s="73" t="n">
        <f aca="false">E1382*Taux_treso/4</f>
        <v>39386.71875</v>
      </c>
      <c r="F1383" s="73" t="n">
        <f aca="false">F1382*Taux_treso/4</f>
        <v>38743.169140625</v>
      </c>
      <c r="G1383" s="73" t="n">
        <f aca="false">G1382*Taux_treso/4</f>
        <v>31640.8437572705</v>
      </c>
      <c r="H1383" s="73" t="n">
        <f aca="false">H1382*Taux_treso/4</f>
        <v>30667.9722290599</v>
      </c>
      <c r="I1383" s="73" t="n">
        <f aca="false">I1382*Taux_treso/4</f>
        <v>26609.1768673449</v>
      </c>
      <c r="J1383" s="73" t="n">
        <f aca="false">J1382*Taux_treso/4</f>
        <v>28727.221601443</v>
      </c>
      <c r="K1383" s="73" t="n">
        <f aca="false">K1382*Taux_treso/4</f>
        <v>24248.1585268978</v>
      </c>
      <c r="L1383" s="73" t="n">
        <f aca="false">L1382*Taux_treso/4</f>
        <v>26042.4913408373</v>
      </c>
      <c r="M1383" s="73" t="n">
        <f aca="false">M1382*Taux_treso/4</f>
        <v>21178.9662305539</v>
      </c>
      <c r="N1383" s="73" t="n">
        <f aca="false">N1382*Taux_treso/4</f>
        <v>22686.5729945043</v>
      </c>
      <c r="O1383" s="73" t="n">
        <f aca="false">O1382*Taux_treso/4</f>
        <v>23981.6151686891</v>
      </c>
    </row>
    <row r="1384" customFormat="false" ht="15" hidden="false" customHeight="false" outlineLevel="0" collapsed="false">
      <c r="B1384" s="65" t="s">
        <v>1051</v>
      </c>
      <c r="C1384" s="25"/>
      <c r="D1384" s="73" t="n">
        <f aca="false">SUM(D1372:D1375)</f>
        <v>498125</v>
      </c>
      <c r="E1384" s="73" t="n">
        <f aca="false">SUM(E1372:E1375)</f>
        <v>516643.96875</v>
      </c>
      <c r="F1384" s="73" t="n">
        <f aca="false">SUM(F1372:F1375)</f>
        <v>535662.438879688</v>
      </c>
      <c r="G1384" s="73" t="n">
        <f aca="false">SUM(G1372:G1375)</f>
        <v>555168.09043755</v>
      </c>
      <c r="H1384" s="73" t="n">
        <f aca="false">SUM(H1372:H1375)</f>
        <v>575149.164374383</v>
      </c>
      <c r="I1384" s="73" t="n">
        <f aca="false">SUM(I1372:I1375)</f>
        <v>587261.106296857</v>
      </c>
      <c r="J1384" s="73" t="n">
        <f aca="false">SUM(J1372:J1375)</f>
        <v>599774.92993333</v>
      </c>
      <c r="K1384" s="73" t="n">
        <f aca="false">SUM(K1372:K1375)</f>
        <v>612680.080461519</v>
      </c>
      <c r="L1384" s="73" t="n">
        <f aca="false">SUM(L1372:L1375)</f>
        <v>625966.475486396</v>
      </c>
      <c r="M1384" s="73" t="n">
        <f aca="false">SUM(M1372:M1375)</f>
        <v>639624.485722053</v>
      </c>
      <c r="N1384" s="73" t="n">
        <f aca="false">SUM(N1372:N1375)</f>
        <v>653644.916483702</v>
      </c>
      <c r="O1384" s="73" t="n">
        <f aca="false">SUM(O1372:O1375)</f>
        <v>651352.323289078</v>
      </c>
    </row>
    <row r="1385" customFormat="false" ht="15" hidden="false" customHeight="false" outlineLevel="0" collapsed="false">
      <c r="B1385" s="65" t="s">
        <v>1052</v>
      </c>
      <c r="C1385" s="25"/>
      <c r="D1385" s="73" t="n">
        <f aca="false">IF(AND(Distrib_tension=1,OR(D1357&gt;0.000001,C1399&lt;Liq_min,C1363=1)),0,MIN(Dist_porteurs/4*Part_d*D1354,D1384))</f>
        <v>125000</v>
      </c>
      <c r="E1385" s="73" t="n">
        <f aca="false">IF(AND(Distrib_tension=1,OR(E1357&gt;0.000001,D1399&lt;Liq_min,D1363=1)),0,MIN(Dist_porteurs/4*Part_d*E1354,E1384))</f>
        <v>0</v>
      </c>
      <c r="F1385" s="73" t="n">
        <f aca="false">IF(AND(Distrib_tension=1,OR(F1357&gt;0.000001,E1399&lt;Liq_min,E1363=1)),0,MIN(Dist_porteurs/4*Part_d*F1354,F1384))</f>
        <v>0</v>
      </c>
      <c r="G1385" s="73" t="n">
        <f aca="false">IF(AND(Distrib_tension=1,OR(G1357&gt;0.000001,F1399&lt;Liq_min,F1363=1)),0,MIN(Dist_porteurs/4*Part_d*G1354,G1384))</f>
        <v>0</v>
      </c>
      <c r="H1385" s="73" t="n">
        <f aca="false">IF(AND(Distrib_tension=1,OR(H1357&gt;0.000001,G1399&lt;Liq_min,G1363=1)),0,MIN(Dist_porteurs/4*Part_d*H1354,H1384))</f>
        <v>0</v>
      </c>
      <c r="I1385" s="73" t="n">
        <f aca="false">IF(AND(Distrib_tension=1,OR(I1357&gt;0.000001,H1399&lt;Liq_min,H1363=1)),0,MIN(Dist_porteurs/4*Part_d*I1354,I1384))</f>
        <v>0</v>
      </c>
      <c r="J1385" s="73" t="n">
        <f aca="false">IF(AND(Distrib_tension=1,OR(J1357&gt;0.000001,I1399&lt;Liq_min,I1363=1)),0,MIN(Dist_porteurs/4*Part_d*J1354,J1384))</f>
        <v>0</v>
      </c>
      <c r="K1385" s="73" t="n">
        <f aca="false">IF(AND(Distrib_tension=1,OR(K1357&gt;0.000001,J1399&lt;Liq_min,J1363=1)),0,MIN(Dist_porteurs/4*Part_d*K1354,K1384))</f>
        <v>0</v>
      </c>
      <c r="L1385" s="73" t="n">
        <f aca="false">IF(AND(Distrib_tension=1,OR(L1357&gt;0.000001,K1399&lt;Liq_min,K1363=1)),0,MIN(Dist_porteurs/4*Part_d*L1354,L1384))</f>
        <v>0</v>
      </c>
      <c r="M1385" s="73" t="n">
        <f aca="false">IF(AND(Distrib_tension=1,OR(M1357&gt;0.000001,L1399&lt;Liq_min,L1363=1)),0,MIN(Dist_porteurs/4*Part_d*M1354,M1384))</f>
        <v>0</v>
      </c>
      <c r="N1385" s="73" t="n">
        <f aca="false">IF(AND(Distrib_tension=1,OR(N1357&gt;0.000001,M1399&lt;Liq_min,M1363=1)),0,MIN(Dist_porteurs/4*Part_d*N1354,N1384))</f>
        <v>0</v>
      </c>
      <c r="O1385" s="73" t="n">
        <f aca="false">IF(AND(Distrib_tension=1,OR(O1357&gt;0.000001,N1399&lt;Liq_min,N1363=1)),0,MIN(Dist_porteurs/4*Part_d*O1354,O1384))</f>
        <v>0</v>
      </c>
    </row>
    <row r="1386" customFormat="false" ht="15" hidden="false" customHeight="false" outlineLevel="0" collapsed="false">
      <c r="B1386" s="65" t="s">
        <v>1053</v>
      </c>
      <c r="C1386" s="25"/>
      <c r="D1386" s="73" t="n">
        <f aca="false">D1378+D1379</f>
        <v>1562500</v>
      </c>
      <c r="E1386" s="73" t="n">
        <f aca="false">E1378+E1379</f>
        <v>1562500</v>
      </c>
      <c r="F1386" s="73" t="n">
        <f aca="false">F1378+F1379</f>
        <v>1562500</v>
      </c>
      <c r="G1386" s="73" t="n">
        <f aca="false">G1378+G1379</f>
        <v>1562500</v>
      </c>
      <c r="H1386" s="73" t="n">
        <f aca="false">H1378+H1379</f>
        <v>1041666.66666667</v>
      </c>
      <c r="I1386" s="73" t="n">
        <f aca="false">I1378+I1379</f>
        <v>1041666.66666667</v>
      </c>
      <c r="J1386" s="73" t="n">
        <f aca="false">J1378+J1379</f>
        <v>1041666.66666667</v>
      </c>
      <c r="K1386" s="73" t="n">
        <f aca="false">K1378+K1379</f>
        <v>1041666.66666667</v>
      </c>
      <c r="L1386" s="73" t="n">
        <f aca="false">L1378+L1379</f>
        <v>1041666.66666667</v>
      </c>
      <c r="M1386" s="73" t="n">
        <f aca="false">M1378+M1379</f>
        <v>1041666.66666667</v>
      </c>
      <c r="N1386" s="73" t="n">
        <f aca="false">N1378+N1379</f>
        <v>0</v>
      </c>
      <c r="O1386" s="73" t="n">
        <f aca="false">O1378+O1379</f>
        <v>0</v>
      </c>
    </row>
    <row r="1387" customFormat="false" ht="15" hidden="false" customHeight="false" outlineLevel="0" collapsed="false">
      <c r="B1387" s="65" t="s">
        <v>1054</v>
      </c>
      <c r="C1387" s="25"/>
      <c r="D1387" s="73" t="n">
        <f aca="false">D1354*Frais_an/4</f>
        <v>250000</v>
      </c>
      <c r="E1387" s="73" t="n">
        <f aca="false">E1354*Frais_an/4</f>
        <v>248003.21875</v>
      </c>
      <c r="F1387" s="73" t="n">
        <f aca="false">F1354*Frais_an/4</f>
        <v>251700.485128906</v>
      </c>
      <c r="G1387" s="73" t="n">
        <f aca="false">G1354*Frais_an/4</f>
        <v>250443.039310028</v>
      </c>
      <c r="H1387" s="73" t="n">
        <f aca="false">H1354*Frais_an/4</f>
        <v>254295.762625943</v>
      </c>
      <c r="I1387" s="73" t="n">
        <f aca="false">I1354*Frais_an/4</f>
        <v>253276.72542572</v>
      </c>
      <c r="J1387" s="73" t="n">
        <f aca="false">J1354*Frais_an/4</f>
        <v>257378.605291404</v>
      </c>
      <c r="K1387" s="73" t="n">
        <f aca="false">K1354*Frais_an/4</f>
        <v>256377.125961505</v>
      </c>
      <c r="L1387" s="73" t="n">
        <f aca="false">L1354*Frais_an/4</f>
        <v>260563.785620463</v>
      </c>
      <c r="M1387" s="73" t="n">
        <f aca="false">M1354*Frais_an/4</f>
        <v>259588.881153925</v>
      </c>
      <c r="N1387" s="73" t="n">
        <f aca="false">N1354*Frais_an/4</f>
        <v>263871.100935371</v>
      </c>
      <c r="O1387" s="73" t="n">
        <f aca="false">O1354*Frais_an/4</f>
        <v>262930.839814868</v>
      </c>
    </row>
    <row r="1388" customFormat="false" ht="15" hidden="false" customHeight="false" outlineLevel="0" collapsed="false">
      <c r="B1388" s="65" t="s">
        <v>1055</v>
      </c>
      <c r="C1388" s="25"/>
      <c r="D1388" s="73" t="n">
        <f aca="false">C1397*Taux_emprunt/4</f>
        <v>0</v>
      </c>
      <c r="E1388" s="73" t="n">
        <f aca="false">D1397*Taux_emprunt/4</f>
        <v>0</v>
      </c>
      <c r="F1388" s="73" t="n">
        <f aca="false">E1397*Taux_emprunt/4</f>
        <v>0</v>
      </c>
      <c r="G1388" s="73" t="n">
        <f aca="false">F1397*Taux_emprunt/4</f>
        <v>0</v>
      </c>
      <c r="H1388" s="73" t="n">
        <f aca="false">G1397*Taux_emprunt/4</f>
        <v>0</v>
      </c>
      <c r="I1388" s="73" t="n">
        <f aca="false">H1397*Taux_emprunt/4</f>
        <v>0</v>
      </c>
      <c r="J1388" s="73" t="n">
        <f aca="false">I1397*Taux_emprunt/4</f>
        <v>0</v>
      </c>
      <c r="K1388" s="73" t="n">
        <f aca="false">J1397*Taux_emprunt/4</f>
        <v>0</v>
      </c>
      <c r="L1388" s="73" t="n">
        <f aca="false">K1397*Taux_emprunt/4</f>
        <v>0</v>
      </c>
      <c r="M1388" s="73" t="n">
        <f aca="false">L1397*Taux_emprunt/4</f>
        <v>0</v>
      </c>
      <c r="N1388" s="73" t="n">
        <f aca="false">M1397*Taux_emprunt/4</f>
        <v>0</v>
      </c>
      <c r="O1388" s="73" t="n">
        <f aca="false">N1397*Taux_emprunt/4</f>
        <v>0</v>
      </c>
    </row>
    <row r="1389" customFormat="false" ht="15" hidden="false" customHeight="false" outlineLevel="0" collapsed="false">
      <c r="B1389" s="65" t="s">
        <v>1056</v>
      </c>
      <c r="C1389" s="25"/>
      <c r="D1389" s="73" t="n">
        <f aca="false">D1382+D1383+D1384-D1385+D1355-D1386-D1387-D1388</f>
        <v>6107500</v>
      </c>
      <c r="E1389" s="73" t="n">
        <f aca="false">E1382+E1383+E1384-E1385+E1355-E1386-E1387-E1388</f>
        <v>5047402.46875</v>
      </c>
      <c r="F1389" s="73" t="n">
        <f aca="false">F1382+F1383+F1384-F1385+F1355-F1386-F1387-F1388</f>
        <v>4959112.18539141</v>
      </c>
      <c r="G1389" s="73" t="n">
        <f aca="false">G1382+G1383+G1384-G1385+G1355-G1386-G1387-G1388</f>
        <v>3836400.89604807</v>
      </c>
      <c r="H1389" s="73" t="n">
        <f aca="false">H1382+H1383+H1384-H1385+H1355-H1386-H1387-H1388</f>
        <v>4216730.26396042</v>
      </c>
      <c r="I1389" s="73" t="n">
        <f aca="false">I1382+I1383+I1384-I1385+I1355-I1386-I1387-I1388</f>
        <v>3576395.18984701</v>
      </c>
      <c r="J1389" s="73" t="n">
        <f aca="false">J1382+J1383+J1384-J1385+J1355-J1386-J1387-J1388</f>
        <v>3925812.33580758</v>
      </c>
      <c r="K1389" s="73" t="n">
        <f aca="false">K1382+K1383+K1384-K1385+K1355-K1386-K1387-K1388</f>
        <v>3218589.81066389</v>
      </c>
      <c r="L1389" s="73" t="n">
        <f aca="false">L1382+L1383+L1384-L1385+L1355-L1386-L1387-L1388</f>
        <v>3516577.12907408</v>
      </c>
      <c r="M1389" s="73" t="n">
        <f aca="false">M1382+M1383+M1384-M1385+M1355-M1386-M1387-M1388</f>
        <v>2748182.50102064</v>
      </c>
      <c r="N1389" s="73" t="n">
        <f aca="false">N1382+N1383+N1384-N1385+N1355-N1386-N1387-N1388</f>
        <v>4042312.06766352</v>
      </c>
      <c r="O1389" s="73" t="n">
        <f aca="false">O1382+O1383+O1384-O1385+O1355-O1386-O1387-O1388</f>
        <v>4249461.52563316</v>
      </c>
    </row>
    <row r="1390" customFormat="false" ht="15" hidden="false" customHeight="false" outlineLevel="0" collapsed="false">
      <c r="B1390" s="65" t="s">
        <v>1057</v>
      </c>
      <c r="C1390" s="25"/>
      <c r="D1390" s="73" t="n">
        <f aca="false">MIN(D1380+D1381,MAX(0,Liq_cible*D1354-(D1389-D1364)))</f>
        <v>1194375</v>
      </c>
      <c r="E1390" s="73" t="n">
        <f aca="false">MIN(E1380+E1381,MAX(0,Liq_cible*E1354-(E1389-E1364)))</f>
        <v>1151504.59375</v>
      </c>
      <c r="F1390" s="73" t="n">
        <f aca="false">MIN(F1380+F1381,MAX(0,Liq_cible*F1354-(F1389-F1364)))</f>
        <v>1110224.7562875</v>
      </c>
      <c r="G1390" s="73" t="n">
        <f aca="false">MIN(G1380+G1381,MAX(0,Liq_cible*G1354-(G1389-G1364)))</f>
        <v>1070474.66060151</v>
      </c>
      <c r="H1390" s="73" t="n">
        <f aca="false">MIN(H1380+H1381,MAX(0,Liq_cible*H1354-(H1389-H1364)))</f>
        <v>1057921.08531854</v>
      </c>
      <c r="I1390" s="73" t="n">
        <f aca="false">MIN(I1380+I1381,MAX(0,Liq_cible*I1354-(I1389-I1364)))</f>
        <v>1019960.26638387</v>
      </c>
      <c r="J1390" s="73" t="n">
        <f aca="false">MIN(J1380+J1381,MAX(0,Liq_cible*J1354-(J1389-J1364)))</f>
        <v>983407.44966169</v>
      </c>
      <c r="K1390" s="73" t="n">
        <f aca="false">MIN(K1380+K1381,MAX(0,Liq_cible*K1354-(K1389-K1364)))</f>
        <v>948208.803870077</v>
      </c>
      <c r="L1390" s="73" t="n">
        <f aca="false">MIN(L1380+L1381,MAX(0,Liq_cible*L1354-(L1389-L1364)))</f>
        <v>914312.610296399</v>
      </c>
      <c r="M1390" s="73" t="n">
        <f aca="false">MIN(M1380+M1381,MAX(0,Liq_cible*M1354-(M1389-M1364)))</f>
        <v>881669.178100051</v>
      </c>
      <c r="N1390" s="73" t="n">
        <f aca="false">MIN(N1380+N1381,MAX(0,Liq_cible*N1354-(N1389-N1364)))</f>
        <v>850230.763068225</v>
      </c>
      <c r="O1390" s="73" t="n">
        <f aca="false">MIN(O1380+O1381,MAX(0,Liq_cible*O1354-(O1389-O1364)))</f>
        <v>819951.489682175</v>
      </c>
    </row>
    <row r="1391" customFormat="false" ht="15" hidden="false" customHeight="false" outlineLevel="0" collapsed="false">
      <c r="B1391" s="65" t="s">
        <v>1058</v>
      </c>
      <c r="C1391" s="25"/>
      <c r="D1391" s="73" t="n">
        <f aca="false">D1389-D1364+D1390</f>
        <v>6301875</v>
      </c>
      <c r="E1391" s="73" t="n">
        <f aca="false">E1389-E1364+E1390</f>
        <v>6198907.0625</v>
      </c>
      <c r="F1391" s="73" t="n">
        <f aca="false">F1389-F1364+F1390</f>
        <v>5062535.00116328</v>
      </c>
      <c r="G1391" s="73" t="n">
        <f aca="false">G1389-G1364+G1390</f>
        <v>4906875.55664959</v>
      </c>
      <c r="H1391" s="73" t="n">
        <f aca="false">H1389-H1364+H1390</f>
        <v>4257468.29877519</v>
      </c>
      <c r="I1391" s="73" t="n">
        <f aca="false">I1389-I1364+I1390</f>
        <v>4596355.45623087</v>
      </c>
      <c r="J1391" s="73" t="n">
        <f aca="false">J1389-J1364+J1390</f>
        <v>3879705.36430365</v>
      </c>
      <c r="K1391" s="73" t="n">
        <f aca="false">K1389-K1364+K1390</f>
        <v>4166798.61453397</v>
      </c>
      <c r="L1391" s="73" t="n">
        <f aca="false">L1389-L1364+L1390</f>
        <v>3388634.59688862</v>
      </c>
      <c r="M1391" s="73" t="n">
        <f aca="false">M1389-M1364+M1390</f>
        <v>3629851.67912069</v>
      </c>
      <c r="N1391" s="73" t="n">
        <f aca="false">N1389-N1364+N1390</f>
        <v>3837058.42699026</v>
      </c>
      <c r="O1391" s="73" t="n">
        <f aca="false">O1389-O1364+O1390</f>
        <v>5069413.01531534</v>
      </c>
    </row>
    <row r="1392" customFormat="false" ht="15" hidden="false" customHeight="false" outlineLevel="0" collapsed="false">
      <c r="B1392" s="65" t="s">
        <v>1059</v>
      </c>
      <c r="C1392" s="25"/>
      <c r="D1392" s="73" t="n">
        <f aca="false">MIN(MAX(0,MIN($W$20*AN_cible,Emprunt_max*D1354)-C1397),MAX(0,IF($W$20&gt;0,Poche_min_exec*D1354,0)-D1391))-IF(D1391&gt;Liq_cible*D1354,MIN(C1397,D1391-Liq_cible*D1354),0)</f>
        <v>0</v>
      </c>
      <c r="E1392" s="73" t="n">
        <f aca="false">MIN(MAX(0,MIN($W$20*AN_cible,Emprunt_max*E1354)-D1397),MAX(0,IF($W$20&gt;0,Poche_min_exec*E1354,0)-E1391))-IF(E1391&gt;Liq_cible*E1354,MIN(D1397,E1391-Liq_cible*E1354),0)</f>
        <v>0</v>
      </c>
      <c r="F1392" s="73" t="n">
        <f aca="false">MIN(MAX(0,MIN($W$20*AN_cible,Emprunt_max*F1354)-E1397),MAX(0,IF($W$20&gt;0,Poche_min_exec*F1354,0)-F1391))-IF(F1391&gt;Liq_cible*F1354,MIN(E1397,F1391-Liq_cible*F1354),0)</f>
        <v>0</v>
      </c>
      <c r="G1392" s="73" t="n">
        <f aca="false">MIN(MAX(0,MIN($W$20*AN_cible,Emprunt_max*G1354)-F1397),MAX(0,IF($W$20&gt;0,Poche_min_exec*G1354,0)-G1391))-IF(G1391&gt;Liq_cible*G1354,MIN(F1397,G1391-Liq_cible*G1354),0)</f>
        <v>0</v>
      </c>
      <c r="H1392" s="73" t="n">
        <f aca="false">MIN(MAX(0,MIN($W$20*AN_cible,Emprunt_max*H1354)-G1397),MAX(0,IF($W$20&gt;0,Poche_min_exec*H1354,0)-H1391))-IF(H1391&gt;Liq_cible*H1354,MIN(G1397,H1391-Liq_cible*H1354),0)</f>
        <v>0</v>
      </c>
      <c r="I1392" s="73" t="n">
        <f aca="false">MIN(MAX(0,MIN($W$20*AN_cible,Emprunt_max*I1354)-H1397),MAX(0,IF($W$20&gt;0,Poche_min_exec*I1354,0)-I1391))-IF(I1391&gt;Liq_cible*I1354,MIN(H1397,I1391-Liq_cible*I1354),0)</f>
        <v>0</v>
      </c>
      <c r="J1392" s="73" t="n">
        <f aca="false">MIN(MAX(0,MIN($W$20*AN_cible,Emprunt_max*J1354)-I1397),MAX(0,IF($W$20&gt;0,Poche_min_exec*J1354,0)-J1391))-IF(J1391&gt;Liq_cible*J1354,MIN(I1397,J1391-Liq_cible*J1354),0)</f>
        <v>0</v>
      </c>
      <c r="K1392" s="73" t="n">
        <f aca="false">MIN(MAX(0,MIN($W$20*AN_cible,Emprunt_max*K1354)-J1397),MAX(0,IF($W$20&gt;0,Poche_min_exec*K1354,0)-K1391))-IF(K1391&gt;Liq_cible*K1354,MIN(J1397,K1391-Liq_cible*K1354),0)</f>
        <v>0</v>
      </c>
      <c r="L1392" s="73" t="n">
        <f aca="false">MIN(MAX(0,MIN($W$20*AN_cible,Emprunt_max*L1354)-K1397),MAX(0,IF($W$20&gt;0,Poche_min_exec*L1354,0)-L1391))-IF(L1391&gt;Liq_cible*L1354,MIN(K1397,L1391-Liq_cible*L1354),0)</f>
        <v>0</v>
      </c>
      <c r="M1392" s="73" t="n">
        <f aca="false">MIN(MAX(0,MIN($W$20*AN_cible,Emprunt_max*M1354)-L1397),MAX(0,IF($W$20&gt;0,Poche_min_exec*M1354,0)-M1391))-IF(M1391&gt;Liq_cible*M1354,MIN(L1397,M1391-Liq_cible*M1354),0)</f>
        <v>0</v>
      </c>
      <c r="N1392" s="73" t="n">
        <f aca="false">MIN(MAX(0,MIN($W$20*AN_cible,Emprunt_max*N1354)-M1397),MAX(0,IF($W$20&gt;0,Poche_min_exec*N1354,0)-N1391))-IF(N1391&gt;Liq_cible*N1354,MIN(M1397,N1391-Liq_cible*N1354),0)</f>
        <v>0</v>
      </c>
      <c r="O1392" s="73" t="n">
        <f aca="false">MIN(MAX(0,MIN($W$20*AN_cible,Emprunt_max*O1354)-N1397),MAX(0,IF($W$20&gt;0,Poche_min_exec*O1354,0)-O1391))-IF(O1391&gt;Liq_cible*O1354,MIN(N1397,O1391-Liq_cible*O1354),0)</f>
        <v>0</v>
      </c>
    </row>
    <row r="1393" customFormat="false" ht="15" hidden="false" customHeight="false" outlineLevel="0" collapsed="false">
      <c r="B1393" s="65" t="s">
        <v>1060</v>
      </c>
      <c r="C1393" s="25"/>
      <c r="D1393" s="73" t="n">
        <f aca="false">MIN((C1368+C1369+C1370+C1371),MAX(0,-(D1391+D1392))/(1-Decote))</f>
        <v>0</v>
      </c>
      <c r="E1393" s="73" t="n">
        <f aca="false">MIN((D1368+D1369+D1370+D1371),MAX(0,-(E1391+E1392))/(1-Decote))</f>
        <v>0</v>
      </c>
      <c r="F1393" s="73" t="n">
        <f aca="false">MIN((E1368+E1369+E1370+E1371),MAX(0,-(F1391+F1392))/(1-Decote))</f>
        <v>0</v>
      </c>
      <c r="G1393" s="73" t="n">
        <f aca="false">MIN((F1368+F1369+F1370+F1371),MAX(0,-(G1391+G1392))/(1-Decote))</f>
        <v>0</v>
      </c>
      <c r="H1393" s="73" t="n">
        <f aca="false">MIN((G1368+G1369+G1370+G1371),MAX(0,-(H1391+H1392))/(1-Decote))</f>
        <v>0</v>
      </c>
      <c r="I1393" s="73" t="n">
        <f aca="false">MIN((H1368+H1369+H1370+H1371),MAX(0,-(I1391+I1392))/(1-Decote))</f>
        <v>0</v>
      </c>
      <c r="J1393" s="73" t="n">
        <f aca="false">MIN((I1368+I1369+I1370+I1371),MAX(0,-(J1391+J1392))/(1-Decote))</f>
        <v>0</v>
      </c>
      <c r="K1393" s="73" t="n">
        <f aca="false">MIN((J1368+J1369+J1370+J1371),MAX(0,-(K1391+K1392))/(1-Decote))</f>
        <v>0</v>
      </c>
      <c r="L1393" s="73" t="n">
        <f aca="false">MIN((K1368+K1369+K1370+K1371),MAX(0,-(L1391+L1392))/(1-Decote))</f>
        <v>0</v>
      </c>
      <c r="M1393" s="73" t="n">
        <f aca="false">MIN((L1368+L1369+L1370+L1371),MAX(0,-(M1391+M1392))/(1-Decote))</f>
        <v>0</v>
      </c>
      <c r="N1393" s="73" t="n">
        <f aca="false">MIN((M1368+M1369+M1370+M1371),MAX(0,-(N1391+N1392))/(1-Decote))</f>
        <v>0</v>
      </c>
      <c r="O1393" s="73" t="n">
        <f aca="false">MIN((N1368+N1369+N1370+N1371),MAX(0,-(O1391+O1392))/(1-Decote))</f>
        <v>0</v>
      </c>
    </row>
    <row r="1394" customFormat="false" ht="15" hidden="false" customHeight="false" outlineLevel="0" collapsed="false">
      <c r="B1394" s="65" t="s">
        <v>1061</v>
      </c>
      <c r="C1394" s="25"/>
      <c r="D1394" s="73" t="n">
        <f aca="false">D1393*Decote</f>
        <v>0</v>
      </c>
      <c r="E1394" s="73" t="n">
        <f aca="false">E1393*Decote</f>
        <v>0</v>
      </c>
      <c r="F1394" s="73" t="n">
        <f aca="false">F1393*Decote</f>
        <v>0</v>
      </c>
      <c r="G1394" s="73" t="n">
        <f aca="false">G1393*Decote</f>
        <v>0</v>
      </c>
      <c r="H1394" s="73" t="n">
        <f aca="false">H1393*Decote</f>
        <v>0</v>
      </c>
      <c r="I1394" s="73" t="n">
        <f aca="false">I1393*Decote</f>
        <v>0</v>
      </c>
      <c r="J1394" s="73" t="n">
        <f aca="false">J1393*Decote</f>
        <v>0</v>
      </c>
      <c r="K1394" s="73" t="n">
        <f aca="false">K1393*Decote</f>
        <v>0</v>
      </c>
      <c r="L1394" s="73" t="n">
        <f aca="false">L1393*Decote</f>
        <v>0</v>
      </c>
      <c r="M1394" s="73" t="n">
        <f aca="false">M1393*Decote</f>
        <v>0</v>
      </c>
      <c r="N1394" s="73" t="n">
        <f aca="false">N1393*Decote</f>
        <v>0</v>
      </c>
      <c r="O1394" s="73" t="n">
        <f aca="false">O1393*Decote</f>
        <v>0</v>
      </c>
    </row>
    <row r="1395" customFormat="false" ht="15" hidden="false" customHeight="false" outlineLevel="0" collapsed="false">
      <c r="B1395" s="65" t="s">
        <v>1062</v>
      </c>
      <c r="C1395" s="25"/>
      <c r="D1395" s="73" t="n">
        <f aca="false">IF(AND(D1365&lt;0.000001,C1397+D1392&lt;0.000001),MAX(0,D1391+D1392-Seuil_reinv*D1354),0)</f>
        <v>0</v>
      </c>
      <c r="E1395" s="73" t="n">
        <f aca="false">IF(AND(E1365&lt;0.000001,D1397+E1392&lt;0.000001),MAX(0,E1391+E1392-Seuil_reinv*E1354),0)</f>
        <v>0</v>
      </c>
      <c r="F1395" s="73" t="n">
        <f aca="false">IF(AND(F1365&lt;0.000001,E1397+F1392&lt;0.000001),MAX(0,F1391+F1392-Seuil_reinv*F1354),0)</f>
        <v>0</v>
      </c>
      <c r="G1395" s="73" t="n">
        <f aca="false">IF(AND(G1365&lt;0.000001,F1397+G1392&lt;0.000001),MAX(0,G1391+G1392-Seuil_reinv*G1354),0)</f>
        <v>0</v>
      </c>
      <c r="H1395" s="73" t="n">
        <f aca="false">IF(AND(H1365&lt;0.000001,G1397+H1392&lt;0.000001),MAX(0,H1391+H1392-Seuil_reinv*H1354),0)</f>
        <v>0</v>
      </c>
      <c r="I1395" s="73" t="n">
        <f aca="false">IF(AND(I1365&lt;0.000001,H1397+I1392&lt;0.000001),MAX(0,I1391+I1392-Seuil_reinv*I1354),0)</f>
        <v>0</v>
      </c>
      <c r="J1395" s="73" t="n">
        <f aca="false">IF(AND(J1365&lt;0.000001,I1397+J1392&lt;0.000001),MAX(0,J1391+J1392-Seuil_reinv*J1354),0)</f>
        <v>0</v>
      </c>
      <c r="K1395" s="73" t="n">
        <f aca="false">IF(AND(K1365&lt;0.000001,J1397+K1392&lt;0.000001),MAX(0,K1391+K1392-Seuil_reinv*K1354),0)</f>
        <v>0</v>
      </c>
      <c r="L1395" s="73" t="n">
        <f aca="false">IF(AND(L1365&lt;0.000001,K1397+L1392&lt;0.000001),MAX(0,L1391+L1392-Seuil_reinv*L1354),0)</f>
        <v>0</v>
      </c>
      <c r="M1395" s="73" t="n">
        <f aca="false">IF(AND(M1365&lt;0.000001,L1397+M1392&lt;0.000001),MAX(0,M1391+M1392-Seuil_reinv*M1354),0)</f>
        <v>0</v>
      </c>
      <c r="N1395" s="73" t="n">
        <f aca="false">IF(AND(N1365&lt;0.000001,M1397+N1392&lt;0.000001),MAX(0,N1391+N1392-Seuil_reinv*N1354),0)</f>
        <v>0</v>
      </c>
      <c r="O1395" s="73" t="n">
        <f aca="false">IF(AND(O1365&lt;0.000001,N1397+O1392&lt;0.000001),MAX(0,O1391+O1392-Seuil_reinv*O1354),0)</f>
        <v>0</v>
      </c>
    </row>
    <row r="1396" customFormat="false" ht="15" hidden="false" customHeight="false" outlineLevel="0" collapsed="false">
      <c r="B1396" s="65" t="s">
        <v>1063</v>
      </c>
      <c r="C1396" s="73" t="n">
        <f aca="false">AN_cible*Ws_LIQ</f>
        <v>7500000</v>
      </c>
      <c r="D1396" s="73" t="n">
        <f aca="false">D1391+D1392+D1393-D1394-D1395</f>
        <v>6301875</v>
      </c>
      <c r="E1396" s="73" t="n">
        <f aca="false">E1391+E1392+E1393-E1394-E1395</f>
        <v>6198907.0625</v>
      </c>
      <c r="F1396" s="73" t="n">
        <f aca="false">F1391+F1392+F1393-F1394-F1395</f>
        <v>5062535.00116328</v>
      </c>
      <c r="G1396" s="73" t="n">
        <f aca="false">G1391+G1392+G1393-G1394-G1395</f>
        <v>4906875.55664959</v>
      </c>
      <c r="H1396" s="73" t="n">
        <f aca="false">H1391+H1392+H1393-H1394-H1395</f>
        <v>4257468.29877519</v>
      </c>
      <c r="I1396" s="73" t="n">
        <f aca="false">I1391+I1392+I1393-I1394-I1395</f>
        <v>4596355.45623087</v>
      </c>
      <c r="J1396" s="73" t="n">
        <f aca="false">J1391+J1392+J1393-J1394-J1395</f>
        <v>3879705.36430365</v>
      </c>
      <c r="K1396" s="73" t="n">
        <f aca="false">K1391+K1392+K1393-K1394-K1395</f>
        <v>4166798.61453397</v>
      </c>
      <c r="L1396" s="73" t="n">
        <f aca="false">L1391+L1392+L1393-L1394-L1395</f>
        <v>3388634.59688862</v>
      </c>
      <c r="M1396" s="73" t="n">
        <f aca="false">M1391+M1392+M1393-M1394-M1395</f>
        <v>3629851.67912069</v>
      </c>
      <c r="N1396" s="73" t="n">
        <f aca="false">N1391+N1392+N1393-N1394-N1395</f>
        <v>3837058.42699026</v>
      </c>
      <c r="O1396" s="73" t="n">
        <f aca="false">O1391+O1392+O1393-O1394-O1395</f>
        <v>5069413.01531534</v>
      </c>
    </row>
    <row r="1397" customFormat="false" ht="15" hidden="false" customHeight="false" outlineLevel="0" collapsed="false">
      <c r="B1397" s="65" t="s">
        <v>1064</v>
      </c>
      <c r="C1397" s="73" t="n">
        <v>0</v>
      </c>
      <c r="D1397" s="73" t="n">
        <f aca="false">C1397+D1392</f>
        <v>0</v>
      </c>
      <c r="E1397" s="73" t="n">
        <f aca="false">D1397+E1392</f>
        <v>0</v>
      </c>
      <c r="F1397" s="73" t="n">
        <f aca="false">E1397+F1392</f>
        <v>0</v>
      </c>
      <c r="G1397" s="73" t="n">
        <f aca="false">F1397+G1392</f>
        <v>0</v>
      </c>
      <c r="H1397" s="73" t="n">
        <f aca="false">G1397+H1392</f>
        <v>0</v>
      </c>
      <c r="I1397" s="73" t="n">
        <f aca="false">H1397+I1392</f>
        <v>0</v>
      </c>
      <c r="J1397" s="73" t="n">
        <f aca="false">I1397+J1392</f>
        <v>0</v>
      </c>
      <c r="K1397" s="73" t="n">
        <f aca="false">J1397+K1392</f>
        <v>0</v>
      </c>
      <c r="L1397" s="73" t="n">
        <f aca="false">K1397+L1392</f>
        <v>0</v>
      </c>
      <c r="M1397" s="73" t="n">
        <f aca="false">L1397+M1392</f>
        <v>0</v>
      </c>
      <c r="N1397" s="73" t="n">
        <f aca="false">M1397+N1392</f>
        <v>0</v>
      </c>
      <c r="O1397" s="73" t="n">
        <f aca="false">N1397+O1392</f>
        <v>0</v>
      </c>
    </row>
    <row r="1398" customFormat="false" ht="15" hidden="false" customHeight="false" outlineLevel="0" collapsed="false">
      <c r="B1398" s="74" t="s">
        <v>1065</v>
      </c>
      <c r="C1398" s="73" t="n">
        <f aca="false">C1368+C1369+C1370+C1371+C1396-C1397</f>
        <v>50000000</v>
      </c>
      <c r="D1398" s="73" t="n">
        <f aca="false">D1368+D1369+D1370+D1371+D1396-D1397</f>
        <v>49600643.75</v>
      </c>
      <c r="E1398" s="73" t="n">
        <f aca="false">E1368+E1369+E1370+E1371+E1396-E1397</f>
        <v>50340097.0257813</v>
      </c>
      <c r="F1398" s="73" t="n">
        <f aca="false">F1368+F1369+F1370+F1371+F1396-F1397</f>
        <v>50088607.8620057</v>
      </c>
      <c r="G1398" s="73" t="n">
        <f aca="false">G1368+G1369+G1370+G1371+G1396-G1397</f>
        <v>50859152.5251886</v>
      </c>
      <c r="H1398" s="73" t="n">
        <f aca="false">H1368+H1369+H1370+H1371+H1396-H1397</f>
        <v>50655345.0851441</v>
      </c>
      <c r="I1398" s="73" t="n">
        <f aca="false">I1368+I1369+I1370+I1371+I1396-I1397</f>
        <v>51475721.0582808</v>
      </c>
      <c r="J1398" s="73" t="n">
        <f aca="false">J1368+J1369+J1370+J1371+J1396-J1397</f>
        <v>51275425.192301</v>
      </c>
      <c r="K1398" s="73" t="n">
        <f aca="false">K1368+K1369+K1370+K1371+K1396-K1397</f>
        <v>52112757.1240926</v>
      </c>
      <c r="L1398" s="73" t="n">
        <f aca="false">L1368+L1369+L1370+L1371+L1396-L1397</f>
        <v>51917776.230785</v>
      </c>
      <c r="M1398" s="73" t="n">
        <f aca="false">M1368+M1369+M1370+M1371+M1396-M1397</f>
        <v>52774220.1870743</v>
      </c>
      <c r="N1398" s="73" t="n">
        <f aca="false">N1368+N1369+N1370+N1371+N1396-N1397</f>
        <v>52586167.9629735</v>
      </c>
      <c r="O1398" s="73" t="n">
        <f aca="false">O1368+O1369+O1370+O1371+O1396-O1397</f>
        <v>53447029.2008925</v>
      </c>
    </row>
    <row r="1399" customFormat="false" ht="15" hidden="false" customHeight="false" outlineLevel="0" collapsed="false">
      <c r="B1399" s="65" t="s">
        <v>1066</v>
      </c>
      <c r="C1399" s="72" t="n">
        <f aca="false">IF((C1398+C1397)&gt;0,C1396/(C1398+C1397),0)</f>
        <v>0.15</v>
      </c>
      <c r="D1399" s="72" t="n">
        <f aca="false">IF((D1398+D1397)&gt;0,D1396/(D1398+D1397),0)</f>
        <v>0.127052282461556</v>
      </c>
      <c r="E1399" s="72" t="n">
        <f aca="false">IF((E1398+E1397)&gt;0,E1396/(E1398+E1397),0)</f>
        <v>0.123140546577121</v>
      </c>
      <c r="F1399" s="72" t="n">
        <f aca="false">IF((F1398+F1397)&gt;0,F1396/(F1398+F1397),0)</f>
        <v>0.101071585281639</v>
      </c>
      <c r="G1399" s="72" t="n">
        <f aca="false">IF((G1398+G1397)&gt;0,G1396/(G1398+G1397),0)</f>
        <v>0.0964796956500483</v>
      </c>
      <c r="H1399" s="72" t="n">
        <f aca="false">IF((H1398+H1397)&gt;0,H1396/(H1398+H1397),0)</f>
        <v>0.084047760243643</v>
      </c>
      <c r="I1399" s="72" t="n">
        <f aca="false">IF((I1398+I1397)&gt;0,I1396/(I1398+I1397),0)</f>
        <v>0.0892917158173827</v>
      </c>
      <c r="J1399" s="72" t="n">
        <f aca="false">IF((J1398+J1397)&gt;0,J1396/(J1398+J1397),0)</f>
        <v>0.0756640310588041</v>
      </c>
      <c r="K1399" s="72" t="n">
        <f aca="false">IF((K1398+K1397)&gt;0,K1396/(K1398+K1397),0)</f>
        <v>0.0799573625439133</v>
      </c>
      <c r="L1399" s="72" t="n">
        <f aca="false">IF((L1398+L1397)&gt;0,L1396/(L1398+L1397),0)</f>
        <v>0.0652692554054214</v>
      </c>
      <c r="M1399" s="72" t="n">
        <f aca="false">IF((M1398+M1397)&gt;0,M1396/(M1398+M1397),0)</f>
        <v>0.0687807733824124</v>
      </c>
      <c r="N1399" s="72" t="n">
        <f aca="false">IF((N1398+N1397)&gt;0,N1396/(N1398+N1397),0)</f>
        <v>0.0729670667330613</v>
      </c>
      <c r="O1399" s="72" t="n">
        <f aca="false">IF((O1398+O1397)&gt;0,O1396/(O1398+O1397),0)</f>
        <v>0.0948492945465841</v>
      </c>
    </row>
    <row r="1400" customFormat="false" ht="15" hidden="false" customHeight="false" outlineLevel="0" collapsed="false">
      <c r="B1400" s="65" t="s">
        <v>1067</v>
      </c>
      <c r="C1400" s="72" t="n">
        <f aca="false">0</f>
        <v>0</v>
      </c>
      <c r="D1400" s="72" t="n">
        <f aca="false">IF(D1398&gt;0,D1365/D1398,0)</f>
        <v>0</v>
      </c>
      <c r="E1400" s="72" t="n">
        <f aca="false">IF(E1398&gt;0,E1365/E1398,0)</f>
        <v>0</v>
      </c>
      <c r="F1400" s="72" t="n">
        <f aca="false">IF(F1398&gt;0,F1365/F1398,0)</f>
        <v>0</v>
      </c>
      <c r="G1400" s="72" t="n">
        <f aca="false">IF(G1398&gt;0,G1365/G1398,0)</f>
        <v>0</v>
      </c>
      <c r="H1400" s="72" t="n">
        <f aca="false">IF(H1398&gt;0,H1365/H1398,0)</f>
        <v>0</v>
      </c>
      <c r="I1400" s="72" t="n">
        <f aca="false">IF(I1398&gt;0,I1365/I1398,0)</f>
        <v>0</v>
      </c>
      <c r="J1400" s="72" t="n">
        <f aca="false">IF(J1398&gt;0,J1365/J1398,0)</f>
        <v>0</v>
      </c>
      <c r="K1400" s="72" t="n">
        <f aca="false">IF(K1398&gt;0,K1365/K1398,0)</f>
        <v>0</v>
      </c>
      <c r="L1400" s="72" t="n">
        <f aca="false">IF(L1398&gt;0,L1365/L1398,0)</f>
        <v>0</v>
      </c>
      <c r="M1400" s="72" t="n">
        <f aca="false">IF(M1398&gt;0,M1365/M1398,0)</f>
        <v>0</v>
      </c>
      <c r="N1400" s="72" t="n">
        <f aca="false">IF(N1398&gt;0,N1365/N1398,0)</f>
        <v>0</v>
      </c>
      <c r="O1400" s="72" t="n">
        <f aca="false">IF(O1398&gt;0,O1365/O1398,0)</f>
        <v>0</v>
      </c>
    </row>
    <row r="1401" customFormat="false" ht="15" hidden="false" customHeight="false" outlineLevel="0" collapsed="false">
      <c r="B1401" s="65" t="s">
        <v>1068</v>
      </c>
      <c r="C1401" s="75" t="n">
        <f aca="false">IF((C1365+SUM(D1356:G1356)+SUM(D1386:G1386)+SUM(D1387:G1387)+SUM(D1385:G1385))&lt;=0,9.99,MIN(9.99,(C1396+SUM(D1384:G1384)+SUM(D1380:G1381)+MAX(0,MIN($W$20*AN_cible,Emprunt_max*C1398)-C1397))/(C1365+SUM(D1356:G1356)+SUM(D1386:G1386)+SUM(D1387:G1387)+SUM(D1385:G1385))))</f>
        <v>1.50631590356621</v>
      </c>
      <c r="D1401" s="73" t="n">
        <f aca="false">IF((D1365+SUM(E1356:H1356)+SUM(E1386:H1386)+SUM(E1387:H1387)+SUM(E1385:H1385))&lt;=0,9.99,MIN(9.99,(D1396+SUM(E1384:H1384)+SUM(E1380:H1381)+MAX(0,MIN($W$20*AN_cible,Emprunt_max*D1398)-D1397))/(D1365+SUM(E1356:H1356)+SUM(E1386:H1386)+SUM(E1387:H1387)+SUM(E1385:H1385))))</f>
        <v>1.47010965774788</v>
      </c>
      <c r="E1401" s="73" t="n">
        <f aca="false">IF((E1365+SUM(F1356:I1356)+SUM(F1386:I1386)+SUM(F1387:I1387)+SUM(F1385:I1385))&lt;=0,9.99,MIN(9.99,(E1396+SUM(F1384:I1384)+SUM(F1380:I1381)+MAX(0,MIN($W$20*AN_cible,Emprunt_max*E1398)-E1397))/(E1365+SUM(F1356:I1356)+SUM(F1386:I1386)+SUM(F1387:I1387)+SUM(F1385:I1385))))</f>
        <v>1.54218341147412</v>
      </c>
      <c r="F1401" s="73" t="n">
        <f aca="false">IF((F1365+SUM(G1356:J1356)+SUM(G1386:J1386)+SUM(G1387:J1387)+SUM(G1385:J1385))&lt;=0,9.99,MIN(9.99,(F1396+SUM(G1384:J1384)+SUM(G1380:J1381)+MAX(0,MIN($W$20*AN_cible,Emprunt_max*F1398)-F1397))/(F1365+SUM(G1356:J1356)+SUM(G1386:J1386)+SUM(G1387:J1387)+SUM(G1385:J1385))))</f>
        <v>1.48545269762992</v>
      </c>
      <c r="G1401" s="73" t="n">
        <f aca="false">IF((G1365+SUM(H1356:K1356)+SUM(H1386:K1386)+SUM(H1387:K1387)+SUM(H1385:K1385))&lt;=0,9.99,MIN(9.99,(G1396+SUM(H1384:K1384)+SUM(H1380:K1381)+MAX(0,MIN($W$20*AN_cible,Emprunt_max*G1398)-G1397))/(G1365+SUM(H1356:K1356)+SUM(H1386:K1386)+SUM(H1387:K1387)+SUM(H1385:K1385))))</f>
        <v>1.56070747514579</v>
      </c>
      <c r="H1401" s="73" t="n">
        <f aca="false">IF((H1365+SUM(I1356:L1356)+SUM(I1386:L1386)+SUM(I1387:L1387)+SUM(I1385:L1385))&lt;=0,9.99,MIN(9.99,(H1396+SUM(I1384:L1384)+SUM(I1380:L1381)+MAX(0,MIN($W$20*AN_cible,Emprunt_max*H1398)-H1397))/(H1365+SUM(I1356:L1356)+SUM(I1386:L1386)+SUM(I1387:L1387)+SUM(I1385:L1385))))</f>
        <v>1.45182946276751</v>
      </c>
      <c r="I1401" s="73" t="n">
        <f aca="false">IF((I1365+SUM(J1356:M1356)+SUM(J1386:M1386)+SUM(J1387:M1387)+SUM(J1385:M1385))&lt;=0,9.99,MIN(9.99,(I1396+SUM(J1384:M1384)+SUM(J1380:M1381)+MAX(0,MIN($W$20*AN_cible,Emprunt_max*I1398)-I1397))/(I1365+SUM(J1356:M1356)+SUM(J1386:M1386)+SUM(J1387:M1387)+SUM(J1385:M1385))))</f>
        <v>1.48535307686951</v>
      </c>
      <c r="J1401" s="73" t="n">
        <f aca="false">IF((J1365+SUM(K1356:N1356)+SUM(K1386:N1386)+SUM(K1387:N1387)+SUM(K1385:N1385))&lt;=0,9.99,MIN(9.99,(J1396+SUM(K1384:N1384)+SUM(K1380:N1381)+MAX(0,MIN($W$20*AN_cible,Emprunt_max*J1398)-J1397))/(J1365+SUM(K1356:N1356)+SUM(K1386:N1386)+SUM(K1387:N1387)+SUM(K1385:N1385))))</f>
        <v>1.59760790514231</v>
      </c>
      <c r="K1401" s="73" t="n">
        <f aca="false">IF((K1365+SUM(L1356:O1356)+SUM(L1386:O1386)+SUM(L1387:O1387)+SUM(L1385:O1385))&lt;=0,9.99,MIN(9.99,(K1396+SUM(L1384:O1384)+SUM(L1380:O1381)+MAX(0,MIN($W$20*AN_cible,Emprunt_max*K1398)-K1397))/(K1365+SUM(L1356:O1356)+SUM(L1386:O1386)+SUM(L1387:O1387)+SUM(L1385:O1385))))</f>
        <v>1.95170183819337</v>
      </c>
      <c r="L1401" s="73" t="n">
        <f aca="false">IF((L1365+SUM(M1356:O1356)+SUM(M1386:O1386)+SUM(M1387:O1387)+SUM(M1385:O1385))&lt;=0,9.99,MIN(9.99,(L1396+SUM(M1384:O1384)+SUM(M1380:O1381)+MAX(0,MIN($W$20*AN_cible,Emprunt_max*L1398)-L1397))/(L1365+SUM(M1356:O1356)+SUM(M1386:O1386)+SUM(M1387:O1387)+SUM(M1385:O1385))))</f>
        <v>2.73452165694421</v>
      </c>
      <c r="M1401" s="73" t="n">
        <f aca="false">IF((M1365+SUM(N1356:O1356)+SUM(N1386:O1386)+SUM(N1387:O1387)+SUM(N1385:O1385))&lt;=0,9.99,MIN(9.99,(M1396+SUM(N1384:O1384)+SUM(N1380:O1381)+MAX(0,MIN($W$20*AN_cible,Emprunt_max*M1398)-M1397))/(M1365+SUM(N1356:O1356)+SUM(N1386:O1386)+SUM(N1387:O1387)+SUM(N1385:O1385))))</f>
        <v>4.17435895508887</v>
      </c>
      <c r="N1401" s="73" t="n">
        <f aca="false">IF((N1365+SUM(O1356:O1356)+SUM(O1386:O1386)+SUM(O1387:O1387)+SUM(O1385:O1385))&lt;=0,9.99,MIN(9.99,(N1396+SUM(O1384:O1384)+SUM(O1380:O1381)+MAX(0,MIN($W$20*AN_cible,Emprunt_max*N1398)-N1397))/(N1365+SUM(O1356:O1356)+SUM(O1386:O1386)+SUM(O1387:O1387)+SUM(O1385:O1385))))</f>
        <v>9.99</v>
      </c>
      <c r="O1401" s="73" t="n">
        <f aca="false">9.99</f>
        <v>9.99</v>
      </c>
    </row>
    <row r="1402" customFormat="false" ht="15" hidden="false" customHeight="false" outlineLevel="0" collapsed="false">
      <c r="B1402" s="65" t="s">
        <v>1069</v>
      </c>
      <c r="C1402" s="72" t="n">
        <f aca="false">(C1368+C1369+C1370+C1371+C1376+C1377)/C1398</f>
        <v>1.1</v>
      </c>
      <c r="D1402" s="72" t="n">
        <f aca="false">(D1368+D1369+D1370+D1371+D1376+D1377)/D1398</f>
        <v>1.09345896846349</v>
      </c>
      <c r="E1402" s="72" t="n">
        <f aca="false">(E1368+E1369+E1370+E1371+E1376+E1377)/E1398</f>
        <v>1.06309270591738</v>
      </c>
      <c r="F1402" s="72" t="n">
        <f aca="false">(F1368+F1369+F1370+F1371+F1376+F1377)/F1398</f>
        <v>1.05490200499109</v>
      </c>
      <c r="G1402" s="72" t="n">
        <f aca="false">(G1368+G1369+G1370+G1371+G1376+G1377)/G1398</f>
        <v>1.0264087067256</v>
      </c>
      <c r="H1402" s="72" t="n">
        <f aca="false">(H1368+H1369+H1370+H1371+H1376+H1377)/H1398</f>
        <v>1.01877126753277</v>
      </c>
      <c r="I1402" s="72" t="n">
        <f aca="false">(I1368+I1369+I1370+I1371+I1376+I1377)/I1398</f>
        <v>0.991652593091844</v>
      </c>
      <c r="J1402" s="72" t="n">
        <f aca="false">(J1368+J1369+J1370+J1371+J1376+J1377)/J1398</f>
        <v>0.985281343616884</v>
      </c>
      <c r="K1402" s="72" t="n">
        <f aca="false">(K1368+K1369+K1370+K1371+K1376+K1377)/K1398</f>
        <v>0.960020052743719</v>
      </c>
      <c r="L1402" s="72" t="n">
        <f aca="false">(L1368+L1369+L1370+L1371+L1376+L1377)/L1398</f>
        <v>0.954794521248576</v>
      </c>
      <c r="M1402" s="72" t="n">
        <f aca="false">(M1368+M1369+M1370+M1371+M1376+M1377)/M1398</f>
        <v>0.931219226617588</v>
      </c>
      <c r="N1402" s="72" t="n">
        <f aca="false">(N1368+N1369+N1370+N1371+N1376+N1377)/N1398</f>
        <v>0.927032933266939</v>
      </c>
      <c r="O1402" s="72" t="n">
        <f aca="false">(O1368+O1369+O1370+O1371+O1376+O1377)/O1398</f>
        <v>0.905150705453416</v>
      </c>
    </row>
    <row r="1403" customFormat="false" ht="15" hidden="false" customHeight="false" outlineLevel="0" collapsed="false">
      <c r="B1403" s="65" t="s">
        <v>849</v>
      </c>
      <c r="C1403" s="72" t="n">
        <f aca="false">(C1398+C1397)/C1398</f>
        <v>1</v>
      </c>
      <c r="D1403" s="72" t="n">
        <f aca="false">(D1398+D1397)/D1398</f>
        <v>1</v>
      </c>
      <c r="E1403" s="72" t="n">
        <f aca="false">(E1398+E1397)/E1398</f>
        <v>1</v>
      </c>
      <c r="F1403" s="72" t="n">
        <f aca="false">(F1398+F1397)/F1398</f>
        <v>1</v>
      </c>
      <c r="G1403" s="72" t="n">
        <f aca="false">(G1398+G1397)/G1398</f>
        <v>1</v>
      </c>
      <c r="H1403" s="72" t="n">
        <f aca="false">(H1398+H1397)/H1398</f>
        <v>1</v>
      </c>
      <c r="I1403" s="72" t="n">
        <f aca="false">(I1398+I1397)/I1398</f>
        <v>1</v>
      </c>
      <c r="J1403" s="72" t="n">
        <f aca="false">(J1398+J1397)/J1398</f>
        <v>1</v>
      </c>
      <c r="K1403" s="72" t="n">
        <f aca="false">(K1398+K1397)/K1398</f>
        <v>1</v>
      </c>
      <c r="L1403" s="72" t="n">
        <f aca="false">(L1398+L1397)/L1398</f>
        <v>1</v>
      </c>
      <c r="M1403" s="72" t="n">
        <f aca="false">(M1398+M1397)/M1398</f>
        <v>1</v>
      </c>
      <c r="N1403" s="72" t="n">
        <f aca="false">(N1398+N1397)/N1398</f>
        <v>1</v>
      </c>
      <c r="O1403" s="72" t="n">
        <f aca="false">(O1398+O1397)/O1398</f>
        <v>1</v>
      </c>
    </row>
    <row r="1404" customFormat="false" ht="15" hidden="false" customHeight="false" outlineLevel="0" collapsed="false">
      <c r="B1404" s="65" t="s">
        <v>1070</v>
      </c>
      <c r="C1404" s="72" t="n">
        <f aca="false">(C1368+C1369*MSIG_USD)/C1398</f>
        <v>0.25</v>
      </c>
      <c r="D1404" s="72" t="n">
        <f aca="false">(D1368+D1369*MSIG_USD)/D1398</f>
        <v>0.27286062189465</v>
      </c>
      <c r="E1404" s="72" t="n">
        <f aca="false">(E1368+E1369*MSIG_USD)/E1398</f>
        <v>0.289552742128158</v>
      </c>
      <c r="F1404" s="72" t="n">
        <f aca="false">(F1368+F1369*MSIG_USD)/F1398</f>
        <v>0.311971409742786</v>
      </c>
      <c r="G1404" s="72" t="n">
        <f aca="false">(G1368+G1369*MSIG_USD)/G1398</f>
        <v>0.32805159501257</v>
      </c>
      <c r="H1404" s="72" t="n">
        <f aca="false">(H1368+H1369*MSIG_USD)/H1398</f>
        <v>0.344254160528176</v>
      </c>
      <c r="I1404" s="72" t="n">
        <f aca="false">(I1368+I1369*MSIG_USD)/I1398</f>
        <v>0.353526359507987</v>
      </c>
      <c r="J1404" s="72" t="n">
        <f aca="false">(J1368+J1369*MSIG_USD)/J1398</f>
        <v>0.369838064436107</v>
      </c>
      <c r="K1404" s="72" t="n">
        <f aca="false">(K1368+K1369*MSIG_USD)/K1398</f>
        <v>0.37869993714233</v>
      </c>
      <c r="L1404" s="72" t="n">
        <f aca="false">(L1368+L1369*MSIG_USD)/L1398</f>
        <v>0.395096881401364</v>
      </c>
      <c r="M1404" s="72" t="n">
        <f aca="false">(M1368+M1369*MSIG_USD)/M1398</f>
        <v>0.403530565923191</v>
      </c>
      <c r="N1404" s="72" t="n">
        <f aca="false">(N1368+N1369*MSIG_USD)/N1398</f>
        <v>0.408102043827451</v>
      </c>
      <c r="O1404" s="72" t="n">
        <f aca="false">(O1368+O1369*MSIG_USD)/O1398</f>
        <v>0.404630631175337</v>
      </c>
    </row>
    <row r="1405" customFormat="false" ht="15" hidden="false" customHeight="false" outlineLevel="0" collapsed="false">
      <c r="B1405" s="65" t="s">
        <v>1071</v>
      </c>
      <c r="C1405" s="25"/>
      <c r="D1405" s="65" t="n">
        <f aca="false">IF(AND($W$9&lt;0.5*Collecte_norm,IF(D1349&lt;=$W$11,0,$W$10)&lt;0.5,IF(D1349&lt;=4,$W$17,($W$18+$W$19)/2)&lt;0.7),1,0)</f>
        <v>0</v>
      </c>
      <c r="E1405" s="65" t="n">
        <f aca="false">IF(AND($W$9&lt;0.5*Collecte_norm,IF(E1349&lt;=$W$11,0,$W$10)&lt;0.5,IF(E1349&lt;=4,$W$17,($W$18+$W$19)/2)&lt;0.7),1,0)</f>
        <v>0</v>
      </c>
      <c r="F1405" s="65" t="n">
        <f aca="false">IF(AND($W$9&lt;0.5*Collecte_norm,IF(F1349&lt;=$W$11,0,$W$10)&lt;0.5,IF(F1349&lt;=4,$W$17,($W$18+$W$19)/2)&lt;0.7),1,0)</f>
        <v>0</v>
      </c>
      <c r="G1405" s="65" t="n">
        <f aca="false">IF(AND($W$9&lt;0.5*Collecte_norm,IF(G1349&lt;=$W$11,0,$W$10)&lt;0.5,IF(G1349&lt;=4,$W$17,($W$18+$W$19)/2)&lt;0.7),1,0)</f>
        <v>0</v>
      </c>
      <c r="H1405" s="65" t="n">
        <f aca="false">IF(AND($W$9&lt;0.5*Collecte_norm,IF(H1349&lt;=$W$11,0,$W$10)&lt;0.5,IF(H1349&lt;=4,$W$17,($W$18+$W$19)/2)&lt;0.7),1,0)</f>
        <v>0</v>
      </c>
      <c r="I1405" s="65" t="n">
        <f aca="false">IF(AND($W$9&lt;0.5*Collecte_norm,IF(I1349&lt;=$W$11,0,$W$10)&lt;0.5,IF(I1349&lt;=4,$W$17,($W$18+$W$19)/2)&lt;0.7),1,0)</f>
        <v>0</v>
      </c>
      <c r="J1405" s="65" t="n">
        <f aca="false">IF(AND($W$9&lt;0.5*Collecte_norm,IF(J1349&lt;=$W$11,0,$W$10)&lt;0.5,IF(J1349&lt;=4,$W$17,($W$18+$W$19)/2)&lt;0.7),1,0)</f>
        <v>0</v>
      </c>
      <c r="K1405" s="65" t="n">
        <f aca="false">IF(AND($W$9&lt;0.5*Collecte_norm,IF(K1349&lt;=$W$11,0,$W$10)&lt;0.5,IF(K1349&lt;=4,$W$17,($W$18+$W$19)/2)&lt;0.7),1,0)</f>
        <v>0</v>
      </c>
      <c r="L1405" s="65" t="n">
        <f aca="false">IF(AND($W$9&lt;0.5*Collecte_norm,IF(L1349&lt;=$W$11,0,$W$10)&lt;0.5,IF(L1349&lt;=4,$W$17,($W$18+$W$19)/2)&lt;0.7),1,0)</f>
        <v>0</v>
      </c>
      <c r="M1405" s="65" t="n">
        <f aca="false">IF(AND($W$9&lt;0.5*Collecte_norm,IF(M1349&lt;=$W$11,0,$W$10)&lt;0.5,IF(M1349&lt;=4,$W$17,($W$18+$W$19)/2)&lt;0.7),1,0)</f>
        <v>0</v>
      </c>
      <c r="N1405" s="65" t="n">
        <f aca="false">IF(AND($W$9&lt;0.5*Collecte_norm,IF(N1349&lt;=$W$11,0,$W$10)&lt;0.5,IF(N1349&lt;=4,$W$17,($W$18+$W$19)/2)&lt;0.7),1,0)</f>
        <v>0</v>
      </c>
      <c r="O1405" s="65" t="n">
        <f aca="false">IF(AND($W$9&lt;0.5*Collecte_norm,IF(O1349&lt;=$W$11,0,$W$10)&lt;0.5,IF(O1349&lt;=4,$W$17,($W$18+$W$19)/2)&lt;0.7),1,0)</f>
        <v>0</v>
      </c>
    </row>
    <row r="1406" customFormat="false" ht="15" hidden="false" customHeight="false" outlineLevel="0" collapsed="false">
      <c r="B1406" s="76" t="s">
        <v>1072</v>
      </c>
      <c r="C1406" s="76" t="n">
        <v>99</v>
      </c>
      <c r="D1406" s="76" t="n">
        <f aca="false">IF(D1366=1,D1352,99)</f>
        <v>99</v>
      </c>
      <c r="E1406" s="76" t="n">
        <f aca="false">IF(E1366=1,E1352,99)</f>
        <v>99</v>
      </c>
      <c r="F1406" s="76" t="n">
        <f aca="false">IF(F1366=1,F1352,99)</f>
        <v>99</v>
      </c>
      <c r="G1406" s="76" t="n">
        <f aca="false">IF(G1366=1,G1352,99)</f>
        <v>99</v>
      </c>
      <c r="H1406" s="76" t="n">
        <f aca="false">IF(H1366=1,H1352,99)</f>
        <v>99</v>
      </c>
      <c r="I1406" s="76" t="n">
        <f aca="false">IF(I1366=1,I1352,99)</f>
        <v>99</v>
      </c>
      <c r="J1406" s="76" t="n">
        <f aca="false">IF(J1366=1,J1352,99)</f>
        <v>99</v>
      </c>
      <c r="K1406" s="76" t="n">
        <f aca="false">IF(K1366=1,K1352,99)</f>
        <v>99</v>
      </c>
      <c r="L1406" s="76" t="n">
        <f aca="false">IF(L1366=1,L1352,99)</f>
        <v>99</v>
      </c>
      <c r="M1406" s="76" t="n">
        <f aca="false">IF(M1366=1,M1352,99)</f>
        <v>99</v>
      </c>
      <c r="N1406" s="76" t="n">
        <f aca="false">IF(N1366=1,N1352,99)</f>
        <v>99</v>
      </c>
      <c r="O1406" s="76" t="n">
        <f aca="false">IF(O1366=1,O1352,99)</f>
        <v>99</v>
      </c>
    </row>
    <row r="1407" customFormat="false" ht="15" hidden="false" customHeight="false" outlineLevel="0" collapsed="false">
      <c r="B1407" s="76" t="s">
        <v>1073</v>
      </c>
      <c r="C1407" s="76" t="n">
        <v>99</v>
      </c>
      <c r="D1407" s="76" t="n">
        <f aca="false">IF(AND(D1351=1,D1352&gt;MIN($D1406:$O1406),D1365&lt;=0.000001),D1352,99)</f>
        <v>99</v>
      </c>
      <c r="E1407" s="76" t="n">
        <f aca="false">IF(AND(E1351=1,E1352&gt;MIN($D1406:$O1406),E1365&lt;=0.000001),E1352,99)</f>
        <v>99</v>
      </c>
      <c r="F1407" s="76" t="n">
        <f aca="false">IF(AND(F1351=1,F1352&gt;MIN($D1406:$O1406),F1365&lt;=0.000001),F1352,99)</f>
        <v>99</v>
      </c>
      <c r="G1407" s="76" t="n">
        <f aca="false">IF(AND(G1351=1,G1352&gt;MIN($D1406:$O1406),G1365&lt;=0.000001),G1352,99)</f>
        <v>99</v>
      </c>
      <c r="H1407" s="76" t="n">
        <f aca="false">IF(AND(H1351=1,H1352&gt;MIN($D1406:$O1406),H1365&lt;=0.000001),H1352,99)</f>
        <v>99</v>
      </c>
      <c r="I1407" s="76" t="n">
        <f aca="false">IF(AND(I1351=1,I1352&gt;MIN($D1406:$O1406),I1365&lt;=0.000001),I1352,99)</f>
        <v>99</v>
      </c>
      <c r="J1407" s="76" t="n">
        <f aca="false">IF(AND(J1351=1,J1352&gt;MIN($D1406:$O1406),J1365&lt;=0.000001),J1352,99)</f>
        <v>99</v>
      </c>
      <c r="K1407" s="76" t="n">
        <f aca="false">IF(AND(K1351=1,K1352&gt;MIN($D1406:$O1406),K1365&lt;=0.000001),K1352,99)</f>
        <v>99</v>
      </c>
      <c r="L1407" s="76" t="n">
        <f aca="false">IF(AND(L1351=1,L1352&gt;MIN($D1406:$O1406),L1365&lt;=0.000001),L1352,99)</f>
        <v>99</v>
      </c>
      <c r="M1407" s="76" t="n">
        <f aca="false">IF(AND(M1351=1,M1352&gt;MIN($D1406:$O1406),M1365&lt;=0.000001),M1352,99)</f>
        <v>99</v>
      </c>
      <c r="N1407" s="76" t="n">
        <f aca="false">IF(AND(N1351=1,N1352&gt;MIN($D1406:$O1406),N1365&lt;=0.000001),N1352,99)</f>
        <v>99</v>
      </c>
      <c r="O1407" s="76" t="n">
        <f aca="false">IF(AND(O1351=1,O1352&gt;MIN($D1406:$O1406),O1365&lt;=0.000001),O1352,99)</f>
        <v>99</v>
      </c>
    </row>
    <row r="1408" customFormat="false" ht="15" hidden="false" customHeight="false" outlineLevel="0" collapsed="false">
      <c r="B1408" s="76" t="s">
        <v>1074</v>
      </c>
      <c r="C1408" s="76" t="n">
        <v>9999999</v>
      </c>
      <c r="D1408" s="76" t="n">
        <f aca="false">IF(D1363=1,D1350,9999999)</f>
        <v>9999999</v>
      </c>
      <c r="E1408" s="76" t="n">
        <f aca="false">IF(E1363=1,E1350,9999999)</f>
        <v>9999999</v>
      </c>
      <c r="F1408" s="76" t="n">
        <f aca="false">IF(F1363=1,F1350,9999999)</f>
        <v>9999999</v>
      </c>
      <c r="G1408" s="76" t="n">
        <f aca="false">IF(G1363=1,G1350,9999999)</f>
        <v>9999999</v>
      </c>
      <c r="H1408" s="76" t="n">
        <f aca="false">IF(H1363=1,H1350,9999999)</f>
        <v>9999999</v>
      </c>
      <c r="I1408" s="76" t="n">
        <f aca="false">IF(I1363=1,I1350,9999999)</f>
        <v>9999999</v>
      </c>
      <c r="J1408" s="76" t="n">
        <f aca="false">IF(J1363=1,J1350,9999999)</f>
        <v>9999999</v>
      </c>
      <c r="K1408" s="76" t="n">
        <f aca="false">IF(K1363=1,K1350,9999999)</f>
        <v>9999999</v>
      </c>
      <c r="L1408" s="76" t="n">
        <f aca="false">IF(L1363=1,L1350,9999999)</f>
        <v>9999999</v>
      </c>
      <c r="M1408" s="76" t="n">
        <f aca="false">IF(M1363=1,M1350,9999999)</f>
        <v>9999999</v>
      </c>
      <c r="N1408" s="76" t="n">
        <f aca="false">IF(N1363=1,N1350,9999999)</f>
        <v>9999999</v>
      </c>
      <c r="O1408" s="76" t="n">
        <f aca="false">IF(O1363=1,O1350,9999999)</f>
        <v>9999999</v>
      </c>
    </row>
    <row r="1409" customFormat="false" ht="15" hidden="false" customHeight="false" outlineLevel="0" collapsed="false">
      <c r="B1409" s="76" t="s">
        <v>1075</v>
      </c>
      <c r="C1409" s="76" t="n">
        <v>9999999</v>
      </c>
      <c r="D1409" s="76" t="n">
        <f aca="false">IF(D1405=1,D1350,9999999)</f>
        <v>9999999</v>
      </c>
      <c r="E1409" s="76" t="n">
        <f aca="false">IF(E1405=1,E1350,9999999)</f>
        <v>9999999</v>
      </c>
      <c r="F1409" s="76" t="n">
        <f aca="false">IF(F1405=1,F1350,9999999)</f>
        <v>9999999</v>
      </c>
      <c r="G1409" s="76" t="n">
        <f aca="false">IF(G1405=1,G1350,9999999)</f>
        <v>9999999</v>
      </c>
      <c r="H1409" s="76" t="n">
        <f aca="false">IF(H1405=1,H1350,9999999)</f>
        <v>9999999</v>
      </c>
      <c r="I1409" s="76" t="n">
        <f aca="false">IF(I1405=1,I1350,9999999)</f>
        <v>9999999</v>
      </c>
      <c r="J1409" s="76" t="n">
        <f aca="false">IF(J1405=1,J1350,9999999)</f>
        <v>9999999</v>
      </c>
      <c r="K1409" s="76" t="n">
        <f aca="false">IF(K1405=1,K1350,9999999)</f>
        <v>9999999</v>
      </c>
      <c r="L1409" s="76" t="n">
        <f aca="false">IF(L1405=1,L1350,9999999)</f>
        <v>9999999</v>
      </c>
      <c r="M1409" s="76" t="n">
        <f aca="false">IF(M1405=1,M1350,9999999)</f>
        <v>9999999</v>
      </c>
      <c r="N1409" s="76" t="n">
        <f aca="false">IF(N1405=1,N1350,9999999)</f>
        <v>9999999</v>
      </c>
      <c r="O1409" s="76" t="n">
        <f aca="false">IF(O1405=1,O1350,9999999)</f>
        <v>9999999</v>
      </c>
    </row>
    <row r="1414" customFormat="false" ht="15" hidden="false" customHeight="false" outlineLevel="0" collapsed="false">
      <c r="B1414" s="45" t="str">
        <f aca="false">X$5</f>
        <v>Appels à douze mois 17.5 % de l'actif net</v>
      </c>
      <c r="C1414" s="45" t="s">
        <v>55</v>
      </c>
      <c r="D1414" s="45" t="n">
        <v>22</v>
      </c>
      <c r="E1414" s="2"/>
      <c r="F1414" s="2"/>
      <c r="G1414" s="2"/>
      <c r="H1414" s="2"/>
      <c r="I1414" s="2"/>
      <c r="J1414" s="2"/>
      <c r="K1414" s="2"/>
      <c r="L1414" s="2"/>
      <c r="M1414" s="2"/>
      <c r="N1414" s="2"/>
      <c r="O1414" s="2"/>
    </row>
    <row r="1415" customFormat="false" ht="15" hidden="false" customHeight="false" outlineLevel="0" collapsed="false">
      <c r="B1415" s="65" t="s">
        <v>1019</v>
      </c>
      <c r="C1415" s="65" t="n">
        <v>0</v>
      </c>
      <c r="D1415" s="65" t="n">
        <v>1</v>
      </c>
      <c r="E1415" s="65" t="n">
        <v>2</v>
      </c>
      <c r="F1415" s="65" t="n">
        <v>3</v>
      </c>
      <c r="G1415" s="65" t="n">
        <v>4</v>
      </c>
      <c r="H1415" s="65" t="n">
        <v>5</v>
      </c>
      <c r="I1415" s="65" t="n">
        <v>6</v>
      </c>
      <c r="J1415" s="65" t="n">
        <v>7</v>
      </c>
      <c r="K1415" s="65" t="n">
        <v>8</v>
      </c>
      <c r="L1415" s="65" t="n">
        <v>9</v>
      </c>
      <c r="M1415" s="65" t="n">
        <v>10</v>
      </c>
      <c r="N1415" s="65" t="n">
        <v>11</v>
      </c>
      <c r="O1415" s="65" t="n">
        <v>12</v>
      </c>
    </row>
    <row r="1416" customFormat="false" ht="15" hidden="false" customHeight="false" outlineLevel="0" collapsed="false">
      <c r="B1416" s="65" t="s">
        <v>209</v>
      </c>
      <c r="C1416" s="71" t="n">
        <f aca="false">Date_depart</f>
        <v>47026</v>
      </c>
      <c r="D1416" s="71" t="n">
        <f aca="false">EOMONTH(Date_depart,3*D1415)</f>
        <v>47118</v>
      </c>
      <c r="E1416" s="71" t="n">
        <f aca="false">EOMONTH(Date_depart,3*E1415)</f>
        <v>47208</v>
      </c>
      <c r="F1416" s="71" t="n">
        <f aca="false">EOMONTH(Date_depart,3*F1415)</f>
        <v>47299</v>
      </c>
      <c r="G1416" s="71" t="n">
        <f aca="false">EOMONTH(Date_depart,3*G1415)</f>
        <v>47391</v>
      </c>
      <c r="H1416" s="71" t="n">
        <f aca="false">EOMONTH(Date_depart,3*H1415)</f>
        <v>47483</v>
      </c>
      <c r="I1416" s="71" t="n">
        <f aca="false">EOMONTH(Date_depart,3*I1415)</f>
        <v>47573</v>
      </c>
      <c r="J1416" s="71" t="n">
        <f aca="false">EOMONTH(Date_depart,3*J1415)</f>
        <v>47664</v>
      </c>
      <c r="K1416" s="71" t="n">
        <f aca="false">EOMONTH(Date_depart,3*K1415)</f>
        <v>47756</v>
      </c>
      <c r="L1416" s="71" t="n">
        <f aca="false">EOMONTH(Date_depart,3*L1415)</f>
        <v>47848</v>
      </c>
      <c r="M1416" s="71" t="n">
        <f aca="false">EOMONTH(Date_depart,3*M1415)</f>
        <v>47938</v>
      </c>
      <c r="N1416" s="71" t="n">
        <f aca="false">EOMONTH(Date_depart,3*N1415)</f>
        <v>48029</v>
      </c>
      <c r="O1416" s="71" t="n">
        <f aca="false">EOMONTH(Date_depart,3*O1415)</f>
        <v>48121</v>
      </c>
    </row>
    <row r="1417" customFormat="false" ht="15" hidden="false" customHeight="false" outlineLevel="0" collapsed="false">
      <c r="B1417" s="65" t="s">
        <v>1020</v>
      </c>
      <c r="C1417" s="65" t="n">
        <v>0</v>
      </c>
      <c r="D1417" s="65" t="n">
        <f aca="false">IF(OR(MONTH(D1416)=6,MONTH(D1416)=12),1,0)</f>
        <v>1</v>
      </c>
      <c r="E1417" s="65" t="n">
        <f aca="false">IF(OR(MONTH(E1416)=6,MONTH(E1416)=12),1,0)</f>
        <v>0</v>
      </c>
      <c r="F1417" s="65" t="n">
        <f aca="false">IF(OR(MONTH(F1416)=6,MONTH(F1416)=12),1,0)</f>
        <v>1</v>
      </c>
      <c r="G1417" s="65" t="n">
        <f aca="false">IF(OR(MONTH(G1416)=6,MONTH(G1416)=12),1,0)</f>
        <v>0</v>
      </c>
      <c r="H1417" s="65" t="n">
        <f aca="false">IF(OR(MONTH(H1416)=6,MONTH(H1416)=12),1,0)</f>
        <v>1</v>
      </c>
      <c r="I1417" s="65" t="n">
        <f aca="false">IF(OR(MONTH(I1416)=6,MONTH(I1416)=12),1,0)</f>
        <v>0</v>
      </c>
      <c r="J1417" s="65" t="n">
        <f aca="false">IF(OR(MONTH(J1416)=6,MONTH(J1416)=12),1,0)</f>
        <v>1</v>
      </c>
      <c r="K1417" s="65" t="n">
        <f aca="false">IF(OR(MONTH(K1416)=6,MONTH(K1416)=12),1,0)</f>
        <v>0</v>
      </c>
      <c r="L1417" s="65" t="n">
        <f aca="false">IF(OR(MONTH(L1416)=6,MONTH(L1416)=12),1,0)</f>
        <v>1</v>
      </c>
      <c r="M1417" s="65" t="n">
        <f aca="false">IF(OR(MONTH(M1416)=6,MONTH(M1416)=12),1,0)</f>
        <v>0</v>
      </c>
      <c r="N1417" s="65" t="n">
        <f aca="false">IF(OR(MONTH(N1416)=6,MONTH(N1416)=12),1,0)</f>
        <v>1</v>
      </c>
      <c r="O1417" s="65" t="n">
        <f aca="false">IF(OR(MONTH(O1416)=6,MONTH(O1416)=12),1,0)</f>
        <v>0</v>
      </c>
    </row>
    <row r="1418" customFormat="false" ht="15" hidden="false" customHeight="false" outlineLevel="0" collapsed="false">
      <c r="B1418" s="65" t="s">
        <v>1021</v>
      </c>
      <c r="C1418" s="65" t="n">
        <v>0</v>
      </c>
      <c r="D1418" s="65" t="n">
        <f aca="false">C1418+D1417</f>
        <v>1</v>
      </c>
      <c r="E1418" s="65" t="n">
        <f aca="false">D1418+E1417</f>
        <v>1</v>
      </c>
      <c r="F1418" s="65" t="n">
        <f aca="false">E1418+F1417</f>
        <v>2</v>
      </c>
      <c r="G1418" s="65" t="n">
        <f aca="false">F1418+G1417</f>
        <v>2</v>
      </c>
      <c r="H1418" s="65" t="n">
        <f aca="false">G1418+H1417</f>
        <v>3</v>
      </c>
      <c r="I1418" s="65" t="n">
        <f aca="false">H1418+I1417</f>
        <v>3</v>
      </c>
      <c r="J1418" s="65" t="n">
        <f aca="false">I1418+J1417</f>
        <v>4</v>
      </c>
      <c r="K1418" s="65" t="n">
        <f aca="false">J1418+K1417</f>
        <v>4</v>
      </c>
      <c r="L1418" s="65" t="n">
        <f aca="false">K1418+L1417</f>
        <v>5</v>
      </c>
      <c r="M1418" s="65" t="n">
        <f aca="false">L1418+M1417</f>
        <v>5</v>
      </c>
      <c r="N1418" s="65" t="n">
        <f aca="false">M1418+N1417</f>
        <v>6</v>
      </c>
      <c r="O1418" s="65" t="n">
        <f aca="false">N1418+O1417</f>
        <v>6</v>
      </c>
    </row>
    <row r="1419" customFormat="false" ht="15" hidden="false" customHeight="false" outlineLevel="0" collapsed="false">
      <c r="B1419" s="65" t="s">
        <v>1022</v>
      </c>
      <c r="C1419" s="25"/>
      <c r="D1419" s="72" t="n">
        <f aca="false">IF(D1417=1,IF(C1429=1,0,IF(D1418=1,$X$6,IF(D1418=2,$X$7,$X$8))),0)</f>
        <v>0.02</v>
      </c>
      <c r="E1419" s="72" t="n">
        <f aca="false">IF(E1417=1,IF(D1429=1,0,IF(E1418=1,$X$6,IF(E1418=2,$X$7,$X$8))),0)</f>
        <v>0</v>
      </c>
      <c r="F1419" s="72" t="n">
        <f aca="false">IF(F1417=1,IF(E1429=1,0,IF(F1418=1,$X$6,IF(F1418=2,$X$7,$X$8))),0)</f>
        <v>0.02</v>
      </c>
      <c r="G1419" s="72" t="n">
        <f aca="false">IF(G1417=1,IF(F1429=1,0,IF(G1418=1,$X$6,IF(G1418=2,$X$7,$X$8))),0)</f>
        <v>0</v>
      </c>
      <c r="H1419" s="72" t="n">
        <f aca="false">IF(H1417=1,IF(G1429=1,0,IF(H1418=1,$X$6,IF(H1418=2,$X$7,$X$8))),0)</f>
        <v>0.02</v>
      </c>
      <c r="I1419" s="72" t="n">
        <f aca="false">IF(I1417=1,IF(H1429=1,0,IF(I1418=1,$X$6,IF(I1418=2,$X$7,$X$8))),0)</f>
        <v>0</v>
      </c>
      <c r="J1419" s="72" t="n">
        <f aca="false">IF(J1417=1,IF(I1429=1,0,IF(J1418=1,$X$6,IF(J1418=2,$X$7,$X$8))),0)</f>
        <v>0.02</v>
      </c>
      <c r="K1419" s="72" t="n">
        <f aca="false">IF(K1417=1,IF(J1429=1,0,IF(K1418=1,$X$6,IF(K1418=2,$X$7,$X$8))),0)</f>
        <v>0</v>
      </c>
      <c r="L1419" s="72" t="n">
        <f aca="false">IF(L1417=1,IF(K1429=1,0,IF(L1418=1,$X$6,IF(L1418=2,$X$7,$X$8))),0)</f>
        <v>0.02</v>
      </c>
      <c r="M1419" s="72" t="n">
        <f aca="false">IF(M1417=1,IF(L1429=1,0,IF(M1418=1,$X$6,IF(M1418=2,$X$7,$X$8))),0)</f>
        <v>0</v>
      </c>
      <c r="N1419" s="72" t="n">
        <f aca="false">IF(N1417=1,IF(M1429=1,0,IF(N1418=1,$X$6,IF(N1418=2,$X$7,$X$8))),0)</f>
        <v>0.02</v>
      </c>
      <c r="O1419" s="72" t="n">
        <f aca="false">IF(O1417=1,IF(N1429=1,0,IF(O1418=1,$X$6,IF(O1418=2,$X$7,$X$8))),0)</f>
        <v>0</v>
      </c>
    </row>
    <row r="1420" customFormat="false" ht="15" hidden="false" customHeight="false" outlineLevel="0" collapsed="false">
      <c r="B1420" s="65" t="s">
        <v>1023</v>
      </c>
      <c r="C1420" s="25"/>
      <c r="D1420" s="73" t="n">
        <f aca="false">C1464</f>
        <v>50000000</v>
      </c>
      <c r="E1420" s="73" t="n">
        <f aca="false">D1464</f>
        <v>49600643.75</v>
      </c>
      <c r="F1420" s="73" t="n">
        <f aca="false">E1464</f>
        <v>50350143.9007813</v>
      </c>
      <c r="G1420" s="73" t="n">
        <f aca="false">F1464</f>
        <v>50118624.1795838</v>
      </c>
      <c r="H1420" s="73" t="n">
        <f aca="false">G1464</f>
        <v>50919539.6403599</v>
      </c>
      <c r="I1420" s="73" t="n">
        <f aca="false">H1464</f>
        <v>50755173.6249244</v>
      </c>
      <c r="J1420" s="73" t="n">
        <f aca="false">I1464</f>
        <v>51623204.9083995</v>
      </c>
      <c r="K1420" s="73" t="n">
        <f aca="false">J1464</f>
        <v>51474675.5707664</v>
      </c>
      <c r="L1420" s="73" t="n">
        <f aca="false">K1464</f>
        <v>52373834.530696</v>
      </c>
      <c r="M1420" s="73" t="n">
        <f aca="false">L1464</f>
        <v>52131386.2818646</v>
      </c>
      <c r="N1420" s="73" t="n">
        <f aca="false">M1464</f>
        <v>53028380.5790902</v>
      </c>
      <c r="O1420" s="73" t="n">
        <f aca="false">N1464</f>
        <v>52897738.5299128</v>
      </c>
    </row>
    <row r="1421" customFormat="false" ht="15" hidden="false" customHeight="false" outlineLevel="0" collapsed="false">
      <c r="B1421" s="65" t="s">
        <v>177</v>
      </c>
      <c r="C1421" s="25"/>
      <c r="D1421" s="73" t="n">
        <f aca="false">IF(C1429=1,0,$X$9*D1420)</f>
        <v>0</v>
      </c>
      <c r="E1421" s="73" t="n">
        <f aca="false">IF(D1429=1,0,$X$9*E1420)</f>
        <v>0</v>
      </c>
      <c r="F1421" s="73" t="n">
        <f aca="false">IF(E1429=1,0,$X$9*F1420)</f>
        <v>0</v>
      </c>
      <c r="G1421" s="73" t="n">
        <f aca="false">IF(F1429=1,0,$X$9*G1420)</f>
        <v>0</v>
      </c>
      <c r="H1421" s="73" t="n">
        <f aca="false">IF(G1429=1,0,$X$9*H1420)</f>
        <v>0</v>
      </c>
      <c r="I1421" s="73" t="n">
        <f aca="false">IF(H1429=1,0,$X$9*I1420)</f>
        <v>0</v>
      </c>
      <c r="J1421" s="73" t="n">
        <f aca="false">IF(I1429=1,0,$X$9*J1420)</f>
        <v>0</v>
      </c>
      <c r="K1421" s="73" t="n">
        <f aca="false">IF(J1429=1,0,$X$9*K1420)</f>
        <v>0</v>
      </c>
      <c r="L1421" s="73" t="n">
        <f aca="false">IF(K1429=1,0,$X$9*L1420)</f>
        <v>0</v>
      </c>
      <c r="M1421" s="73" t="n">
        <f aca="false">IF(L1429=1,0,$X$9*M1420)</f>
        <v>0</v>
      </c>
      <c r="N1421" s="73" t="n">
        <f aca="false">IF(M1429=1,0,$X$9*N1420)</f>
        <v>0</v>
      </c>
      <c r="O1421" s="73" t="n">
        <f aca="false">IF(N1429=1,0,$X$9*O1420)</f>
        <v>0</v>
      </c>
    </row>
    <row r="1422" customFormat="false" ht="15" hidden="false" customHeight="false" outlineLevel="0" collapsed="false">
      <c r="B1422" s="65" t="s">
        <v>1024</v>
      </c>
      <c r="C1422" s="25"/>
      <c r="D1422" s="73" t="n">
        <f aca="false">D1419*D1420</f>
        <v>1000000</v>
      </c>
      <c r="E1422" s="73" t="n">
        <f aca="false">E1419*E1420</f>
        <v>0</v>
      </c>
      <c r="F1422" s="73" t="n">
        <f aca="false">F1419*F1420</f>
        <v>1007002.87801563</v>
      </c>
      <c r="G1422" s="73" t="n">
        <f aca="false">G1419*G1420</f>
        <v>0</v>
      </c>
      <c r="H1422" s="73" t="n">
        <f aca="false">H1419*H1420</f>
        <v>1018390.7928072</v>
      </c>
      <c r="I1422" s="73" t="n">
        <f aca="false">I1419*I1420</f>
        <v>0</v>
      </c>
      <c r="J1422" s="73" t="n">
        <f aca="false">J1419*J1420</f>
        <v>1032464.09816799</v>
      </c>
      <c r="K1422" s="73" t="n">
        <f aca="false">K1419*K1420</f>
        <v>0</v>
      </c>
      <c r="L1422" s="73" t="n">
        <f aca="false">L1419*L1420</f>
        <v>1047476.69061392</v>
      </c>
      <c r="M1422" s="73" t="n">
        <f aca="false">M1419*M1420</f>
        <v>0</v>
      </c>
      <c r="N1422" s="73" t="n">
        <f aca="false">N1419*N1420</f>
        <v>1060567.6115818</v>
      </c>
      <c r="O1422" s="73" t="n">
        <f aca="false">O1419*O1420</f>
        <v>0</v>
      </c>
    </row>
    <row r="1423" customFormat="false" ht="15" hidden="false" customHeight="false" outlineLevel="0" collapsed="false">
      <c r="B1423" s="65" t="s">
        <v>1025</v>
      </c>
      <c r="C1423" s="25"/>
      <c r="D1423" s="73" t="n">
        <f aca="false">C1431</f>
        <v>0</v>
      </c>
      <c r="E1423" s="73" t="n">
        <f aca="false">D1431</f>
        <v>0</v>
      </c>
      <c r="F1423" s="73" t="n">
        <f aca="false">E1431</f>
        <v>0</v>
      </c>
      <c r="G1423" s="73" t="n">
        <f aca="false">F1431</f>
        <v>0</v>
      </c>
      <c r="H1423" s="73" t="n">
        <f aca="false">G1431</f>
        <v>0</v>
      </c>
      <c r="I1423" s="73" t="n">
        <f aca="false">H1431</f>
        <v>0</v>
      </c>
      <c r="J1423" s="73" t="n">
        <f aca="false">I1431</f>
        <v>0</v>
      </c>
      <c r="K1423" s="73" t="n">
        <f aca="false">J1431</f>
        <v>0</v>
      </c>
      <c r="L1423" s="73" t="n">
        <f aca="false">K1431</f>
        <v>0</v>
      </c>
      <c r="M1423" s="73" t="n">
        <f aca="false">L1431</f>
        <v>0</v>
      </c>
      <c r="N1423" s="73" t="n">
        <f aca="false">M1431</f>
        <v>0</v>
      </c>
      <c r="O1423" s="73" t="n">
        <f aca="false">N1431</f>
        <v>0</v>
      </c>
    </row>
    <row r="1424" customFormat="false" ht="15" hidden="false" customHeight="false" outlineLevel="0" collapsed="false">
      <c r="B1424" s="65" t="s">
        <v>1026</v>
      </c>
      <c r="C1424" s="25"/>
      <c r="D1424" s="73" t="n">
        <f aca="false">D1422+D1423</f>
        <v>1000000</v>
      </c>
      <c r="E1424" s="73" t="n">
        <f aca="false">E1422+E1423</f>
        <v>0</v>
      </c>
      <c r="F1424" s="73" t="n">
        <f aca="false">F1422+F1423</f>
        <v>1007002.87801563</v>
      </c>
      <c r="G1424" s="73" t="n">
        <f aca="false">G1422+G1423</f>
        <v>0</v>
      </c>
      <c r="H1424" s="73" t="n">
        <f aca="false">H1422+H1423</f>
        <v>1018390.7928072</v>
      </c>
      <c r="I1424" s="73" t="n">
        <f aca="false">I1422+I1423</f>
        <v>0</v>
      </c>
      <c r="J1424" s="73" t="n">
        <f aca="false">J1422+J1423</f>
        <v>1032464.09816799</v>
      </c>
      <c r="K1424" s="73" t="n">
        <f aca="false">K1422+K1423</f>
        <v>0</v>
      </c>
      <c r="L1424" s="73" t="n">
        <f aca="false">L1422+L1423</f>
        <v>1047476.69061392</v>
      </c>
      <c r="M1424" s="73" t="n">
        <f aca="false">M1422+M1423</f>
        <v>0</v>
      </c>
      <c r="N1424" s="73" t="n">
        <f aca="false">N1422+N1423</f>
        <v>1060567.6115818</v>
      </c>
      <c r="O1424" s="73" t="n">
        <f aca="false">O1422+O1423</f>
        <v>0</v>
      </c>
    </row>
    <row r="1425" customFormat="false" ht="15" hidden="false" customHeight="false" outlineLevel="0" collapsed="false">
      <c r="B1425" s="65" t="s">
        <v>1027</v>
      </c>
      <c r="C1425" s="25"/>
      <c r="D1425" s="73" t="n">
        <f aca="false">IF($X$21=1,Gate*D1420+D1421,D1424)</f>
        <v>2500000</v>
      </c>
      <c r="E1425" s="73" t="n">
        <f aca="false">IF($X$21=1,Gate*E1420+E1421,E1424)</f>
        <v>2480032.1875</v>
      </c>
      <c r="F1425" s="73" t="n">
        <f aca="false">IF($X$21=1,Gate*F1420+F1421,F1424)</f>
        <v>2517507.19503906</v>
      </c>
      <c r="G1425" s="73" t="n">
        <f aca="false">IF($X$21=1,Gate*G1420+G1421,G1424)</f>
        <v>2505931.20897919</v>
      </c>
      <c r="H1425" s="73" t="n">
        <f aca="false">IF($X$21=1,Gate*H1420+H1421,H1424)</f>
        <v>2545976.982018</v>
      </c>
      <c r="I1425" s="73" t="n">
        <f aca="false">IF($X$21=1,Gate*I1420+I1421,I1424)</f>
        <v>2537758.68124622</v>
      </c>
      <c r="J1425" s="73" t="n">
        <f aca="false">IF($X$21=1,Gate*J1420+J1421,J1424)</f>
        <v>2581160.24541998</v>
      </c>
      <c r="K1425" s="73" t="n">
        <f aca="false">IF($X$21=1,Gate*K1420+K1421,K1424)</f>
        <v>2573733.77853832</v>
      </c>
      <c r="L1425" s="73" t="n">
        <f aca="false">IF($X$21=1,Gate*L1420+L1421,L1424)</f>
        <v>2618691.7265348</v>
      </c>
      <c r="M1425" s="73" t="n">
        <f aca="false">IF($X$21=1,Gate*M1420+M1421,M1424)</f>
        <v>2606569.31409323</v>
      </c>
      <c r="N1425" s="73" t="n">
        <f aca="false">IF($X$21=1,Gate*N1420+N1421,N1424)</f>
        <v>2651419.02895451</v>
      </c>
      <c r="O1425" s="73" t="n">
        <f aca="false">IF($X$21=1,Gate*O1420+O1421,O1424)</f>
        <v>2644886.92649564</v>
      </c>
    </row>
    <row r="1426" customFormat="false" ht="15" hidden="false" customHeight="false" outlineLevel="0" collapsed="false">
      <c r="B1426" s="65" t="s">
        <v>1028</v>
      </c>
      <c r="C1426" s="25"/>
      <c r="D1426" s="73" t="n">
        <f aca="false">IF(D1417=1,MIN(D1424,D1425),0)</f>
        <v>1000000</v>
      </c>
      <c r="E1426" s="73" t="n">
        <f aca="false">IF(E1417=1,MIN(E1424,E1425),0)</f>
        <v>0</v>
      </c>
      <c r="F1426" s="73" t="n">
        <f aca="false">IF(F1417=1,MIN(F1424,F1425),0)</f>
        <v>1007002.87801563</v>
      </c>
      <c r="G1426" s="73" t="n">
        <f aca="false">IF(G1417=1,MIN(G1424,G1425),0)</f>
        <v>0</v>
      </c>
      <c r="H1426" s="73" t="n">
        <f aca="false">IF(H1417=1,MIN(H1424,H1425),0)</f>
        <v>1018390.7928072</v>
      </c>
      <c r="I1426" s="73" t="n">
        <f aca="false">IF(I1417=1,MIN(I1424,I1425),0)</f>
        <v>0</v>
      </c>
      <c r="J1426" s="73" t="n">
        <f aca="false">IF(J1417=1,MIN(J1424,J1425),0)</f>
        <v>1032464.09816799</v>
      </c>
      <c r="K1426" s="73" t="n">
        <f aca="false">IF(K1417=1,MIN(K1424,K1425),0)</f>
        <v>0</v>
      </c>
      <c r="L1426" s="73" t="n">
        <f aca="false">IF(L1417=1,MIN(L1424,L1425),0)</f>
        <v>1047476.69061392</v>
      </c>
      <c r="M1426" s="73" t="n">
        <f aca="false">IF(M1417=1,MIN(M1424,M1425),0)</f>
        <v>0</v>
      </c>
      <c r="N1426" s="73" t="n">
        <f aca="false">IF(N1417=1,MIN(N1424,N1425),0)</f>
        <v>1060567.6115818</v>
      </c>
      <c r="O1426" s="73" t="n">
        <f aca="false">IF(O1417=1,MIN(O1424,O1425),0)</f>
        <v>0</v>
      </c>
    </row>
    <row r="1427" customFormat="false" ht="15" hidden="false" customHeight="false" outlineLevel="0" collapsed="false">
      <c r="B1427" s="65" t="s">
        <v>1029</v>
      </c>
      <c r="C1427" s="25"/>
      <c r="D1427" s="73" t="n">
        <f aca="false">MAX(0,D1455+D1446+D1447-Poche_min_exec*D1420-D1426-SUM(E1452:F1452)+MAX(0,MIN($X$20*AN_cible,Emprunt_max*D1420)-C1463))</f>
        <v>0</v>
      </c>
      <c r="E1427" s="73" t="n">
        <f aca="false">MAX(0,E1455+E1446+E1447-Poche_min_exec*E1420-E1426-SUM(F1452:G1452)+MAX(0,MIN($X$20*AN_cible,Emprunt_max*E1420)-D1463))</f>
        <v>0</v>
      </c>
      <c r="F1427" s="73" t="n">
        <f aca="false">MAX(0,F1455+F1446+F1447-Poche_min_exec*F1420-F1426-SUM(G1452:H1452)+MAX(0,MIN($X$20*AN_cible,Emprunt_max*F1420)-E1463))</f>
        <v>0</v>
      </c>
      <c r="G1427" s="73" t="n">
        <f aca="false">MAX(0,G1455+G1446+G1447-Poche_min_exec*G1420-G1426-SUM(H1452:I1452)+MAX(0,MIN($X$20*AN_cible,Emprunt_max*G1420)-F1463))</f>
        <v>0</v>
      </c>
      <c r="H1427" s="73" t="n">
        <f aca="false">MAX(0,H1455+H1446+H1447-Poche_min_exec*H1420-H1426-SUM(I1452:J1452)+MAX(0,MIN($X$20*AN_cible,Emprunt_max*H1420)-G1463))</f>
        <v>0</v>
      </c>
      <c r="I1427" s="73" t="n">
        <f aca="false">MAX(0,I1455+I1446+I1447-Poche_min_exec*I1420-I1426-SUM(J1452:K1452)+MAX(0,MIN($X$20*AN_cible,Emprunt_max*I1420)-H1463))</f>
        <v>0</v>
      </c>
      <c r="J1427" s="73" t="n">
        <f aca="false">MAX(0,J1455+J1446+J1447-Poche_min_exec*J1420-J1426-SUM(K1452:L1452)+MAX(0,MIN($X$20*AN_cible,Emprunt_max*J1420)-I1463))</f>
        <v>0</v>
      </c>
      <c r="K1427" s="73" t="n">
        <f aca="false">MAX(0,K1455+K1446+K1447-Poche_min_exec*K1420-K1426-SUM(L1452:M1452)+MAX(0,MIN($X$20*AN_cible,Emprunt_max*K1420)-J1463))</f>
        <v>0</v>
      </c>
      <c r="L1427" s="73" t="n">
        <f aca="false">MAX(0,L1455+L1446+L1447-Poche_min_exec*L1420-L1426-SUM(M1452:N1452)+MAX(0,MIN($X$20*AN_cible,Emprunt_max*L1420)-K1463))</f>
        <v>0</v>
      </c>
      <c r="M1427" s="73" t="n">
        <f aca="false">MAX(0,M1455+M1446+M1447-Poche_min_exec*M1420-M1426-SUM(N1452:O1452)+MAX(0,MIN($X$20*AN_cible,Emprunt_max*M1420)-L1463))</f>
        <v>0</v>
      </c>
      <c r="N1427" s="73" t="n">
        <f aca="false">MAX(0,N1455+N1446+N1447-Poche_min_exec*N1420-N1426-SUM(O1452:O1452)+MAX(0,MIN($X$20*AN_cible,Emprunt_max*N1420)-M1463))</f>
        <v>0</v>
      </c>
      <c r="O1427" s="73" t="n">
        <f aca="false">MAX(0,O1455+O1446+O1447-Poche_min_exec*O1420-O1426-0+MAX(0,MIN($X$20*AN_cible,Emprunt_max*O1420)-N1463))</f>
        <v>0</v>
      </c>
    </row>
    <row r="1428" customFormat="false" ht="15" hidden="false" customHeight="false" outlineLevel="0" collapsed="false">
      <c r="B1428" s="65" t="s">
        <v>1030</v>
      </c>
      <c r="C1428" s="25"/>
      <c r="D1428" s="73" t="n">
        <f aca="false">IF(AND(D1417=1,$X$21=1,$X$22=1),MIN(D1424-D1426,D1427),0)</f>
        <v>0</v>
      </c>
      <c r="E1428" s="73" t="n">
        <f aca="false">IF(AND(E1417=1,$X$21=1,$X$22=1),MIN(E1424-E1426,E1427),0)</f>
        <v>0</v>
      </c>
      <c r="F1428" s="73" t="n">
        <f aca="false">IF(AND(F1417=1,$X$21=1,$X$22=1),MIN(F1424-F1426,F1427),0)</f>
        <v>0</v>
      </c>
      <c r="G1428" s="73" t="n">
        <f aca="false">IF(AND(G1417=1,$X$21=1,$X$22=1),MIN(G1424-G1426,G1427),0)</f>
        <v>0</v>
      </c>
      <c r="H1428" s="73" t="n">
        <f aca="false">IF(AND(H1417=1,$X$21=1,$X$22=1),MIN(H1424-H1426,H1427),0)</f>
        <v>0</v>
      </c>
      <c r="I1428" s="73" t="n">
        <f aca="false">IF(AND(I1417=1,$X$21=1,$X$22=1),MIN(I1424-I1426,I1427),0)</f>
        <v>0</v>
      </c>
      <c r="J1428" s="73" t="n">
        <f aca="false">IF(AND(J1417=1,$X$21=1,$X$22=1),MIN(J1424-J1426,J1427),0)</f>
        <v>0</v>
      </c>
      <c r="K1428" s="73" t="n">
        <f aca="false">IF(AND(K1417=1,$X$21=1,$X$22=1),MIN(K1424-K1426,K1427),0)</f>
        <v>0</v>
      </c>
      <c r="L1428" s="73" t="n">
        <f aca="false">IF(AND(L1417=1,$X$21=1,$X$22=1),MIN(L1424-L1426,L1427),0)</f>
        <v>0</v>
      </c>
      <c r="M1428" s="73" t="n">
        <f aca="false">IF(AND(M1417=1,$X$21=1,$X$22=1),MIN(M1424-M1426,M1427),0)</f>
        <v>0</v>
      </c>
      <c r="N1428" s="73" t="n">
        <f aca="false">IF(AND(N1417=1,$X$21=1,$X$22=1),MIN(N1424-N1426,N1427),0)</f>
        <v>0</v>
      </c>
      <c r="O1428" s="73" t="n">
        <f aca="false">IF(AND(O1417=1,$X$21=1,$X$22=1),MIN(O1424-O1426,O1427),0)</f>
        <v>0</v>
      </c>
    </row>
    <row r="1429" customFormat="false" ht="15" hidden="false" customHeight="false" outlineLevel="0" collapsed="false">
      <c r="B1429" s="65" t="s">
        <v>1031</v>
      </c>
      <c r="C1429" s="65" t="n">
        <v>0</v>
      </c>
      <c r="D1429" s="65" t="n">
        <f aca="false">IF(C1429=1,1,IF(AND(D1417=1,$X$21=1,C1433&gt;=Gate_dates,D1424-D1426-D1428&gt;0.000001),1,0))</f>
        <v>0</v>
      </c>
      <c r="E1429" s="65" t="n">
        <f aca="false">IF(D1429=1,1,IF(AND(E1417=1,$X$21=1,D1433&gt;=Gate_dates,E1424-E1426-E1428&gt;0.000001),1,0))</f>
        <v>0</v>
      </c>
      <c r="F1429" s="65" t="n">
        <f aca="false">IF(E1429=1,1,IF(AND(F1417=1,$X$21=1,E1433&gt;=Gate_dates,F1424-F1426-F1428&gt;0.000001),1,0))</f>
        <v>0</v>
      </c>
      <c r="G1429" s="65" t="n">
        <f aca="false">IF(F1429=1,1,IF(AND(G1417=1,$X$21=1,F1433&gt;=Gate_dates,G1424-G1426-G1428&gt;0.000001),1,0))</f>
        <v>0</v>
      </c>
      <c r="H1429" s="65" t="n">
        <f aca="false">IF(G1429=1,1,IF(AND(H1417=1,$X$21=1,G1433&gt;=Gate_dates,H1424-H1426-H1428&gt;0.000001),1,0))</f>
        <v>0</v>
      </c>
      <c r="I1429" s="65" t="n">
        <f aca="false">IF(H1429=1,1,IF(AND(I1417=1,$X$21=1,H1433&gt;=Gate_dates,I1424-I1426-I1428&gt;0.000001),1,0))</f>
        <v>0</v>
      </c>
      <c r="J1429" s="65" t="n">
        <f aca="false">IF(I1429=1,1,IF(AND(J1417=1,$X$21=1,I1433&gt;=Gate_dates,J1424-J1426-J1428&gt;0.000001),1,0))</f>
        <v>0</v>
      </c>
      <c r="K1429" s="65" t="n">
        <f aca="false">IF(J1429=1,1,IF(AND(K1417=1,$X$21=1,J1433&gt;=Gate_dates,K1424-K1426-K1428&gt;0.000001),1,0))</f>
        <v>0</v>
      </c>
      <c r="L1429" s="65" t="n">
        <f aca="false">IF(K1429=1,1,IF(AND(L1417=1,$X$21=1,K1433&gt;=Gate_dates,L1424-L1426-L1428&gt;0.000001),1,0))</f>
        <v>0</v>
      </c>
      <c r="M1429" s="65" t="n">
        <f aca="false">IF(L1429=1,1,IF(AND(M1417=1,$X$21=1,L1433&gt;=Gate_dates,M1424-M1426-M1428&gt;0.000001),1,0))</f>
        <v>0</v>
      </c>
      <c r="N1429" s="65" t="n">
        <f aca="false">IF(M1429=1,1,IF(AND(N1417=1,$X$21=1,M1433&gt;=Gate_dates,N1424-N1426-N1428&gt;0.000001),1,0))</f>
        <v>0</v>
      </c>
      <c r="O1429" s="65" t="n">
        <f aca="false">IF(N1429=1,1,IF(AND(O1417=1,$X$21=1,N1433&gt;=Gate_dates,O1424-O1426-O1428&gt;0.000001),1,0))</f>
        <v>0</v>
      </c>
    </row>
    <row r="1430" customFormat="false" ht="15" hidden="false" customHeight="false" outlineLevel="0" collapsed="false">
      <c r="B1430" s="65" t="s">
        <v>1032</v>
      </c>
      <c r="C1430" s="25"/>
      <c r="D1430" s="73" t="n">
        <f aca="false">IF(D1429=1,0,D1426+D1428)</f>
        <v>1000000</v>
      </c>
      <c r="E1430" s="73" t="n">
        <f aca="false">IF(E1429=1,0,E1426+E1428)</f>
        <v>0</v>
      </c>
      <c r="F1430" s="73" t="n">
        <f aca="false">IF(F1429=1,0,F1426+F1428)</f>
        <v>1007002.87801563</v>
      </c>
      <c r="G1430" s="73" t="n">
        <f aca="false">IF(G1429=1,0,G1426+G1428)</f>
        <v>0</v>
      </c>
      <c r="H1430" s="73" t="n">
        <f aca="false">IF(H1429=1,0,H1426+H1428)</f>
        <v>1018390.7928072</v>
      </c>
      <c r="I1430" s="73" t="n">
        <f aca="false">IF(I1429=1,0,I1426+I1428)</f>
        <v>0</v>
      </c>
      <c r="J1430" s="73" t="n">
        <f aca="false">IF(J1429=1,0,J1426+J1428)</f>
        <v>1032464.09816799</v>
      </c>
      <c r="K1430" s="73" t="n">
        <f aca="false">IF(K1429=1,0,K1426+K1428)</f>
        <v>0</v>
      </c>
      <c r="L1430" s="73" t="n">
        <f aca="false">IF(L1429=1,0,L1426+L1428)</f>
        <v>1047476.69061392</v>
      </c>
      <c r="M1430" s="73" t="n">
        <f aca="false">IF(M1429=1,0,M1426+M1428)</f>
        <v>0</v>
      </c>
      <c r="N1430" s="73" t="n">
        <f aca="false">IF(N1429=1,0,N1426+N1428)</f>
        <v>1060567.6115818</v>
      </c>
      <c r="O1430" s="73" t="n">
        <f aca="false">IF(O1429=1,0,O1426+O1428)</f>
        <v>0</v>
      </c>
    </row>
    <row r="1431" customFormat="false" ht="15" hidden="false" customHeight="false" outlineLevel="0" collapsed="false">
      <c r="B1431" s="65" t="s">
        <v>1033</v>
      </c>
      <c r="C1431" s="73" t="n">
        <v>0</v>
      </c>
      <c r="D1431" s="73" t="n">
        <f aca="false">D1424-D1430</f>
        <v>0</v>
      </c>
      <c r="E1431" s="73" t="n">
        <f aca="false">E1424-E1430</f>
        <v>0</v>
      </c>
      <c r="F1431" s="73" t="n">
        <f aca="false">F1424-F1430</f>
        <v>0</v>
      </c>
      <c r="G1431" s="73" t="n">
        <f aca="false">G1424-G1430</f>
        <v>0</v>
      </c>
      <c r="H1431" s="73" t="n">
        <f aca="false">H1424-H1430</f>
        <v>0</v>
      </c>
      <c r="I1431" s="73" t="n">
        <f aca="false">I1424-I1430</f>
        <v>0</v>
      </c>
      <c r="J1431" s="73" t="n">
        <f aca="false">J1424-J1430</f>
        <v>0</v>
      </c>
      <c r="K1431" s="73" t="n">
        <f aca="false">K1424-K1430</f>
        <v>0</v>
      </c>
      <c r="L1431" s="73" t="n">
        <f aca="false">L1424-L1430</f>
        <v>0</v>
      </c>
      <c r="M1431" s="73" t="n">
        <f aca="false">M1424-M1430</f>
        <v>0</v>
      </c>
      <c r="N1431" s="73" t="n">
        <f aca="false">N1424-N1430</f>
        <v>0</v>
      </c>
      <c r="O1431" s="73" t="n">
        <f aca="false">O1424-O1430</f>
        <v>0</v>
      </c>
    </row>
    <row r="1432" customFormat="false" ht="15" hidden="false" customHeight="false" outlineLevel="0" collapsed="false">
      <c r="B1432" s="65" t="s">
        <v>1034</v>
      </c>
      <c r="C1432" s="25"/>
      <c r="D1432" s="65" t="n">
        <f aca="false">IF(AND(D1417=1,D1429=0,D1431&gt;0.000001),1,0)</f>
        <v>0</v>
      </c>
      <c r="E1432" s="65" t="n">
        <f aca="false">IF(AND(E1417=1,E1429=0,E1431&gt;0.000001),1,0)</f>
        <v>0</v>
      </c>
      <c r="F1432" s="65" t="n">
        <f aca="false">IF(AND(F1417=1,F1429=0,F1431&gt;0.000001),1,0)</f>
        <v>0</v>
      </c>
      <c r="G1432" s="65" t="n">
        <f aca="false">IF(AND(G1417=1,G1429=0,G1431&gt;0.000001),1,0)</f>
        <v>0</v>
      </c>
      <c r="H1432" s="65" t="n">
        <f aca="false">IF(AND(H1417=1,H1429=0,H1431&gt;0.000001),1,0)</f>
        <v>0</v>
      </c>
      <c r="I1432" s="65" t="n">
        <f aca="false">IF(AND(I1417=1,I1429=0,I1431&gt;0.000001),1,0)</f>
        <v>0</v>
      </c>
      <c r="J1432" s="65" t="n">
        <f aca="false">IF(AND(J1417=1,J1429=0,J1431&gt;0.000001),1,0)</f>
        <v>0</v>
      </c>
      <c r="K1432" s="65" t="n">
        <f aca="false">IF(AND(K1417=1,K1429=0,K1431&gt;0.000001),1,0)</f>
        <v>0</v>
      </c>
      <c r="L1432" s="65" t="n">
        <f aca="false">IF(AND(L1417=1,L1429=0,L1431&gt;0.000001),1,0)</f>
        <v>0</v>
      </c>
      <c r="M1432" s="65" t="n">
        <f aca="false">IF(AND(M1417=1,M1429=0,M1431&gt;0.000001),1,0)</f>
        <v>0</v>
      </c>
      <c r="N1432" s="65" t="n">
        <f aca="false">IF(AND(N1417=1,N1429=0,N1431&gt;0.000001),1,0)</f>
        <v>0</v>
      </c>
      <c r="O1432" s="65" t="n">
        <f aca="false">IF(AND(O1417=1,O1429=0,O1431&gt;0.000001),1,0)</f>
        <v>0</v>
      </c>
    </row>
    <row r="1433" customFormat="false" ht="15" hidden="false" customHeight="false" outlineLevel="0" collapsed="false">
      <c r="B1433" s="65" t="s">
        <v>843</v>
      </c>
      <c r="C1433" s="65" t="n">
        <v>0</v>
      </c>
      <c r="D1433" s="65" t="n">
        <f aca="false">IF(D1417=1,IF(D1432=1,C1433+1,0),C1433)</f>
        <v>0</v>
      </c>
      <c r="E1433" s="65" t="n">
        <f aca="false">IF(E1417=1,IF(E1432=1,D1433+1,0),D1433)</f>
        <v>0</v>
      </c>
      <c r="F1433" s="65" t="n">
        <f aca="false">IF(F1417=1,IF(F1432=1,E1433+1,0),E1433)</f>
        <v>0</v>
      </c>
      <c r="G1433" s="65" t="n">
        <f aca="false">IF(G1417=1,IF(G1432=1,F1433+1,0),F1433)</f>
        <v>0</v>
      </c>
      <c r="H1433" s="65" t="n">
        <f aca="false">IF(H1417=1,IF(H1432=1,G1433+1,0),G1433)</f>
        <v>0</v>
      </c>
      <c r="I1433" s="65" t="n">
        <f aca="false">IF(I1417=1,IF(I1432=1,H1433+1,0),H1433)</f>
        <v>0</v>
      </c>
      <c r="J1433" s="65" t="n">
        <f aca="false">IF(J1417=1,IF(J1432=1,I1433+1,0),I1433)</f>
        <v>0</v>
      </c>
      <c r="K1433" s="65" t="n">
        <f aca="false">IF(K1417=1,IF(K1432=1,J1433+1,0),J1433)</f>
        <v>0</v>
      </c>
      <c r="L1433" s="65" t="n">
        <f aca="false">IF(L1417=1,IF(L1432=1,K1433+1,0),K1433)</f>
        <v>0</v>
      </c>
      <c r="M1433" s="65" t="n">
        <f aca="false">IF(M1417=1,IF(M1432=1,L1433+1,0),L1433)</f>
        <v>0</v>
      </c>
      <c r="N1433" s="65" t="n">
        <f aca="false">IF(N1417=1,IF(N1432=1,M1433+1,0),M1433)</f>
        <v>0</v>
      </c>
      <c r="O1433" s="65" t="n">
        <f aca="false">IF(O1417=1,IF(O1432=1,N1433+1,0),N1433)</f>
        <v>0</v>
      </c>
    </row>
    <row r="1434" customFormat="false" ht="15" hidden="false" customHeight="false" outlineLevel="0" collapsed="false">
      <c r="B1434" s="65" t="s">
        <v>1035</v>
      </c>
      <c r="C1434" s="73" t="n">
        <f aca="false">AN_cible*Ws_MAPIF</f>
        <v>12500000</v>
      </c>
      <c r="D1434" s="73" t="n">
        <f aca="false">C1434*(1+Rend_MAPIF/4)*IF(D1415=1,(1-(Cap_MAPIF*$X$15+(1-Cap_MAPIF)*$X$16))*(1+1*$X$14),1)+D1444-D1438-D1459*IF((C1434+C1435+C1436+C1437)&gt;0,C1434/(C1434+C1435+C1436+C1437),0)</f>
        <v>13909062.5</v>
      </c>
      <c r="E1434" s="73" t="n">
        <f aca="false">D1434*(1+Rend_MAPIF/4)*IF(E1415=1,(1-(Cap_MAPIF*$X$15+(1-Cap_MAPIF)*$X$16))*(1+1*$X$14),1)+E1444-E1438-E1459*IF((D1434+D1435+D1436+D1437)&gt;0,D1434/(D1434+D1435+D1436+D1437),0)</f>
        <v>15329010.0078125</v>
      </c>
      <c r="F1434" s="73" t="n">
        <f aca="false">E1434*(1+Rend_MAPIF/4)*IF(F1415=1,(1-(Cap_MAPIF*$X$15+(1-Cap_MAPIF)*$X$16))*(1+1*$X$14),1)+F1444-F1438-F1459*IF((E1434+E1435+E1436+E1437)&gt;0,E1434/(E1434+E1435+E1436+E1437),0)</f>
        <v>16759926.6101229</v>
      </c>
      <c r="G1434" s="73" t="n">
        <f aca="false">F1434*(1+Rend_MAPIF/4)*IF(G1415=1,(1-(Cap_MAPIF*$X$15+(1-Cap_MAPIF)*$X$16))*(1+1*$X$14),1)+G1444-G1438-G1459*IF((F1434+F1435+F1436+F1437)&gt;0,F1434/(F1434+F1435+F1436+F1437),0)</f>
        <v>18201897.0431861</v>
      </c>
      <c r="H1434" s="73" t="n">
        <f aca="false">G1434*(1+Rend_MAPIF/4)*IF(H1415=1,(1-(Cap_MAPIF*$X$15+(1-Cap_MAPIF)*$X$16))*(1+1*$X$14),1)+H1444-H1438-H1459*IF((G1434+G1435+G1436+G1437)&gt;0,G1434/(G1434+G1435+G1436+G1437),0)</f>
        <v>19217506.6978447</v>
      </c>
      <c r="I1434" s="73" t="n">
        <f aca="false">H1434*(1+Rend_MAPIF/4)*IF(I1415=1,(1-(Cap_MAPIF*$X$15+(1-Cap_MAPIF)*$X$16))*(1+1*$X$14),1)+I1444-I1438-I1459*IF((H1434+H1435+H1436+H1437)&gt;0,H1434/(H1434+H1435+H1436+H1437),0)</f>
        <v>20240961.9370855</v>
      </c>
      <c r="J1434" s="73" t="n">
        <f aca="false">I1434*(1+Rend_MAPIF/4)*IF(J1415=1,(1-(Cap_MAPIF*$X$15+(1-Cap_MAPIF)*$X$16))*(1+1*$X$14),1)+J1444-J1438-J1459*IF((I1434+I1435+I1436+I1437)&gt;0,I1434/(I1434+I1435+I1436+I1437),0)</f>
        <v>21272323.3680495</v>
      </c>
      <c r="K1434" s="73" t="n">
        <f aca="false">J1434*(1+Rend_MAPIF/4)*IF(K1415=1,(1-(Cap_MAPIF*$X$15+(1-Cap_MAPIF)*$X$16))*(1+1*$X$14),1)+K1444-K1438-K1459*IF((J1434+J1435+J1436+J1437)&gt;0,J1434/(J1434+J1435+J1436+J1437),0)</f>
        <v>22311652.0660677</v>
      </c>
      <c r="L1434" s="73" t="n">
        <f aca="false">K1434*(1+Rend_MAPIF/4)*IF(L1415=1,(1-(Cap_MAPIF*$X$15+(1-Cap_MAPIF)*$X$16))*(1+1*$X$14),1)+L1444-L1438-L1459*IF((K1434+K1435+K1436+K1437)&gt;0,K1434/(K1434+K1435+K1436+K1437),0)</f>
        <v>22883688.6674187</v>
      </c>
      <c r="M1434" s="73" t="n">
        <f aca="false">L1434*(1+Rend_MAPIF/4)*IF(M1415=1,(1-(Cap_MAPIF*$X$15+(1-Cap_MAPIF)*$X$16))*(1+1*$X$14),1)+M1444-M1438-M1459*IF((L1434+L1435+L1436+L1437)&gt;0,L1434/(L1434+L1435+L1436+L1437),0)</f>
        <v>23859098.0327546</v>
      </c>
      <c r="N1434" s="73" t="n">
        <f aca="false">M1434*(1+Rend_MAPIF/4)*IF(N1415=1,(1-(Cap_MAPIF*$X$15+(1-Cap_MAPIF)*$X$16))*(1+1*$X$14),1)+N1444-N1438-N1459*IF((M1434+M1435+M1436+M1437)&gt;0,M1434/(M1434+M1435+M1436+M1437),0)</f>
        <v>24043409.5650576</v>
      </c>
      <c r="O1434" s="73" t="n">
        <f aca="false">N1434*(1+Rend_MAPIF/4)*IF(O1415=1,(1-(Cap_MAPIF*$X$15+(1-Cap_MAPIF)*$X$16))*(1+1*$X$14),1)+O1444-O1438-O1459*IF((N1434+N1435+N1436+N1437)&gt;0,N1434/(N1434+N1435+N1436+N1437),0)</f>
        <v>24229144.9039477</v>
      </c>
    </row>
    <row r="1435" customFormat="false" ht="15" hidden="false" customHeight="false" outlineLevel="0" collapsed="false">
      <c r="B1435" s="65" t="s">
        <v>1036</v>
      </c>
      <c r="C1435" s="73" t="n">
        <f aca="false">AN_cible*Ws_MSIG</f>
        <v>5500000</v>
      </c>
      <c r="D1435" s="73" t="n">
        <f aca="false">C1435*(1+Rend_MSIG/4)*IF(D1415=1,(1-(Cap_MSIG*$X$15+(1-Cap_MSIG)*$X$16))*(1+MSIG_USD*$X$14),1)+D1445-D1439-D1459*IF((C1434+C1435+C1436+C1437)&gt;0,C1435/(C1434+C1435+C1436+C1437),0)</f>
        <v>6398237.5</v>
      </c>
      <c r="E1435" s="73" t="n">
        <f aca="false">D1435*(1+Rend_MSIG/4)*IF(E1415=1,(1-(Cap_MSIG*$X$15+(1-Cap_MSIG)*$X$16))*(1+MSIG_USD*$X$14),1)+E1445-E1439-E1459*IF((D1434+D1435+D1436+D1437)&gt;0,D1435/(D1434+D1435+D1436+D1437),0)</f>
        <v>7300270.0534375</v>
      </c>
      <c r="F1435" s="73" t="n">
        <f aca="false">E1435*(1+Rend_MSIG/4)*IF(F1415=1,(1-(Cap_MSIG*$X$15+(1-Cap_MSIG)*$X$16))*(1+MSIG_USD*$X$14),1)+F1445-F1439-F1459*IF((E1434+E1435+E1436+E1437)&gt;0,E1435/(E1434+E1435+E1436+E1437),0)</f>
        <v>8206113.69441327</v>
      </c>
      <c r="G1435" s="73" t="n">
        <f aca="false">F1435*(1+Rend_MSIG/4)*IF(G1415=1,(1-(Cap_MSIG*$X$15+(1-Cap_MSIG)*$X$16))*(1+MSIG_USD*$X$14),1)+G1445-G1439-G1459*IF((F1434+F1435+F1436+F1437)&gt;0,F1435/(F1434+F1435+F1436+F1437),0)</f>
        <v>9115784.52477217</v>
      </c>
      <c r="H1435" s="73" t="n">
        <f aca="false">G1435*(1+Rend_MSIG/4)*IF(H1415=1,(1-(Cap_MSIG*$X$15+(1-Cap_MSIG)*$X$16))*(1+MSIG_USD*$X$14),1)+H1445-H1439-H1459*IF((G1434+G1435+G1436+G1437)&gt;0,G1435/(G1434+G1435+G1436+G1437),0)</f>
        <v>9737632.04772267</v>
      </c>
      <c r="I1435" s="73" t="n">
        <f aca="false">H1435*(1+Rend_MSIG/4)*IF(I1415=1,(1-(Cap_MSIG*$X$15+(1-Cap_MSIG)*$X$16))*(1+MSIG_USD*$X$14),1)+I1445-I1439-I1459*IF((H1434+H1435+H1436+H1437)&gt;0,H1435/(H1434+H1435+H1436+H1437),0)</f>
        <v>10362106.8764576</v>
      </c>
      <c r="J1435" s="73" t="n">
        <f aca="false">I1435*(1+Rend_MSIG/4)*IF(J1415=1,(1-(Cap_MSIG*$X$15+(1-Cap_MSIG)*$X$16))*(1+MSIG_USD*$X$14),1)+J1445-J1439-J1459*IF((I1434+I1435+I1436+I1437)&gt;0,I1435/(I1434+I1435+I1436+I1437),0)</f>
        <v>10989220.111344</v>
      </c>
      <c r="K1435" s="73" t="n">
        <f aca="false">J1435*(1+Rend_MSIG/4)*IF(K1415=1,(1-(Cap_MSIG*$X$15+(1-Cap_MSIG)*$X$16))*(1+MSIG_USD*$X$14),1)+K1445-K1439-K1459*IF((J1434+J1435+J1436+J1437)&gt;0,J1435/(J1434+J1435+J1436+J1437),0)</f>
        <v>11618982.8996478</v>
      </c>
      <c r="L1435" s="73" t="n">
        <f aca="false">K1435*(1+Rend_MSIG/4)*IF(L1415=1,(1-(Cap_MSIG*$X$15+(1-Cap_MSIG)*$X$16))*(1+MSIG_USD*$X$14),1)+L1445-L1439-L1459*IF((K1434+K1435+K1436+K1437)&gt;0,K1435/(K1434+K1435+K1436+K1437),0)</f>
        <v>12003879.0218603</v>
      </c>
      <c r="M1435" s="73" t="n">
        <f aca="false">L1435*(1+Rend_MSIG/4)*IF(M1415=1,(1-(Cap_MSIG*$X$15+(1-Cap_MSIG)*$X$16))*(1+MSIG_USD*$X$14),1)+M1445-M1439-M1459*IF((L1434+L1435+L1436+L1437)&gt;0,L1435/(L1434+L1435+L1436+L1437),0)</f>
        <v>12597869.5648558</v>
      </c>
      <c r="N1435" s="73" t="n">
        <f aca="false">M1435*(1+Rend_MSIG/4)*IF(N1415=1,(1-(Cap_MSIG*$X$15+(1-Cap_MSIG)*$X$16))*(1+MSIG_USD*$X$14),1)+N1445-N1439-N1459*IF((M1434+M1435+M1436+M1437)&gt;0,M1435/(M1434+M1435+M1436+M1437),0)</f>
        <v>12651095.5637674</v>
      </c>
      <c r="O1435" s="73" t="n">
        <f aca="false">N1435*(1+Rend_MSIG/4)*IF(O1415=1,(1-(Cap_MSIG*$X$15+(1-Cap_MSIG)*$X$16))*(1+MSIG_USD*$X$14),1)+O1445-O1439-O1459*IF((N1434+N1435+N1436+N1437)&gt;0,N1435/(N1434+N1435+N1436+N1437),0)</f>
        <v>12704546.4425243</v>
      </c>
    </row>
    <row r="1436" customFormat="false" ht="15" hidden="false" customHeight="false" outlineLevel="0" collapsed="false">
      <c r="B1436" s="65" t="s">
        <v>1037</v>
      </c>
      <c r="C1436" s="73" t="n">
        <f aca="false">AN_cible*Ws_PG</f>
        <v>12250000</v>
      </c>
      <c r="D1436" s="73" t="n">
        <f aca="false">C1436*(1+Rend_PG/4)*IF(D1415=1,(1-(Cap_PG*$X$15+(1-Cap_PG)*$X$16))*(1+0*$X$14),1)-D1440-D1456*IF((D1446+D1447)&gt;0,D1446/(D1446+D1447),0)+D1461/2-D1459*IF((C1434+C1435+C1436+C1437)&gt;0,C1436/(C1434+C1435+C1436+C1437),0)</f>
        <v>11888931.25</v>
      </c>
      <c r="E1436" s="73" t="n">
        <f aca="false">D1436*(1+Rend_PG/4)*IF(E1415=1,(1-(Cap_PG*$X$15+(1-Cap_PG)*$X$16))*(1+0*$X$14),1)-E1440-E1456*IF((E1446+E1447)&gt;0,E1446/(E1446+E1447),0)+E1461/2-E1459*IF((D1434+D1435+D1436+D1437)&gt;0,D1436/(D1434+D1435+D1436+D1437),0)</f>
        <v>11538505.0014063</v>
      </c>
      <c r="F1436" s="73" t="n">
        <f aca="false">E1436*(1+Rend_PG/4)*IF(F1415=1,(1-(Cap_PG*$X$15+(1-Cap_PG)*$X$16))*(1+0*$X$14),1)-F1440-F1456*IF((F1446+F1447)&gt;0,F1446/(F1446+F1447),0)+F1461/2-F1459*IF((E1434+E1435+E1436+E1437)&gt;0,E1436/(E1434+E1435+E1436+E1437),0)</f>
        <v>11198407.5664898</v>
      </c>
      <c r="G1436" s="73" t="n">
        <f aca="false">F1436*(1+Rend_PG/4)*IF(G1415=1,(1-(Cap_PG*$X$15+(1-Cap_PG)*$X$16))*(1+0*$X$14),1)-G1440-G1456*IF((G1446+G1447)&gt;0,G1446/(G1446+G1447),0)+G1461/2-G1459*IF((F1434+F1435+F1436+F1437)&gt;0,F1436/(F1434+F1435+F1436+F1437),0)</f>
        <v>10868334.5034675</v>
      </c>
      <c r="H1436" s="73" t="n">
        <f aca="false">G1436*(1+Rend_PG/4)*IF(H1415=1,(1-(Cap_PG*$X$15+(1-Cap_PG)*$X$16))*(1+0*$X$14),1)-H1440-H1456*IF((H1446+H1447)&gt;0,H1446/(H1446+H1447),0)+H1461/2-H1459*IF((G1434+G1435+G1436+G1437)&gt;0,G1436/(G1434+G1435+G1436+G1437),0)</f>
        <v>10547990.3439778</v>
      </c>
      <c r="I1436" s="73" t="n">
        <f aca="false">H1436*(1+Rend_PG/4)*IF(I1415=1,(1-(Cap_PG*$X$15+(1-Cap_PG)*$X$16))*(1+0*$X$14),1)-I1440-I1456*IF((I1446+I1447)&gt;0,I1446/(I1446+I1447),0)+I1461/2-I1459*IF((H1434+H1435+H1436+H1437)&gt;0,H1436/(H1434+H1435+H1436+H1437),0)</f>
        <v>10237088.3285891</v>
      </c>
      <c r="J1436" s="73" t="n">
        <f aca="false">I1436*(1+Rend_PG/4)*IF(J1415=1,(1-(Cap_PG*$X$15+(1-Cap_PG)*$X$16))*(1+0*$X$14),1)-J1440-J1456*IF((J1446+J1447)&gt;0,J1446/(J1446+J1447),0)+J1461/2-J1459*IF((I1434+I1435+I1436+I1437)&gt;0,I1436/(I1434+I1435+I1436+I1437),0)</f>
        <v>9935350.1501039</v>
      </c>
      <c r="K1436" s="73" t="n">
        <f aca="false">J1436*(1+Rend_PG/4)*IF(K1415=1,(1-(Cap_PG*$X$15+(1-Cap_PG)*$X$16))*(1+0*$X$14),1)-K1440-K1456*IF((K1446+K1447)&gt;0,K1446/(K1446+K1447),0)+K1461/2-K1459*IF((J1434+J1435+J1436+J1437)&gt;0,J1436/(J1434+J1435+J1436+J1437),0)</f>
        <v>9642505.70442959</v>
      </c>
      <c r="L1436" s="73" t="n">
        <f aca="false">K1436*(1+Rend_PG/4)*IF(L1415=1,(1-(Cap_PG*$X$15+(1-Cap_PG)*$X$16))*(1+0*$X$14),1)-L1440-L1456*IF((L1446+L1447)&gt;0,L1446/(L1446+L1447),0)+L1461/2-L1459*IF((K1434+K1435+K1436+K1437)&gt;0,K1436/(K1434+K1435+K1436+K1437),0)</f>
        <v>9152871.72709132</v>
      </c>
      <c r="M1436" s="73" t="n">
        <f aca="false">L1436*(1+Rend_PG/4)*IF(M1415=1,(1-(Cap_PG*$X$15+(1-Cap_PG)*$X$16))*(1+0*$X$14),1)-M1440-M1456*IF((M1446+M1447)&gt;0,M1446/(M1446+M1447),0)+M1461/2-M1459*IF((L1434+L1435+L1436+L1437)&gt;0,L1436/(L1434+L1435+L1436+L1437),0)</f>
        <v>8852545.99587972</v>
      </c>
      <c r="N1436" s="73" t="n">
        <f aca="false">M1436*(1+Rend_PG/4)*IF(N1415=1,(1-(Cap_PG*$X$15+(1-Cap_PG)*$X$16))*(1+0*$X$14),1)-N1440-N1456*IF((N1446+N1447)&gt;0,N1446/(N1446+N1447),0)+N1461/2-N1459*IF((M1434+M1435+M1436+M1437)&gt;0,M1436/(M1434+M1435+M1436+M1437),0)</f>
        <v>8591617.20265116</v>
      </c>
      <c r="O1436" s="73" t="n">
        <f aca="false">N1436*(1+Rend_PG/4)*IF(O1415=1,(1-(Cap_PG*$X$15+(1-Cap_PG)*$X$16))*(1+0*$X$14),1)-O1440-O1456*IF((O1446+O1447)&gt;0,O1446/(O1446+O1447),0)+O1461/2-O1459*IF((N1434+N1435+N1436+N1437)&gt;0,N1436/(N1434+N1435+N1436+N1437),0)</f>
        <v>8338379.28560302</v>
      </c>
    </row>
    <row r="1437" customFormat="false" ht="15" hidden="false" customHeight="false" outlineLevel="0" collapsed="false">
      <c r="B1437" s="65" t="s">
        <v>1038</v>
      </c>
      <c r="C1437" s="73" t="n">
        <f aca="false">AN_cible*Ws_ARES</f>
        <v>12250000</v>
      </c>
      <c r="D1437" s="73" t="n">
        <f aca="false">C1437*(1+Rend_ARES/4)*IF(D1415=1,(1-(Cap_ARES*$X$15+(1-Cap_ARES)*$X$16))*(1+0*$X$14),1)-D1441-D1456*IF((D1446+D1447)&gt;0,D1447/(D1446+D1447),0)/(1-IF(D1415&lt;=Deduc_trim,Deduc_ares,0))+D1461/2-D1459*IF((C1434+C1435+C1436+C1437)&gt;0,C1437/(C1434+C1435+C1436+C1437),0)</f>
        <v>11727537.5</v>
      </c>
      <c r="E1437" s="73" t="n">
        <f aca="false">D1437*(1+Rend_ARES/4)*IF(E1415=1,(1-(Cap_ARES*$X$15+(1-Cap_ARES)*$X$16))*(1+0*$X$14),1)-E1441-E1456*IF((E1446+E1447)&gt;0,E1447/(E1446+E1447),0)/(1-IF(E1415&lt;=Deduc_trim,Deduc_ares,0))+E1461/2-E1459*IF((D1434+D1435+D1436+D1437)&gt;0,D1437/(D1434+D1435+D1436+D1437),0)</f>
        <v>11227358.025625</v>
      </c>
      <c r="F1437" s="73" t="n">
        <f aca="false">E1437*(1+Rend_ARES/4)*IF(F1415=1,(1-(Cap_ARES*$X$15+(1-Cap_ARES)*$X$16))*(1+0*$X$14),1)-F1441-F1456*IF((F1446+F1447)&gt;0,F1447/(F1446+F1447),0)/(1-IF(F1415&lt;=Deduc_trim,Deduc_ares,0))+F1461/2-F1459*IF((E1434+E1435+E1436+E1437)&gt;0,E1437/(E1434+E1435+E1436+E1437),0)</f>
        <v>10748511.2058321</v>
      </c>
      <c r="G1437" s="73" t="n">
        <f aca="false">F1437*(1+Rend_ARES/4)*IF(G1415=1,(1-(Cap_ARES*$X$15+(1-Cap_ARES)*$X$16))*(1+0*$X$14),1)-G1441-G1456*IF((G1446+G1447)&gt;0,G1447/(G1446+G1447),0)/(1-IF(G1415&lt;=Deduc_trim,Deduc_ares,0))+G1461/2-G1459*IF((F1434+F1435+F1436+F1437)&gt;0,F1437/(F1434+F1435+F1436+F1437),0)</f>
        <v>10290087.2029034</v>
      </c>
      <c r="H1437" s="73" t="n">
        <f aca="false">G1437*(1+Rend_ARES/4)*IF(H1415=1,(1-(Cap_ARES*$X$15+(1-Cap_ARES)*$X$16))*(1+0*$X$14),1)-H1441-H1456*IF((H1446+H1447)&gt;0,H1447/(H1446+H1447),0)/(1-IF(H1415&lt;=Deduc_trim,Deduc_ares,0))+H1461/2-H1459*IF((G1434+G1435+G1436+G1437)&gt;0,G1437/(G1434+G1435+G1436+G1437),0)</f>
        <v>9851214.98369952</v>
      </c>
      <c r="I1437" s="73" t="n">
        <f aca="false">H1437*(1+Rend_ARES/4)*IF(I1415=1,(1-(Cap_ARES*$X$15+(1-Cap_ARES)*$X$16))*(1+0*$X$14),1)-I1441-I1456*IF((I1446+I1447)&gt;0,I1447/(I1446+I1447),0)/(1-IF(I1415&lt;=Deduc_trim,Deduc_ares,0))+I1461/2-I1459*IF((H1434+H1435+H1436+H1437)&gt;0,H1437/(H1434+H1435+H1436+H1437),0)</f>
        <v>9431060.66464474</v>
      </c>
      <c r="J1437" s="73" t="n">
        <f aca="false">I1437*(1+Rend_ARES/4)*IF(J1415=1,(1-(Cap_ARES*$X$15+(1-Cap_ARES)*$X$16))*(1+0*$X$14),1)-J1441-J1456*IF((J1446+J1447)&gt;0,J1447/(J1446+J1447),0)/(1-IF(J1415&lt;=Deduc_trim,Deduc_ares,0))+J1461/2-J1459*IF((I1434+I1435+I1436+I1437)&gt;0,I1437/(I1434+I1435+I1436+I1437),0)</f>
        <v>9028825.92729764</v>
      </c>
      <c r="K1437" s="73" t="n">
        <f aca="false">J1437*(1+Rend_ARES/4)*IF(K1415=1,(1-(Cap_ARES*$X$15+(1-Cap_ARES)*$X$16))*(1+0*$X$14),1)-K1441-K1456*IF((K1446+K1447)&gt;0,K1447/(K1446+K1447),0)/(1-IF(K1415&lt;=Deduc_trim,Deduc_ares,0))+K1461/2-K1459*IF((J1434+J1435+J1436+J1437)&gt;0,J1437/(J1434+J1435+J1436+J1437),0)</f>
        <v>8643746.5014984</v>
      </c>
      <c r="L1437" s="73" t="n">
        <f aca="false">K1437*(1+Rend_ARES/4)*IF(L1415=1,(1-(Cap_ARES*$X$15+(1-Cap_ARES)*$X$16))*(1+0*$X$14),1)-L1441-L1456*IF((L1446+L1447)&gt;0,L1447/(L1446+L1447),0)/(1-IF(L1415&lt;=Deduc_trim,Deduc_ares,0))+L1461/2-L1459*IF((K1434+K1435+K1436+K1437)&gt;0,K1437/(K1434+K1435+K1436+K1437),0)</f>
        <v>8090946.86549423</v>
      </c>
      <c r="M1437" s="73" t="n">
        <f aca="false">L1437*(1+Rend_ARES/4)*IF(M1415=1,(1-(Cap_ARES*$X$15+(1-Cap_ARES)*$X$16))*(1+0*$X$14),1)-M1441-M1456*IF((M1446+M1447)&gt;0,M1447/(M1446+M1447),0)/(1-IF(M1415&lt;=Deduc_trim,Deduc_ares,0))+M1461/2-M1459*IF((L1434+L1435+L1436+L1437)&gt;0,L1437/(L1434+L1435+L1436+L1437),0)</f>
        <v>7718866.98560002</v>
      </c>
      <c r="N1437" s="73" t="n">
        <f aca="false">M1437*(1+Rend_ARES/4)*IF(N1415=1,(1-(Cap_ARES*$X$15+(1-Cap_ARES)*$X$16))*(1+0*$X$14),1)-N1441-N1456*IF((N1446+N1447)&gt;0,N1447/(N1446+N1447),0)/(1-IF(N1415&lt;=Deduc_trim,Deduc_ares,0))+N1461/2-N1459*IF((M1434+M1435+M1436+M1437)&gt;0,M1437/(M1434+M1435+M1436+M1437),0)</f>
        <v>7389657.30866418</v>
      </c>
      <c r="O1437" s="73" t="n">
        <f aca="false">N1437*(1+Rend_ARES/4)*IF(O1415=1,(1-(Cap_ARES*$X$15+(1-Cap_ARES)*$X$16))*(1+0*$X$14),1)-O1441-O1456*IF((O1446+O1447)&gt;0,O1447/(O1446+O1447),0)/(1-IF(O1415&lt;=Deduc_trim,Deduc_ares,0))+O1461/2-O1459*IF((N1434+N1435+N1436+N1437)&gt;0,N1437/(N1434+N1435+N1436+N1437),0)</f>
        <v>7074488.42444965</v>
      </c>
    </row>
    <row r="1438" customFormat="false" ht="15" hidden="false" customHeight="false" outlineLevel="0" collapsed="false">
      <c r="B1438" s="65" t="s">
        <v>1039</v>
      </c>
      <c r="C1438" s="25"/>
      <c r="D1438" s="73" t="n">
        <f aca="false">C1434*Dist_MAPIF/4*IF(D1415&lt;=$X$11,0,$X$10)</f>
        <v>187500</v>
      </c>
      <c r="E1438" s="73" t="n">
        <f aca="false">D1434*Dist_MAPIF/4*IF(E1415&lt;=$X$11,0,$X$10)</f>
        <v>208635.9375</v>
      </c>
      <c r="F1438" s="73" t="n">
        <f aca="false">E1434*Dist_MAPIF/4*IF(F1415&lt;=$X$11,0,$X$10)</f>
        <v>229935.150117188</v>
      </c>
      <c r="G1438" s="73" t="n">
        <f aca="false">F1434*Dist_MAPIF/4*IF(G1415&lt;=$X$11,0,$X$10)</f>
        <v>251398.899151843</v>
      </c>
      <c r="H1438" s="73" t="n">
        <f aca="false">G1434*Dist_MAPIF/4*IF(H1415&lt;=$X$11,0,$X$10)</f>
        <v>273028.455647791</v>
      </c>
      <c r="I1438" s="73" t="n">
        <f aca="false">H1434*Dist_MAPIF/4*IF(I1415&lt;=$X$11,0,$X$10)</f>
        <v>288262.60046767</v>
      </c>
      <c r="J1438" s="73" t="n">
        <f aca="false">I1434*Dist_MAPIF/4*IF(J1415&lt;=$X$11,0,$X$10)</f>
        <v>303614.429056283</v>
      </c>
      <c r="K1438" s="73" t="n">
        <f aca="false">J1434*Dist_MAPIF/4*IF(K1415&lt;=$X$11,0,$X$10)</f>
        <v>319084.850520743</v>
      </c>
      <c r="L1438" s="73" t="n">
        <f aca="false">K1434*Dist_MAPIF/4*IF(L1415&lt;=$X$11,0,$X$10)</f>
        <v>334674.780991015</v>
      </c>
      <c r="M1438" s="73" t="n">
        <f aca="false">L1434*Dist_MAPIF/4*IF(M1415&lt;=$X$11,0,$X$10)</f>
        <v>343255.33001128</v>
      </c>
      <c r="N1438" s="73" t="n">
        <f aca="false">M1434*Dist_MAPIF/4*IF(N1415&lt;=$X$11,0,$X$10)</f>
        <v>357886.470491319</v>
      </c>
      <c r="O1438" s="73" t="n">
        <f aca="false">N1434*Dist_MAPIF/4*IF(O1415&lt;=$X$11,0,$X$10)</f>
        <v>360651.143475864</v>
      </c>
    </row>
    <row r="1439" customFormat="false" ht="15" hidden="false" customHeight="false" outlineLevel="0" collapsed="false">
      <c r="B1439" s="65" t="s">
        <v>1040</v>
      </c>
      <c r="C1439" s="25"/>
      <c r="D1439" s="73" t="n">
        <f aca="false">C1435*Dist_MSIG/4*IF(D1415&lt;=$X$11,0,$X$10)</f>
        <v>96250</v>
      </c>
      <c r="E1439" s="73" t="n">
        <f aca="false">D1435*Dist_MSIG/4*IF(E1415&lt;=$X$11,0,$X$10)</f>
        <v>111969.15625</v>
      </c>
      <c r="F1439" s="73" t="n">
        <f aca="false">E1435*Dist_MSIG/4*IF(F1415&lt;=$X$11,0,$X$10)</f>
        <v>127754.725935156</v>
      </c>
      <c r="G1439" s="73" t="n">
        <f aca="false">F1435*Dist_MSIG/4*IF(G1415&lt;=$X$11,0,$X$10)</f>
        <v>143606.989652232</v>
      </c>
      <c r="H1439" s="73" t="n">
        <f aca="false">G1435*Dist_MSIG/4*IF(H1415&lt;=$X$11,0,$X$10)</f>
        <v>159526.229183513</v>
      </c>
      <c r="I1439" s="73" t="n">
        <f aca="false">H1435*Dist_MSIG/4*IF(I1415&lt;=$X$11,0,$X$10)</f>
        <v>170408.560835147</v>
      </c>
      <c r="J1439" s="73" t="n">
        <f aca="false">I1435*Dist_MSIG/4*IF(J1415&lt;=$X$11,0,$X$10)</f>
        <v>181336.870338009</v>
      </c>
      <c r="K1439" s="73" t="n">
        <f aca="false">J1435*Dist_MSIG/4*IF(K1415&lt;=$X$11,0,$X$10)</f>
        <v>192311.35194852</v>
      </c>
      <c r="L1439" s="73" t="n">
        <f aca="false">K1435*Dist_MSIG/4*IF(L1415&lt;=$X$11,0,$X$10)</f>
        <v>203332.200743836</v>
      </c>
      <c r="M1439" s="73" t="n">
        <f aca="false">L1435*Dist_MSIG/4*IF(M1415&lt;=$X$11,0,$X$10)</f>
        <v>210067.882882556</v>
      </c>
      <c r="N1439" s="73" t="n">
        <f aca="false">M1435*Dist_MSIG/4*IF(N1415&lt;=$X$11,0,$X$10)</f>
        <v>220462.717384977</v>
      </c>
      <c r="O1439" s="73" t="n">
        <f aca="false">N1435*Dist_MSIG/4*IF(O1415&lt;=$X$11,0,$X$10)</f>
        <v>221394.172365929</v>
      </c>
    </row>
    <row r="1440" customFormat="false" ht="15" hidden="false" customHeight="false" outlineLevel="0" collapsed="false">
      <c r="B1440" s="65" t="s">
        <v>1041</v>
      </c>
      <c r="C1440" s="25"/>
      <c r="D1440" s="73" t="n">
        <f aca="false">C1436*Dist_PG/4*IF(D1415&lt;=$X$11,0,$X$10)</f>
        <v>61250</v>
      </c>
      <c r="E1440" s="73" t="n">
        <f aca="false">D1436*Dist_PG/4*IF(E1415&lt;=$X$11,0,$X$10)</f>
        <v>59444.65625</v>
      </c>
      <c r="F1440" s="73" t="n">
        <f aca="false">E1436*Dist_PG/4*IF(F1415&lt;=$X$11,0,$X$10)</f>
        <v>57692.5250070313</v>
      </c>
      <c r="G1440" s="73" t="n">
        <f aca="false">F1436*Dist_PG/4*IF(G1415&lt;=$X$11,0,$X$10)</f>
        <v>55992.037832449</v>
      </c>
      <c r="H1440" s="73" t="n">
        <f aca="false">G1436*Dist_PG/4*IF(H1415&lt;=$X$11,0,$X$10)</f>
        <v>54341.6725173376</v>
      </c>
      <c r="I1440" s="73" t="n">
        <f aca="false">H1436*Dist_PG/4*IF(I1415&lt;=$X$11,0,$X$10)</f>
        <v>52739.9517198891</v>
      </c>
      <c r="J1440" s="73" t="n">
        <f aca="false">I1436*Dist_PG/4*IF(J1415&lt;=$X$11,0,$X$10)</f>
        <v>51185.4416429453</v>
      </c>
      <c r="K1440" s="73" t="n">
        <f aca="false">J1436*Dist_PG/4*IF(K1415&lt;=$X$11,0,$X$10)</f>
        <v>49676.7507505195</v>
      </c>
      <c r="L1440" s="73" t="n">
        <f aca="false">K1436*Dist_PG/4*IF(L1415&lt;=$X$11,0,$X$10)</f>
        <v>48212.528522148</v>
      </c>
      <c r="M1440" s="73" t="n">
        <f aca="false">L1436*Dist_PG/4*IF(M1415&lt;=$X$11,0,$X$10)</f>
        <v>45764.3586354566</v>
      </c>
      <c r="N1440" s="73" t="n">
        <f aca="false">M1436*Dist_PG/4*IF(N1415&lt;=$X$11,0,$X$10)</f>
        <v>44262.7299793986</v>
      </c>
      <c r="O1440" s="73" t="n">
        <f aca="false">N1436*Dist_PG/4*IF(O1415&lt;=$X$11,0,$X$10)</f>
        <v>42958.0860132558</v>
      </c>
    </row>
    <row r="1441" customFormat="false" ht="15" hidden="false" customHeight="false" outlineLevel="0" collapsed="false">
      <c r="B1441" s="65" t="s">
        <v>1042</v>
      </c>
      <c r="C1441" s="25"/>
      <c r="D1441" s="73" t="n">
        <f aca="false">C1437*Dist_ARES/4*IF(D1415&lt;=$X$11,0,$X$10)</f>
        <v>153125</v>
      </c>
      <c r="E1441" s="73" t="n">
        <f aca="false">D1437*Dist_ARES/4*IF(E1415&lt;=$X$11,0,$X$10)</f>
        <v>146594.21875</v>
      </c>
      <c r="F1441" s="73" t="n">
        <f aca="false">E1437*Dist_ARES/4*IF(F1415&lt;=$X$11,0,$X$10)</f>
        <v>140341.975320313</v>
      </c>
      <c r="G1441" s="73" t="n">
        <f aca="false">F1437*Dist_ARES/4*IF(G1415&lt;=$X$11,0,$X$10)</f>
        <v>134356.390072901</v>
      </c>
      <c r="H1441" s="73" t="n">
        <f aca="false">G1437*Dist_ARES/4*IF(H1415&lt;=$X$11,0,$X$10)</f>
        <v>128626.090036292</v>
      </c>
      <c r="I1441" s="73" t="n">
        <f aca="false">H1437*Dist_ARES/4*IF(I1415&lt;=$X$11,0,$X$10)</f>
        <v>123140.187296244</v>
      </c>
      <c r="J1441" s="73" t="n">
        <f aca="false">I1437*Dist_ARES/4*IF(J1415&lt;=$X$11,0,$X$10)</f>
        <v>117888.258308059</v>
      </c>
      <c r="K1441" s="73" t="n">
        <f aca="false">J1437*Dist_ARES/4*IF(K1415&lt;=$X$11,0,$X$10)</f>
        <v>112860.324091221</v>
      </c>
      <c r="L1441" s="73" t="n">
        <f aca="false">K1437*Dist_ARES/4*IF(L1415&lt;=$X$11,0,$X$10)</f>
        <v>108046.83126873</v>
      </c>
      <c r="M1441" s="73" t="n">
        <f aca="false">L1437*Dist_ARES/4*IF(M1415&lt;=$X$11,0,$X$10)</f>
        <v>101136.835818678</v>
      </c>
      <c r="N1441" s="73" t="n">
        <f aca="false">M1437*Dist_ARES/4*IF(N1415&lt;=$X$11,0,$X$10)</f>
        <v>96485.8373200003</v>
      </c>
      <c r="O1441" s="73" t="n">
        <f aca="false">N1437*Dist_ARES/4*IF(O1415&lt;=$X$11,0,$X$10)</f>
        <v>92370.7163583023</v>
      </c>
    </row>
    <row r="1442" customFormat="false" ht="15" hidden="false" customHeight="false" outlineLevel="0" collapsed="false">
      <c r="B1442" s="65" t="s">
        <v>1043</v>
      </c>
      <c r="C1442" s="73" t="n">
        <f aca="false">AN_cible*$X$12*Part_MAPIF_NA</f>
        <v>10500000</v>
      </c>
      <c r="D1442" s="73" t="n">
        <f aca="false">C1442*IF(D1415=1,1+$X$14,1)-D1444</f>
        <v>9187500</v>
      </c>
      <c r="E1442" s="73" t="n">
        <f aca="false">D1442*IF(E1415=1,1+$X$14,1)-E1444</f>
        <v>7875000</v>
      </c>
      <c r="F1442" s="73" t="n">
        <f aca="false">E1442*IF(F1415=1,1+$X$14,1)-F1444</f>
        <v>6562500</v>
      </c>
      <c r="G1442" s="73" t="n">
        <f aca="false">F1442*IF(G1415=1,1+$X$14,1)-G1444</f>
        <v>5250000</v>
      </c>
      <c r="H1442" s="73" t="n">
        <f aca="false">G1442*IF(H1415=1,1+$X$14,1)-H1444</f>
        <v>4375000</v>
      </c>
      <c r="I1442" s="73" t="n">
        <f aca="false">H1442*IF(I1415=1,1+$X$14,1)-I1444</f>
        <v>3500000</v>
      </c>
      <c r="J1442" s="73" t="n">
        <f aca="false">I1442*IF(J1415=1,1+$X$14,1)-J1444</f>
        <v>2625000</v>
      </c>
      <c r="K1442" s="73" t="n">
        <f aca="false">J1442*IF(K1415=1,1+$X$14,1)-K1444</f>
        <v>1750000</v>
      </c>
      <c r="L1442" s="73" t="n">
        <f aca="false">K1442*IF(L1415=1,1+$X$14,1)-L1444</f>
        <v>875000</v>
      </c>
      <c r="M1442" s="73" t="n">
        <f aca="false">L1442*IF(M1415=1,1+$X$14,1)-M1444</f>
        <v>0</v>
      </c>
      <c r="N1442" s="73" t="n">
        <f aca="false">M1442*IF(N1415=1,1+$X$14,1)-N1444</f>
        <v>0</v>
      </c>
      <c r="O1442" s="73" t="n">
        <f aca="false">N1442*IF(O1415=1,1+$X$14,1)-O1444</f>
        <v>0</v>
      </c>
    </row>
    <row r="1443" customFormat="false" ht="15" hidden="false" customHeight="false" outlineLevel="0" collapsed="false">
      <c r="B1443" s="65" t="s">
        <v>1044</v>
      </c>
      <c r="C1443" s="73" t="n">
        <f aca="false">AN_cible*$X$12*(1-Part_MAPIF_NA)</f>
        <v>7000000</v>
      </c>
      <c r="D1443" s="73" t="n">
        <f aca="false">C1443*IF(D1415=1,1+MSIG_USD*$X$14,1)-D1445</f>
        <v>6125000</v>
      </c>
      <c r="E1443" s="73" t="n">
        <f aca="false">D1443*IF(E1415=1,1+MSIG_USD*$X$14,1)-E1445</f>
        <v>5250000</v>
      </c>
      <c r="F1443" s="73" t="n">
        <f aca="false">E1443*IF(F1415=1,1+MSIG_USD*$X$14,1)-F1445</f>
        <v>4375000</v>
      </c>
      <c r="G1443" s="73" t="n">
        <f aca="false">F1443*IF(G1415=1,1+MSIG_USD*$X$14,1)-G1445</f>
        <v>3500000</v>
      </c>
      <c r="H1443" s="73" t="n">
        <f aca="false">G1443*IF(H1415=1,1+MSIG_USD*$X$14,1)-H1445</f>
        <v>2916666.66666667</v>
      </c>
      <c r="I1443" s="73" t="n">
        <f aca="false">H1443*IF(I1415=1,1+MSIG_USD*$X$14,1)-I1445</f>
        <v>2333333.33333333</v>
      </c>
      <c r="J1443" s="73" t="n">
        <f aca="false">I1443*IF(J1415=1,1+MSIG_USD*$X$14,1)-J1445</f>
        <v>1750000</v>
      </c>
      <c r="K1443" s="73" t="n">
        <f aca="false">J1443*IF(K1415=1,1+MSIG_USD*$X$14,1)-K1445</f>
        <v>1166666.66666667</v>
      </c>
      <c r="L1443" s="73" t="n">
        <f aca="false">K1443*IF(L1415=1,1+MSIG_USD*$X$14,1)-L1445</f>
        <v>583333.333333334</v>
      </c>
      <c r="M1443" s="73" t="n">
        <f aca="false">L1443*IF(M1415=1,1+MSIG_USD*$X$14,1)-M1445</f>
        <v>0</v>
      </c>
      <c r="N1443" s="73" t="n">
        <f aca="false">M1443*IF(N1415=1,1+MSIG_USD*$X$14,1)-N1445</f>
        <v>0</v>
      </c>
      <c r="O1443" s="73" t="n">
        <f aca="false">N1443*IF(O1415=1,1+MSIG_USD*$X$14,1)-O1445</f>
        <v>0</v>
      </c>
    </row>
    <row r="1444" customFormat="false" ht="15" hidden="false" customHeight="false" outlineLevel="0" collapsed="false">
      <c r="B1444" s="65" t="s">
        <v>1045</v>
      </c>
      <c r="C1444" s="25"/>
      <c r="D1444" s="73" t="n">
        <f aca="false">MIN(C1442*IF(D1415=1,1+$X$14,1),$C1442*(1+$X$14)*IF(D1415&lt;=4,$X$13/4,Appels_base))</f>
        <v>1312500</v>
      </c>
      <c r="E1444" s="73" t="n">
        <f aca="false">MIN(D1442*IF(E1415=1,1+$X$14,1),$C1442*(1+$X$14)*IF(E1415&lt;=4,$X$13/4,Appels_base))</f>
        <v>1312500</v>
      </c>
      <c r="F1444" s="73" t="n">
        <f aca="false">MIN(E1442*IF(F1415=1,1+$X$14,1),$C1442*(1+$X$14)*IF(F1415&lt;=4,$X$13/4,Appels_base))</f>
        <v>1312500</v>
      </c>
      <c r="G1444" s="73" t="n">
        <f aca="false">MIN(F1442*IF(G1415=1,1+$X$14,1),$C1442*(1+$X$14)*IF(G1415&lt;=4,$X$13/4,Appels_base))</f>
        <v>1312500</v>
      </c>
      <c r="H1444" s="73" t="n">
        <f aca="false">MIN(G1442*IF(H1415=1,1+$X$14,1),$C1442*(1+$X$14)*IF(H1415&lt;=4,$X$13/4,Appels_base))</f>
        <v>875000</v>
      </c>
      <c r="I1444" s="73" t="n">
        <f aca="false">MIN(H1442*IF(I1415=1,1+$X$14,1),$C1442*(1+$X$14)*IF(I1415&lt;=4,$X$13/4,Appels_base))</f>
        <v>875000</v>
      </c>
      <c r="J1444" s="73" t="n">
        <f aca="false">MIN(I1442*IF(J1415=1,1+$X$14,1),$C1442*(1+$X$14)*IF(J1415&lt;=4,$X$13/4,Appels_base))</f>
        <v>875000</v>
      </c>
      <c r="K1444" s="73" t="n">
        <f aca="false">MIN(J1442*IF(K1415=1,1+$X$14,1),$C1442*(1+$X$14)*IF(K1415&lt;=4,$X$13/4,Appels_base))</f>
        <v>875000</v>
      </c>
      <c r="L1444" s="73" t="n">
        <f aca="false">MIN(K1442*IF(L1415=1,1+$X$14,1),$C1442*(1+$X$14)*IF(L1415&lt;=4,$X$13/4,Appels_base))</f>
        <v>875000</v>
      </c>
      <c r="M1444" s="73" t="n">
        <f aca="false">MIN(L1442*IF(M1415=1,1+$X$14,1),$C1442*(1+$X$14)*IF(M1415&lt;=4,$X$13/4,Appels_base))</f>
        <v>875000</v>
      </c>
      <c r="N1444" s="73" t="n">
        <f aca="false">MIN(M1442*IF(N1415=1,1+$X$14,1),$C1442*(1+$X$14)*IF(N1415&lt;=4,$X$13/4,Appels_base))</f>
        <v>0</v>
      </c>
      <c r="O1444" s="73" t="n">
        <f aca="false">MIN(N1442*IF(O1415=1,1+$X$14,1),$C1442*(1+$X$14)*IF(O1415&lt;=4,$X$13/4,Appels_base))</f>
        <v>0</v>
      </c>
    </row>
    <row r="1445" customFormat="false" ht="15" hidden="false" customHeight="false" outlineLevel="0" collapsed="false">
      <c r="B1445" s="65" t="s">
        <v>1046</v>
      </c>
      <c r="C1445" s="25"/>
      <c r="D1445" s="73" t="n">
        <f aca="false">MIN(C1443*IF(D1415=1,1+MSIG_USD*$X$14,1),$C1443*(1+MSIG_USD*$X$14)*IF(D1415&lt;=4,$X$13/4,Appels_base))</f>
        <v>875000</v>
      </c>
      <c r="E1445" s="73" t="n">
        <f aca="false">MIN(D1443*IF(E1415=1,1+MSIG_USD*$X$14,1),$C1443*(1+MSIG_USD*$X$14)*IF(E1415&lt;=4,$X$13/4,Appels_base))</f>
        <v>875000</v>
      </c>
      <c r="F1445" s="73" t="n">
        <f aca="false">MIN(E1443*IF(F1415=1,1+MSIG_USD*$X$14,1),$C1443*(1+MSIG_USD*$X$14)*IF(F1415&lt;=4,$X$13/4,Appels_base))</f>
        <v>875000</v>
      </c>
      <c r="G1445" s="73" t="n">
        <f aca="false">MIN(F1443*IF(G1415=1,1+MSIG_USD*$X$14,1),$C1443*(1+MSIG_USD*$X$14)*IF(G1415&lt;=4,$X$13/4,Appels_base))</f>
        <v>875000</v>
      </c>
      <c r="H1445" s="73" t="n">
        <f aca="false">MIN(G1443*IF(H1415=1,1+MSIG_USD*$X$14,1),$C1443*(1+MSIG_USD*$X$14)*IF(H1415&lt;=4,$X$13/4,Appels_base))</f>
        <v>583333.333333333</v>
      </c>
      <c r="I1445" s="73" t="n">
        <f aca="false">MIN(H1443*IF(I1415=1,1+MSIG_USD*$X$14,1),$C1443*(1+MSIG_USD*$X$14)*IF(I1415&lt;=4,$X$13/4,Appels_base))</f>
        <v>583333.333333333</v>
      </c>
      <c r="J1445" s="73" t="n">
        <f aca="false">MIN(I1443*IF(J1415=1,1+MSIG_USD*$X$14,1),$C1443*(1+MSIG_USD*$X$14)*IF(J1415&lt;=4,$X$13/4,Appels_base))</f>
        <v>583333.333333333</v>
      </c>
      <c r="K1445" s="73" t="n">
        <f aca="false">MIN(J1443*IF(K1415=1,1+MSIG_USD*$X$14,1),$C1443*(1+MSIG_USD*$X$14)*IF(K1415&lt;=4,$X$13/4,Appels_base))</f>
        <v>583333.333333333</v>
      </c>
      <c r="L1445" s="73" t="n">
        <f aca="false">MIN(K1443*IF(L1415=1,1+MSIG_USD*$X$14,1),$C1443*(1+MSIG_USD*$X$14)*IF(L1415&lt;=4,$X$13/4,Appels_base))</f>
        <v>583333.333333333</v>
      </c>
      <c r="M1445" s="73" t="n">
        <f aca="false">MIN(L1443*IF(M1415=1,1+MSIG_USD*$X$14,1),$C1443*(1+MSIG_USD*$X$14)*IF(M1415&lt;=4,$X$13/4,Appels_base))</f>
        <v>583333.333333333</v>
      </c>
      <c r="N1445" s="73" t="n">
        <f aca="false">MIN(M1443*IF(N1415=1,1+MSIG_USD*$X$14,1),$C1443*(1+MSIG_USD*$X$14)*IF(N1415&lt;=4,$X$13/4,Appels_base))</f>
        <v>0</v>
      </c>
      <c r="O1445" s="73" t="n">
        <f aca="false">MIN(N1443*IF(O1415=1,1+MSIG_USD*$X$14,1),$C1443*(1+MSIG_USD*$X$14)*IF(O1415&lt;=4,$X$13/4,Appels_base))</f>
        <v>0</v>
      </c>
    </row>
    <row r="1446" customFormat="false" ht="15" hidden="false" customHeight="false" outlineLevel="0" collapsed="false">
      <c r="B1446" s="65" t="s">
        <v>1047</v>
      </c>
      <c r="C1446" s="25"/>
      <c r="D1446" s="73" t="n">
        <f aca="false">C1436*Capacite_evg*IF(D1415&lt;=4,$X$17,$X$18)</f>
        <v>612500</v>
      </c>
      <c r="E1446" s="73" t="n">
        <f aca="false">D1436*Capacite_evg*IF(E1415&lt;=4,$X$17,$X$18)</f>
        <v>594446.5625</v>
      </c>
      <c r="F1446" s="73" t="n">
        <f aca="false">E1436*Capacite_evg*IF(F1415&lt;=4,$X$17,$X$18)</f>
        <v>576925.250070313</v>
      </c>
      <c r="G1446" s="73" t="n">
        <f aca="false">F1436*Capacite_evg*IF(G1415&lt;=4,$X$17,$X$18)</f>
        <v>559920.37832449</v>
      </c>
      <c r="H1446" s="73" t="n">
        <f aca="false">G1436*Capacite_evg*IF(H1415&lt;=4,$X$17,$X$18)</f>
        <v>543416.725173376</v>
      </c>
      <c r="I1446" s="73" t="n">
        <f aca="false">H1436*Capacite_evg*IF(I1415&lt;=4,$X$17,$X$18)</f>
        <v>527399.517198891</v>
      </c>
      <c r="J1446" s="73" t="n">
        <f aca="false">I1436*Capacite_evg*IF(J1415&lt;=4,$X$17,$X$18)</f>
        <v>511854.416429453</v>
      </c>
      <c r="K1446" s="73" t="n">
        <f aca="false">J1436*Capacite_evg*IF(K1415&lt;=4,$X$17,$X$18)</f>
        <v>496767.507505195</v>
      </c>
      <c r="L1446" s="73" t="n">
        <f aca="false">K1436*Capacite_evg*IF(L1415&lt;=4,$X$17,$X$18)</f>
        <v>482125.28522148</v>
      </c>
      <c r="M1446" s="73" t="n">
        <f aca="false">L1436*Capacite_evg*IF(M1415&lt;=4,$X$17,$X$18)</f>
        <v>457643.586354566</v>
      </c>
      <c r="N1446" s="73" t="n">
        <f aca="false">M1436*Capacite_evg*IF(N1415&lt;=4,$X$17,$X$18)</f>
        <v>442627.299793986</v>
      </c>
      <c r="O1446" s="73" t="n">
        <f aca="false">N1436*Capacite_evg*IF(O1415&lt;=4,$X$17,$X$18)</f>
        <v>429580.860132558</v>
      </c>
    </row>
    <row r="1447" customFormat="false" ht="15" hidden="false" customHeight="false" outlineLevel="0" collapsed="false">
      <c r="B1447" s="65" t="s">
        <v>1048</v>
      </c>
      <c r="C1447" s="25"/>
      <c r="D1447" s="73" t="n">
        <f aca="false">C1437*Capacite_evg*IF(D1415&lt;=4,$X$17,$X$19)*(1-IF(D1415&lt;=Deduc_trim,Deduc_ares,0))</f>
        <v>581875</v>
      </c>
      <c r="E1447" s="73" t="n">
        <f aca="false">D1437*Capacite_evg*IF(E1415&lt;=4,$X$17,$X$19)*(1-IF(E1415&lt;=Deduc_trim,Deduc_ares,0))</f>
        <v>557058.03125</v>
      </c>
      <c r="F1447" s="73" t="n">
        <f aca="false">E1437*Capacite_evg*IF(F1415&lt;=4,$X$17,$X$19)*(1-IF(F1415&lt;=Deduc_trim,Deduc_ares,0))</f>
        <v>533299.506217187</v>
      </c>
      <c r="G1447" s="73" t="n">
        <f aca="false">F1437*Capacite_evg*IF(G1415&lt;=4,$X$17,$X$19)*(1-IF(G1415&lt;=Deduc_trim,Deduc_ares,0))</f>
        <v>510554.282277024</v>
      </c>
      <c r="H1447" s="73" t="n">
        <f aca="false">G1437*Capacite_evg*IF(H1415&lt;=4,$X$17,$X$19)*(1-IF(H1415&lt;=Deduc_trim,Deduc_ares,0))</f>
        <v>514504.360145168</v>
      </c>
      <c r="I1447" s="73" t="n">
        <f aca="false">H1437*Capacite_evg*IF(I1415&lt;=4,$X$17,$X$19)*(1-IF(I1415&lt;=Deduc_trim,Deduc_ares,0))</f>
        <v>492560.749184976</v>
      </c>
      <c r="J1447" s="73" t="n">
        <f aca="false">I1437*Capacite_evg*IF(J1415&lt;=4,$X$17,$X$19)*(1-IF(J1415&lt;=Deduc_trim,Deduc_ares,0))</f>
        <v>471553.033232237</v>
      </c>
      <c r="K1447" s="73" t="n">
        <f aca="false">J1437*Capacite_evg*IF(K1415&lt;=4,$X$17,$X$19)*(1-IF(K1415&lt;=Deduc_trim,Deduc_ares,0))</f>
        <v>451441.296364882</v>
      </c>
      <c r="L1447" s="73" t="n">
        <f aca="false">K1437*Capacite_evg*IF(L1415&lt;=4,$X$17,$X$19)*(1-IF(L1415&lt;=Deduc_trim,Deduc_ares,0))</f>
        <v>432187.32507492</v>
      </c>
      <c r="M1447" s="73" t="n">
        <f aca="false">L1437*Capacite_evg*IF(M1415&lt;=4,$X$17,$X$19)*(1-IF(M1415&lt;=Deduc_trim,Deduc_ares,0))</f>
        <v>404547.343274711</v>
      </c>
      <c r="N1447" s="73" t="n">
        <f aca="false">M1437*Capacite_evg*IF(N1415&lt;=4,$X$17,$X$19)*(1-IF(N1415&lt;=Deduc_trim,Deduc_ares,0))</f>
        <v>385943.349280001</v>
      </c>
      <c r="O1447" s="73" t="n">
        <f aca="false">N1437*Capacite_evg*IF(O1415&lt;=4,$X$17,$X$19)*(1-IF(O1415&lt;=Deduc_trim,Deduc_ares,0))</f>
        <v>369482.865433209</v>
      </c>
    </row>
    <row r="1448" customFormat="false" ht="15" hidden="false" customHeight="false" outlineLevel="0" collapsed="false">
      <c r="B1448" s="65" t="s">
        <v>1049</v>
      </c>
      <c r="C1448" s="25"/>
      <c r="D1448" s="73" t="n">
        <f aca="false">C1462</f>
        <v>7500000</v>
      </c>
      <c r="E1448" s="73" t="n">
        <f aca="false">D1462</f>
        <v>5676875</v>
      </c>
      <c r="F1448" s="73" t="n">
        <f aca="false">E1462</f>
        <v>4955000.8125</v>
      </c>
      <c r="G1448" s="73" t="n">
        <f aca="false">F1462</f>
        <v>3205665.10272578</v>
      </c>
      <c r="H1448" s="73" t="n">
        <f aca="false">G1462</f>
        <v>2443436.36603084</v>
      </c>
      <c r="I1448" s="73" t="n">
        <f aca="false">H1462</f>
        <v>1400829.55167968</v>
      </c>
      <c r="J1448" s="73" t="n">
        <f aca="false">I1462</f>
        <v>1351987.10162253</v>
      </c>
      <c r="K1448" s="73" t="n">
        <f aca="false">J1462</f>
        <v>248956.013971341</v>
      </c>
      <c r="L1448" s="73" t="n">
        <f aca="false">K1462</f>
        <v>156947.359052576</v>
      </c>
      <c r="M1448" s="73" t="n">
        <f aca="false">L1462</f>
        <v>0</v>
      </c>
      <c r="N1448" s="73" t="n">
        <f aca="false">M1462</f>
        <v>0</v>
      </c>
      <c r="O1448" s="73" t="n">
        <f aca="false">N1462</f>
        <v>221958.889772428</v>
      </c>
    </row>
    <row r="1449" customFormat="false" ht="15" hidden="false" customHeight="false" outlineLevel="0" collapsed="false">
      <c r="B1449" s="65" t="s">
        <v>1050</v>
      </c>
      <c r="C1449" s="25"/>
      <c r="D1449" s="73" t="n">
        <f aca="false">D1448*Taux_treso/4</f>
        <v>46875</v>
      </c>
      <c r="E1449" s="73" t="n">
        <f aca="false">E1448*Taux_treso/4</f>
        <v>35480.46875</v>
      </c>
      <c r="F1449" s="73" t="n">
        <f aca="false">F1448*Taux_treso/4</f>
        <v>30968.755078125</v>
      </c>
      <c r="G1449" s="73" t="n">
        <f aca="false">G1448*Taux_treso/4</f>
        <v>20035.4068920361</v>
      </c>
      <c r="H1449" s="73" t="n">
        <f aca="false">H1448*Taux_treso/4</f>
        <v>15271.4772876927</v>
      </c>
      <c r="I1449" s="73" t="n">
        <f aca="false">I1448*Taux_treso/4</f>
        <v>8755.18469799797</v>
      </c>
      <c r="J1449" s="73" t="n">
        <f aca="false">J1448*Taux_treso/4</f>
        <v>8449.91938514084</v>
      </c>
      <c r="K1449" s="73" t="n">
        <f aca="false">K1448*Taux_treso/4</f>
        <v>1555.97508732088</v>
      </c>
      <c r="L1449" s="73" t="n">
        <f aca="false">L1448*Taux_treso/4</f>
        <v>980.920994078602</v>
      </c>
      <c r="M1449" s="73" t="n">
        <f aca="false">M1448*Taux_treso/4</f>
        <v>0</v>
      </c>
      <c r="N1449" s="73" t="n">
        <f aca="false">N1448*Taux_treso/4</f>
        <v>0</v>
      </c>
      <c r="O1449" s="73" t="n">
        <f aca="false">O1448*Taux_treso/4</f>
        <v>1387.24306107767</v>
      </c>
    </row>
    <row r="1450" customFormat="false" ht="15" hidden="false" customHeight="false" outlineLevel="0" collapsed="false">
      <c r="B1450" s="65" t="s">
        <v>1051</v>
      </c>
      <c r="C1450" s="25"/>
      <c r="D1450" s="73" t="n">
        <f aca="false">SUM(D1438:D1441)</f>
        <v>498125</v>
      </c>
      <c r="E1450" s="73" t="n">
        <f aca="false">SUM(E1438:E1441)</f>
        <v>526643.96875</v>
      </c>
      <c r="F1450" s="73" t="n">
        <f aca="false">SUM(F1438:F1441)</f>
        <v>555724.376379688</v>
      </c>
      <c r="G1450" s="73" t="n">
        <f aca="false">SUM(G1438:G1441)</f>
        <v>585354.316709425</v>
      </c>
      <c r="H1450" s="73" t="n">
        <f aca="false">SUM(H1438:H1441)</f>
        <v>615522.447384933</v>
      </c>
      <c r="I1450" s="73" t="n">
        <f aca="false">SUM(I1438:I1441)</f>
        <v>634551.30031895</v>
      </c>
      <c r="J1450" s="73" t="n">
        <f aca="false">SUM(J1438:J1441)</f>
        <v>654024.999345296</v>
      </c>
      <c r="K1450" s="73" t="n">
        <f aca="false">SUM(K1438:K1441)</f>
        <v>673933.277311003</v>
      </c>
      <c r="L1450" s="73" t="n">
        <f aca="false">SUM(L1438:L1441)</f>
        <v>694266.341525729</v>
      </c>
      <c r="M1450" s="73" t="n">
        <f aca="false">SUM(M1438:M1441)</f>
        <v>700224.407347971</v>
      </c>
      <c r="N1450" s="73" t="n">
        <f aca="false">SUM(N1438:N1441)</f>
        <v>719097.755175695</v>
      </c>
      <c r="O1450" s="73" t="n">
        <f aca="false">SUM(O1438:O1441)</f>
        <v>717374.118213351</v>
      </c>
    </row>
    <row r="1451" customFormat="false" ht="15" hidden="false" customHeight="false" outlineLevel="0" collapsed="false">
      <c r="B1451" s="65" t="s">
        <v>1052</v>
      </c>
      <c r="C1451" s="25"/>
      <c r="D1451" s="73" t="n">
        <f aca="false">IF(AND(Distrib_tension=1,OR(D1423&gt;0.000001,C1465&lt;Liq_min,C1429=1)),0,MIN(Dist_porteurs/4*Part_d*D1420,D1450))</f>
        <v>125000</v>
      </c>
      <c r="E1451" s="73" t="n">
        <f aca="false">IF(AND(Distrib_tension=1,OR(E1423&gt;0.000001,D1465&lt;Liq_min,D1429=1)),0,MIN(Dist_porteurs/4*Part_d*E1420,E1450))</f>
        <v>0</v>
      </c>
      <c r="F1451" s="73" t="n">
        <f aca="false">IF(AND(Distrib_tension=1,OR(F1423&gt;0.000001,E1465&lt;Liq_min,E1429=1)),0,MIN(Dist_porteurs/4*Part_d*F1420,F1450))</f>
        <v>0</v>
      </c>
      <c r="G1451" s="73" t="n">
        <f aca="false">IF(AND(Distrib_tension=1,OR(G1423&gt;0.000001,F1465&lt;Liq_min,F1429=1)),0,MIN(Dist_porteurs/4*Part_d*G1420,G1450))</f>
        <v>0</v>
      </c>
      <c r="H1451" s="73" t="n">
        <f aca="false">IF(AND(Distrib_tension=1,OR(H1423&gt;0.000001,G1465&lt;Liq_min,G1429=1)),0,MIN(Dist_porteurs/4*Part_d*H1420,H1450))</f>
        <v>0</v>
      </c>
      <c r="I1451" s="73" t="n">
        <f aca="false">IF(AND(Distrib_tension=1,OR(I1423&gt;0.000001,H1465&lt;Liq_min,H1429=1)),0,MIN(Dist_porteurs/4*Part_d*I1420,I1450))</f>
        <v>0</v>
      </c>
      <c r="J1451" s="73" t="n">
        <f aca="false">IF(AND(Distrib_tension=1,OR(J1423&gt;0.000001,I1465&lt;Liq_min,I1429=1)),0,MIN(Dist_porteurs/4*Part_d*J1420,J1450))</f>
        <v>0</v>
      </c>
      <c r="K1451" s="73" t="n">
        <f aca="false">IF(AND(Distrib_tension=1,OR(K1423&gt;0.000001,J1465&lt;Liq_min,J1429=1)),0,MIN(Dist_porteurs/4*Part_d*K1420,K1450))</f>
        <v>0</v>
      </c>
      <c r="L1451" s="73" t="n">
        <f aca="false">IF(AND(Distrib_tension=1,OR(L1423&gt;0.000001,K1465&lt;Liq_min,K1429=1)),0,MIN(Dist_porteurs/4*Part_d*L1420,L1450))</f>
        <v>0</v>
      </c>
      <c r="M1451" s="73" t="n">
        <f aca="false">IF(AND(Distrib_tension=1,OR(M1423&gt;0.000001,L1465&lt;Liq_min,L1429=1)),0,MIN(Dist_porteurs/4*Part_d*M1420,M1450))</f>
        <v>0</v>
      </c>
      <c r="N1451" s="73" t="n">
        <f aca="false">IF(AND(Distrib_tension=1,OR(N1423&gt;0.000001,M1465&lt;Liq_min,M1429=1)),0,MIN(Dist_porteurs/4*Part_d*N1420,N1450))</f>
        <v>0</v>
      </c>
      <c r="O1451" s="73" t="n">
        <f aca="false">IF(AND(Distrib_tension=1,OR(O1423&gt;0.000001,N1465&lt;Liq_min,N1429=1)),0,MIN(Dist_porteurs/4*Part_d*O1420,O1450))</f>
        <v>0</v>
      </c>
    </row>
    <row r="1452" customFormat="false" ht="15" hidden="false" customHeight="false" outlineLevel="0" collapsed="false">
      <c r="B1452" s="65" t="s">
        <v>1053</v>
      </c>
      <c r="C1452" s="25"/>
      <c r="D1452" s="73" t="n">
        <f aca="false">D1444+D1445</f>
        <v>2187500</v>
      </c>
      <c r="E1452" s="73" t="n">
        <f aca="false">E1444+E1445</f>
        <v>2187500</v>
      </c>
      <c r="F1452" s="73" t="n">
        <f aca="false">F1444+F1445</f>
        <v>2187500</v>
      </c>
      <c r="G1452" s="73" t="n">
        <f aca="false">G1444+G1445</f>
        <v>2187500</v>
      </c>
      <c r="H1452" s="73" t="n">
        <f aca="false">H1444+H1445</f>
        <v>1458333.33333333</v>
      </c>
      <c r="I1452" s="73" t="n">
        <f aca="false">I1444+I1445</f>
        <v>1458333.33333333</v>
      </c>
      <c r="J1452" s="73" t="n">
        <f aca="false">J1444+J1445</f>
        <v>1458333.33333333</v>
      </c>
      <c r="K1452" s="73" t="n">
        <f aca="false">K1444+K1445</f>
        <v>1458333.33333333</v>
      </c>
      <c r="L1452" s="73" t="n">
        <f aca="false">L1444+L1445</f>
        <v>1458333.33333333</v>
      </c>
      <c r="M1452" s="73" t="n">
        <f aca="false">M1444+M1445</f>
        <v>1458333.33333333</v>
      </c>
      <c r="N1452" s="73" t="n">
        <f aca="false">N1444+N1445</f>
        <v>0</v>
      </c>
      <c r="O1452" s="73" t="n">
        <f aca="false">O1444+O1445</f>
        <v>0</v>
      </c>
    </row>
    <row r="1453" customFormat="false" ht="15" hidden="false" customHeight="false" outlineLevel="0" collapsed="false">
      <c r="B1453" s="65" t="s">
        <v>1054</v>
      </c>
      <c r="C1453" s="25"/>
      <c r="D1453" s="73" t="n">
        <f aca="false">D1420*Frais_an/4</f>
        <v>250000</v>
      </c>
      <c r="E1453" s="73" t="n">
        <f aca="false">E1420*Frais_an/4</f>
        <v>248003.21875</v>
      </c>
      <c r="F1453" s="73" t="n">
        <f aca="false">F1420*Frais_an/4</f>
        <v>251750.719503906</v>
      </c>
      <c r="G1453" s="73" t="n">
        <f aca="false">G1420*Frais_an/4</f>
        <v>250593.120897919</v>
      </c>
      <c r="H1453" s="73" t="n">
        <f aca="false">H1420*Frais_an/4</f>
        <v>254597.6982018</v>
      </c>
      <c r="I1453" s="73" t="n">
        <f aca="false">I1420*Frais_an/4</f>
        <v>253775.868124622</v>
      </c>
      <c r="J1453" s="73" t="n">
        <f aca="false">J1420*Frais_an/4</f>
        <v>258116.024541997</v>
      </c>
      <c r="K1453" s="73" t="n">
        <f aca="false">K1420*Frais_an/4</f>
        <v>257373.377853832</v>
      </c>
      <c r="L1453" s="73" t="n">
        <f aca="false">L1420*Frais_an/4</f>
        <v>261869.17265348</v>
      </c>
      <c r="M1453" s="73" t="n">
        <f aca="false">M1420*Frais_an/4</f>
        <v>260656.931409323</v>
      </c>
      <c r="N1453" s="73" t="n">
        <f aca="false">N1420*Frais_an/4</f>
        <v>265141.902895451</v>
      </c>
      <c r="O1453" s="73" t="n">
        <f aca="false">O1420*Frais_an/4</f>
        <v>264488.692649564</v>
      </c>
    </row>
    <row r="1454" customFormat="false" ht="15" hidden="false" customHeight="false" outlineLevel="0" collapsed="false">
      <c r="B1454" s="65" t="s">
        <v>1055</v>
      </c>
      <c r="C1454" s="25"/>
      <c r="D1454" s="73" t="n">
        <f aca="false">C1463*Taux_emprunt/4</f>
        <v>0</v>
      </c>
      <c r="E1454" s="73" t="n">
        <f aca="false">D1463*Taux_emprunt/4</f>
        <v>0</v>
      </c>
      <c r="F1454" s="73" t="n">
        <f aca="false">E1463*Taux_emprunt/4</f>
        <v>0</v>
      </c>
      <c r="G1454" s="73" t="n">
        <f aca="false">F1463*Taux_emprunt/4</f>
        <v>0</v>
      </c>
      <c r="H1454" s="73" t="n">
        <f aca="false">G1463*Taux_emprunt/4</f>
        <v>0</v>
      </c>
      <c r="I1454" s="73" t="n">
        <f aca="false">H1463*Taux_emprunt/4</f>
        <v>0</v>
      </c>
      <c r="J1454" s="73" t="n">
        <f aca="false">I1463*Taux_emprunt/4</f>
        <v>0</v>
      </c>
      <c r="K1454" s="73" t="n">
        <f aca="false">J1463*Taux_emprunt/4</f>
        <v>0</v>
      </c>
      <c r="L1454" s="73" t="n">
        <f aca="false">K1463*Taux_emprunt/4</f>
        <v>0</v>
      </c>
      <c r="M1454" s="73" t="n">
        <f aca="false">L1463*Taux_emprunt/4</f>
        <v>0</v>
      </c>
      <c r="N1454" s="73" t="n">
        <f aca="false">M1463*Taux_emprunt/4</f>
        <v>0</v>
      </c>
      <c r="O1454" s="73" t="n">
        <f aca="false">N1463*Taux_emprunt/4</f>
        <v>0</v>
      </c>
    </row>
    <row r="1455" customFormat="false" ht="15" hidden="false" customHeight="false" outlineLevel="0" collapsed="false">
      <c r="B1455" s="65" t="s">
        <v>1056</v>
      </c>
      <c r="C1455" s="25"/>
      <c r="D1455" s="73" t="n">
        <f aca="false">D1448+D1449+D1450-D1451+D1421-D1452-D1453-D1454</f>
        <v>5482500</v>
      </c>
      <c r="E1455" s="73" t="n">
        <f aca="false">E1448+E1449+E1450-E1451+E1421-E1452-E1453-E1454</f>
        <v>3803496.21875</v>
      </c>
      <c r="F1455" s="73" t="n">
        <f aca="false">F1448+F1449+F1450-F1451+F1421-F1452-F1453-F1454</f>
        <v>3102443.22445391</v>
      </c>
      <c r="G1455" s="73" t="n">
        <f aca="false">G1448+G1449+G1450-G1451+G1421-G1452-G1453-G1454</f>
        <v>1372961.70542932</v>
      </c>
      <c r="H1455" s="73" t="n">
        <f aca="false">H1448+H1449+H1450-H1451+H1421-H1452-H1453-H1454</f>
        <v>1361299.25916833</v>
      </c>
      <c r="I1455" s="73" t="n">
        <f aca="false">I1448+I1449+I1450-I1451+I1421-I1452-I1453-I1454</f>
        <v>332026.835238668</v>
      </c>
      <c r="J1455" s="73" t="n">
        <f aca="false">J1448+J1449+J1450-J1451+J1421-J1452-J1453-J1454</f>
        <v>298012.662477641</v>
      </c>
      <c r="K1455" s="73" t="n">
        <f aca="false">K1448+K1449+K1450-K1451+K1421-K1452-K1453-K1454</f>
        <v>-791261.444817501</v>
      </c>
      <c r="L1455" s="73" t="n">
        <f aca="false">L1448+L1449+L1450-L1451+L1421-L1452-L1453-L1454</f>
        <v>-868007.884414429</v>
      </c>
      <c r="M1455" s="73" t="n">
        <f aca="false">M1448+M1449+M1450-M1451+M1421-M1452-M1453-M1454</f>
        <v>-1018765.85739469</v>
      </c>
      <c r="N1455" s="73" t="n">
        <f aca="false">N1448+N1449+N1450-N1451+N1421-N1452-N1453-N1454</f>
        <v>453955.852280244</v>
      </c>
      <c r="O1455" s="73" t="n">
        <f aca="false">O1448+O1449+O1450-O1451+O1421-O1452-O1453-O1454</f>
        <v>676231.558397293</v>
      </c>
    </row>
    <row r="1456" customFormat="false" ht="15" hidden="false" customHeight="false" outlineLevel="0" collapsed="false">
      <c r="B1456" s="65" t="s">
        <v>1057</v>
      </c>
      <c r="C1456" s="25"/>
      <c r="D1456" s="73" t="n">
        <f aca="false">MIN(D1446+D1447,MAX(0,Liq_cible*D1420-(D1455-D1430)))</f>
        <v>1194375</v>
      </c>
      <c r="E1456" s="73" t="n">
        <f aca="false">MIN(E1446+E1447,MAX(0,Liq_cible*E1420-(E1455-E1430)))</f>
        <v>1151504.59375</v>
      </c>
      <c r="F1456" s="73" t="n">
        <f aca="false">MIN(F1446+F1447,MAX(0,Liq_cible*F1420-(F1455-F1430)))</f>
        <v>1110224.7562875</v>
      </c>
      <c r="G1456" s="73" t="n">
        <f aca="false">MIN(G1446+G1447,MAX(0,Liq_cible*G1420-(G1455-G1430)))</f>
        <v>1070474.66060151</v>
      </c>
      <c r="H1456" s="73" t="n">
        <f aca="false">MIN(H1446+H1447,MAX(0,Liq_cible*H1420-(H1455-H1430)))</f>
        <v>1057921.08531854</v>
      </c>
      <c r="I1456" s="73" t="n">
        <f aca="false">MIN(I1446+I1447,MAX(0,Liq_cible*I1420-(I1455-I1430)))</f>
        <v>1019960.26638387</v>
      </c>
      <c r="J1456" s="73" t="n">
        <f aca="false">MIN(J1446+J1447,MAX(0,Liq_cible*J1420-(J1455-J1430)))</f>
        <v>983407.44966169</v>
      </c>
      <c r="K1456" s="73" t="n">
        <f aca="false">MIN(K1446+K1447,MAX(0,Liq_cible*K1420-(K1455-K1430)))</f>
        <v>948208.803870077</v>
      </c>
      <c r="L1456" s="73" t="n">
        <f aca="false">MIN(L1446+L1447,MAX(0,Liq_cible*L1420-(L1455-L1430)))</f>
        <v>914312.610296399</v>
      </c>
      <c r="M1456" s="73" t="n">
        <f aca="false">MIN(M1446+M1447,MAX(0,Liq_cible*M1420-(M1455-M1430)))</f>
        <v>862190.929629278</v>
      </c>
      <c r="N1456" s="73" t="n">
        <f aca="false">MIN(N1446+N1447,MAX(0,Liq_cible*N1420-(N1455-N1430)))</f>
        <v>828570.649073987</v>
      </c>
      <c r="O1456" s="73" t="n">
        <f aca="false">MIN(O1446+O1447,MAX(0,Liq_cible*O1420-(O1455-O1430)))</f>
        <v>799063.725565767</v>
      </c>
    </row>
    <row r="1457" customFormat="false" ht="15" hidden="false" customHeight="false" outlineLevel="0" collapsed="false">
      <c r="B1457" s="65" t="s">
        <v>1058</v>
      </c>
      <c r="C1457" s="25"/>
      <c r="D1457" s="73" t="n">
        <f aca="false">D1455-D1430+D1456</f>
        <v>5676875</v>
      </c>
      <c r="E1457" s="73" t="n">
        <f aca="false">E1455-E1430+E1456</f>
        <v>4955000.8125</v>
      </c>
      <c r="F1457" s="73" t="n">
        <f aca="false">F1455-F1430+F1456</f>
        <v>3205665.10272578</v>
      </c>
      <c r="G1457" s="73" t="n">
        <f aca="false">G1455-G1430+G1456</f>
        <v>2443436.36603084</v>
      </c>
      <c r="H1457" s="73" t="n">
        <f aca="false">H1455-H1430+H1456</f>
        <v>1400829.55167968</v>
      </c>
      <c r="I1457" s="73" t="n">
        <f aca="false">I1455-I1430+I1456</f>
        <v>1351987.10162253</v>
      </c>
      <c r="J1457" s="73" t="n">
        <f aca="false">J1455-J1430+J1456</f>
        <v>248956.013971341</v>
      </c>
      <c r="K1457" s="73" t="n">
        <f aca="false">K1455-K1430+K1456</f>
        <v>156947.359052576</v>
      </c>
      <c r="L1457" s="73" t="n">
        <f aca="false">L1455-L1430+L1456</f>
        <v>-1001171.96473195</v>
      </c>
      <c r="M1457" s="73" t="n">
        <f aca="false">M1455-M1430+M1456</f>
        <v>-156574.927765408</v>
      </c>
      <c r="N1457" s="73" t="n">
        <f aca="false">N1455-N1430+N1456</f>
        <v>221958.889772428</v>
      </c>
      <c r="O1457" s="73" t="n">
        <f aca="false">O1455-O1430+O1456</f>
        <v>1475295.28396306</v>
      </c>
    </row>
    <row r="1458" customFormat="false" ht="15" hidden="false" customHeight="false" outlineLevel="0" collapsed="false">
      <c r="B1458" s="65" t="s">
        <v>1059</v>
      </c>
      <c r="C1458" s="25"/>
      <c r="D1458" s="73" t="n">
        <f aca="false">MIN(MAX(0,MIN($X$20*AN_cible,Emprunt_max*D1420)-C1463),MAX(0,IF($X$20&gt;0,Poche_min_exec*D1420,0)-D1457))-IF(D1457&gt;Liq_cible*D1420,MIN(C1463,D1457-Liq_cible*D1420),0)</f>
        <v>0</v>
      </c>
      <c r="E1458" s="73" t="n">
        <f aca="false">MIN(MAX(0,MIN($X$20*AN_cible,Emprunt_max*E1420)-D1463),MAX(0,IF($X$20&gt;0,Poche_min_exec*E1420,0)-E1457))-IF(E1457&gt;Liq_cible*E1420,MIN(D1463,E1457-Liq_cible*E1420),0)</f>
        <v>0</v>
      </c>
      <c r="F1458" s="73" t="n">
        <f aca="false">MIN(MAX(0,MIN($X$20*AN_cible,Emprunt_max*F1420)-E1463),MAX(0,IF($X$20&gt;0,Poche_min_exec*F1420,0)-F1457))-IF(F1457&gt;Liq_cible*F1420,MIN(E1463,F1457-Liq_cible*F1420),0)</f>
        <v>0</v>
      </c>
      <c r="G1458" s="73" t="n">
        <f aca="false">MIN(MAX(0,MIN($X$20*AN_cible,Emprunt_max*G1420)-F1463),MAX(0,IF($X$20&gt;0,Poche_min_exec*G1420,0)-G1457))-IF(G1457&gt;Liq_cible*G1420,MIN(F1463,G1457-Liq_cible*G1420),0)</f>
        <v>0</v>
      </c>
      <c r="H1458" s="73" t="n">
        <f aca="false">MIN(MAX(0,MIN($X$20*AN_cible,Emprunt_max*H1420)-G1463),MAX(0,IF($X$20&gt;0,Poche_min_exec*H1420,0)-H1457))-IF(H1457&gt;Liq_cible*H1420,MIN(G1463,H1457-Liq_cible*H1420),0)</f>
        <v>0</v>
      </c>
      <c r="I1458" s="73" t="n">
        <f aca="false">MIN(MAX(0,MIN($X$20*AN_cible,Emprunt_max*I1420)-H1463),MAX(0,IF($X$20&gt;0,Poche_min_exec*I1420,0)-I1457))-IF(I1457&gt;Liq_cible*I1420,MIN(H1463,I1457-Liq_cible*I1420),0)</f>
        <v>0</v>
      </c>
      <c r="J1458" s="73" t="n">
        <f aca="false">MIN(MAX(0,MIN($X$20*AN_cible,Emprunt_max*J1420)-I1463),MAX(0,IF($X$20&gt;0,Poche_min_exec*J1420,0)-J1457))-IF(J1457&gt;Liq_cible*J1420,MIN(I1463,J1457-Liq_cible*J1420),0)</f>
        <v>0</v>
      </c>
      <c r="K1458" s="73" t="n">
        <f aca="false">MIN(MAX(0,MIN($X$20*AN_cible,Emprunt_max*K1420)-J1463),MAX(0,IF($X$20&gt;0,Poche_min_exec*K1420,0)-K1457))-IF(K1457&gt;Liq_cible*K1420,MIN(J1463,K1457-Liq_cible*K1420),0)</f>
        <v>0</v>
      </c>
      <c r="L1458" s="73" t="n">
        <f aca="false">MIN(MAX(0,MIN($X$20*AN_cible,Emprunt_max*L1420)-K1463),MAX(0,IF($X$20&gt;0,Poche_min_exec*L1420,0)-L1457))-IF(L1457&gt;Liq_cible*L1420,MIN(K1463,L1457-Liq_cible*L1420),0)</f>
        <v>0</v>
      </c>
      <c r="M1458" s="73" t="n">
        <f aca="false">MIN(MAX(0,MIN($X$20*AN_cible,Emprunt_max*M1420)-L1463),MAX(0,IF($X$20&gt;0,Poche_min_exec*M1420,0)-M1457))-IF(M1457&gt;Liq_cible*M1420,MIN(L1463,M1457-Liq_cible*M1420),0)</f>
        <v>0</v>
      </c>
      <c r="N1458" s="73" t="n">
        <f aca="false">MIN(MAX(0,MIN($X$20*AN_cible,Emprunt_max*N1420)-M1463),MAX(0,IF($X$20&gt;0,Poche_min_exec*N1420,0)-N1457))-IF(N1457&gt;Liq_cible*N1420,MIN(M1463,N1457-Liq_cible*N1420),0)</f>
        <v>0</v>
      </c>
      <c r="O1458" s="73" t="n">
        <f aca="false">MIN(MAX(0,MIN($X$20*AN_cible,Emprunt_max*O1420)-N1463),MAX(0,IF($X$20&gt;0,Poche_min_exec*O1420,0)-O1457))-IF(O1457&gt;Liq_cible*O1420,MIN(N1463,O1457-Liq_cible*O1420),0)</f>
        <v>0</v>
      </c>
    </row>
    <row r="1459" customFormat="false" ht="15" hidden="false" customHeight="false" outlineLevel="0" collapsed="false">
      <c r="B1459" s="65" t="s">
        <v>1060</v>
      </c>
      <c r="C1459" s="25"/>
      <c r="D1459" s="73" t="n">
        <f aca="false">MIN((C1434+C1435+C1436+C1437),MAX(0,-(D1457+D1458))/(1-Decote))</f>
        <v>0</v>
      </c>
      <c r="E1459" s="73" t="n">
        <f aca="false">MIN((D1434+D1435+D1436+D1437),MAX(0,-(E1457+E1458))/(1-Decote))</f>
        <v>0</v>
      </c>
      <c r="F1459" s="73" t="n">
        <f aca="false">MIN((E1434+E1435+E1436+E1437),MAX(0,-(F1457+F1458))/(1-Decote))</f>
        <v>0</v>
      </c>
      <c r="G1459" s="73" t="n">
        <f aca="false">MIN((F1434+F1435+F1436+F1437),MAX(0,-(G1457+G1458))/(1-Decote))</f>
        <v>0</v>
      </c>
      <c r="H1459" s="73" t="n">
        <f aca="false">MIN((G1434+G1435+G1436+G1437),MAX(0,-(H1457+H1458))/(1-Decote))</f>
        <v>0</v>
      </c>
      <c r="I1459" s="73" t="n">
        <f aca="false">MIN((H1434+H1435+H1436+H1437),MAX(0,-(I1457+I1458))/(1-Decote))</f>
        <v>0</v>
      </c>
      <c r="J1459" s="73" t="n">
        <f aca="false">MIN((I1434+I1435+I1436+I1437),MAX(0,-(J1457+J1458))/(1-Decote))</f>
        <v>0</v>
      </c>
      <c r="K1459" s="73" t="n">
        <f aca="false">MIN((J1434+J1435+J1436+J1437),MAX(0,-(K1457+K1458))/(1-Decote))</f>
        <v>0</v>
      </c>
      <c r="L1459" s="73" t="n">
        <f aca="false">MIN((K1434+K1435+K1436+K1437),MAX(0,-(L1457+L1458))/(1-Decote))</f>
        <v>1112413.29414661</v>
      </c>
      <c r="M1459" s="73" t="n">
        <f aca="false">MIN((L1434+L1435+L1436+L1437),MAX(0,-(M1457+M1458))/(1-Decote))</f>
        <v>173972.141961564</v>
      </c>
      <c r="N1459" s="73" t="n">
        <f aca="false">MIN((M1434+M1435+M1436+M1437),MAX(0,-(N1457+N1458))/(1-Decote))</f>
        <v>0</v>
      </c>
      <c r="O1459" s="73" t="n">
        <f aca="false">MIN((N1434+N1435+N1436+N1437),MAX(0,-(O1457+O1458))/(1-Decote))</f>
        <v>0</v>
      </c>
    </row>
    <row r="1460" customFormat="false" ht="15" hidden="false" customHeight="false" outlineLevel="0" collapsed="false">
      <c r="B1460" s="65" t="s">
        <v>1061</v>
      </c>
      <c r="C1460" s="25"/>
      <c r="D1460" s="73" t="n">
        <f aca="false">D1459*Decote</f>
        <v>0</v>
      </c>
      <c r="E1460" s="73" t="n">
        <f aca="false">E1459*Decote</f>
        <v>0</v>
      </c>
      <c r="F1460" s="73" t="n">
        <f aca="false">F1459*Decote</f>
        <v>0</v>
      </c>
      <c r="G1460" s="73" t="n">
        <f aca="false">G1459*Decote</f>
        <v>0</v>
      </c>
      <c r="H1460" s="73" t="n">
        <f aca="false">H1459*Decote</f>
        <v>0</v>
      </c>
      <c r="I1460" s="73" t="n">
        <f aca="false">I1459*Decote</f>
        <v>0</v>
      </c>
      <c r="J1460" s="73" t="n">
        <f aca="false">J1459*Decote</f>
        <v>0</v>
      </c>
      <c r="K1460" s="73" t="n">
        <f aca="false">K1459*Decote</f>
        <v>0</v>
      </c>
      <c r="L1460" s="73" t="n">
        <f aca="false">L1459*Decote</f>
        <v>111241.329414661</v>
      </c>
      <c r="M1460" s="73" t="n">
        <f aca="false">M1459*Decote</f>
        <v>17397.2141961564</v>
      </c>
      <c r="N1460" s="73" t="n">
        <f aca="false">N1459*Decote</f>
        <v>0</v>
      </c>
      <c r="O1460" s="73" t="n">
        <f aca="false">O1459*Decote</f>
        <v>0</v>
      </c>
    </row>
    <row r="1461" customFormat="false" ht="15" hidden="false" customHeight="false" outlineLevel="0" collapsed="false">
      <c r="B1461" s="65" t="s">
        <v>1062</v>
      </c>
      <c r="C1461" s="25"/>
      <c r="D1461" s="73" t="n">
        <f aca="false">IF(AND(D1431&lt;0.000001,C1463+D1458&lt;0.000001),MAX(0,D1457+D1458-Seuil_reinv*D1420),0)</f>
        <v>0</v>
      </c>
      <c r="E1461" s="73" t="n">
        <f aca="false">IF(AND(E1431&lt;0.000001,D1463+E1458&lt;0.000001),MAX(0,E1457+E1458-Seuil_reinv*E1420),0)</f>
        <v>0</v>
      </c>
      <c r="F1461" s="73" t="n">
        <f aca="false">IF(AND(F1431&lt;0.000001,E1463+F1458&lt;0.000001),MAX(0,F1457+F1458-Seuil_reinv*F1420),0)</f>
        <v>0</v>
      </c>
      <c r="G1461" s="73" t="n">
        <f aca="false">IF(AND(G1431&lt;0.000001,F1463+G1458&lt;0.000001),MAX(0,G1457+G1458-Seuil_reinv*G1420),0)</f>
        <v>0</v>
      </c>
      <c r="H1461" s="73" t="n">
        <f aca="false">IF(AND(H1431&lt;0.000001,G1463+H1458&lt;0.000001),MAX(0,H1457+H1458-Seuil_reinv*H1420),0)</f>
        <v>0</v>
      </c>
      <c r="I1461" s="73" t="n">
        <f aca="false">IF(AND(I1431&lt;0.000001,H1463+I1458&lt;0.000001),MAX(0,I1457+I1458-Seuil_reinv*I1420),0)</f>
        <v>0</v>
      </c>
      <c r="J1461" s="73" t="n">
        <f aca="false">IF(AND(J1431&lt;0.000001,I1463+J1458&lt;0.000001),MAX(0,J1457+J1458-Seuil_reinv*J1420),0)</f>
        <v>0</v>
      </c>
      <c r="K1461" s="73" t="n">
        <f aca="false">IF(AND(K1431&lt;0.000001,J1463+K1458&lt;0.000001),MAX(0,K1457+K1458-Seuil_reinv*K1420),0)</f>
        <v>0</v>
      </c>
      <c r="L1461" s="73" t="n">
        <f aca="false">IF(AND(L1431&lt;0.000001,K1463+L1458&lt;0.000001),MAX(0,L1457+L1458-Seuil_reinv*L1420),0)</f>
        <v>0</v>
      </c>
      <c r="M1461" s="73" t="n">
        <f aca="false">IF(AND(M1431&lt;0.000001,L1463+M1458&lt;0.000001),MAX(0,M1457+M1458-Seuil_reinv*M1420),0)</f>
        <v>0</v>
      </c>
      <c r="N1461" s="73" t="n">
        <f aca="false">IF(AND(N1431&lt;0.000001,M1463+N1458&lt;0.000001),MAX(0,N1457+N1458-Seuil_reinv*N1420),0)</f>
        <v>0</v>
      </c>
      <c r="O1461" s="73" t="n">
        <f aca="false">IF(AND(O1431&lt;0.000001,N1463+O1458&lt;0.000001),MAX(0,O1457+O1458-Seuil_reinv*O1420),0)</f>
        <v>0</v>
      </c>
    </row>
    <row r="1462" customFormat="false" ht="15" hidden="false" customHeight="false" outlineLevel="0" collapsed="false">
      <c r="B1462" s="65" t="s">
        <v>1063</v>
      </c>
      <c r="C1462" s="73" t="n">
        <f aca="false">AN_cible*Ws_LIQ</f>
        <v>7500000</v>
      </c>
      <c r="D1462" s="73" t="n">
        <f aca="false">D1457+D1458+D1459-D1460-D1461</f>
        <v>5676875</v>
      </c>
      <c r="E1462" s="73" t="n">
        <f aca="false">E1457+E1458+E1459-E1460-E1461</f>
        <v>4955000.8125</v>
      </c>
      <c r="F1462" s="73" t="n">
        <f aca="false">F1457+F1458+F1459-F1460-F1461</f>
        <v>3205665.10272578</v>
      </c>
      <c r="G1462" s="73" t="n">
        <f aca="false">G1457+G1458+G1459-G1460-G1461</f>
        <v>2443436.36603084</v>
      </c>
      <c r="H1462" s="73" t="n">
        <f aca="false">H1457+H1458+H1459-H1460-H1461</f>
        <v>1400829.55167968</v>
      </c>
      <c r="I1462" s="73" t="n">
        <f aca="false">I1457+I1458+I1459-I1460-I1461</f>
        <v>1351987.10162253</v>
      </c>
      <c r="J1462" s="73" t="n">
        <f aca="false">J1457+J1458+J1459-J1460-J1461</f>
        <v>248956.013971341</v>
      </c>
      <c r="K1462" s="73" t="n">
        <f aca="false">K1457+K1458+K1459-K1460-K1461</f>
        <v>156947.359052576</v>
      </c>
      <c r="L1462" s="73" t="n">
        <f aca="false">L1457+L1458+L1459-L1460-L1461</f>
        <v>0</v>
      </c>
      <c r="M1462" s="73" t="n">
        <f aca="false">M1457+M1458+M1459-M1460-M1461</f>
        <v>0</v>
      </c>
      <c r="N1462" s="73" t="n">
        <f aca="false">N1457+N1458+N1459-N1460-N1461</f>
        <v>221958.889772428</v>
      </c>
      <c r="O1462" s="73" t="n">
        <f aca="false">O1457+O1458+O1459-O1460-O1461</f>
        <v>1475295.28396306</v>
      </c>
    </row>
    <row r="1463" customFormat="false" ht="15" hidden="false" customHeight="false" outlineLevel="0" collapsed="false">
      <c r="B1463" s="65" t="s">
        <v>1064</v>
      </c>
      <c r="C1463" s="73" t="n">
        <v>0</v>
      </c>
      <c r="D1463" s="73" t="n">
        <f aca="false">C1463+D1458</f>
        <v>0</v>
      </c>
      <c r="E1463" s="73" t="n">
        <f aca="false">D1463+E1458</f>
        <v>0</v>
      </c>
      <c r="F1463" s="73" t="n">
        <f aca="false">E1463+F1458</f>
        <v>0</v>
      </c>
      <c r="G1463" s="73" t="n">
        <f aca="false">F1463+G1458</f>
        <v>0</v>
      </c>
      <c r="H1463" s="73" t="n">
        <f aca="false">G1463+H1458</f>
        <v>0</v>
      </c>
      <c r="I1463" s="73" t="n">
        <f aca="false">H1463+I1458</f>
        <v>0</v>
      </c>
      <c r="J1463" s="73" t="n">
        <f aca="false">I1463+J1458</f>
        <v>0</v>
      </c>
      <c r="K1463" s="73" t="n">
        <f aca="false">J1463+K1458</f>
        <v>0</v>
      </c>
      <c r="L1463" s="73" t="n">
        <f aca="false">K1463+L1458</f>
        <v>0</v>
      </c>
      <c r="M1463" s="73" t="n">
        <f aca="false">L1463+M1458</f>
        <v>0</v>
      </c>
      <c r="N1463" s="73" t="n">
        <f aca="false">M1463+N1458</f>
        <v>0</v>
      </c>
      <c r="O1463" s="73" t="n">
        <f aca="false">N1463+O1458</f>
        <v>0</v>
      </c>
    </row>
    <row r="1464" customFormat="false" ht="15" hidden="false" customHeight="false" outlineLevel="0" collapsed="false">
      <c r="B1464" s="74" t="s">
        <v>1065</v>
      </c>
      <c r="C1464" s="73" t="n">
        <f aca="false">C1434+C1435+C1436+C1437+C1462-C1463</f>
        <v>50000000</v>
      </c>
      <c r="D1464" s="73" t="n">
        <f aca="false">D1434+D1435+D1436+D1437+D1462-D1463</f>
        <v>49600643.75</v>
      </c>
      <c r="E1464" s="73" t="n">
        <f aca="false">E1434+E1435+E1436+E1437+E1462-E1463</f>
        <v>50350143.9007813</v>
      </c>
      <c r="F1464" s="73" t="n">
        <f aca="false">F1434+F1435+F1436+F1437+F1462-F1463</f>
        <v>50118624.1795838</v>
      </c>
      <c r="G1464" s="73" t="n">
        <f aca="false">G1434+G1435+G1436+G1437+G1462-G1463</f>
        <v>50919539.6403599</v>
      </c>
      <c r="H1464" s="73" t="n">
        <f aca="false">H1434+H1435+H1436+H1437+H1462-H1463</f>
        <v>50755173.6249244</v>
      </c>
      <c r="I1464" s="73" t="n">
        <f aca="false">I1434+I1435+I1436+I1437+I1462-I1463</f>
        <v>51623204.9083995</v>
      </c>
      <c r="J1464" s="73" t="n">
        <f aca="false">J1434+J1435+J1436+J1437+J1462-J1463</f>
        <v>51474675.5707664</v>
      </c>
      <c r="K1464" s="73" t="n">
        <f aca="false">K1434+K1435+K1436+K1437+K1462-K1463</f>
        <v>52373834.530696</v>
      </c>
      <c r="L1464" s="73" t="n">
        <f aca="false">L1434+L1435+L1436+L1437+L1462-L1463</f>
        <v>52131386.2818646</v>
      </c>
      <c r="M1464" s="73" t="n">
        <f aca="false">M1434+M1435+M1436+M1437+M1462-M1463</f>
        <v>53028380.5790902</v>
      </c>
      <c r="N1464" s="73" t="n">
        <f aca="false">N1434+N1435+N1436+N1437+N1462-N1463</f>
        <v>52897738.5299128</v>
      </c>
      <c r="O1464" s="73" t="n">
        <f aca="false">O1434+O1435+O1436+O1437+O1462-O1463</f>
        <v>53821854.3404877</v>
      </c>
    </row>
    <row r="1465" customFormat="false" ht="15" hidden="false" customHeight="false" outlineLevel="0" collapsed="false">
      <c r="B1465" s="65" t="s">
        <v>1066</v>
      </c>
      <c r="C1465" s="72" t="n">
        <f aca="false">IF((C1464+C1463)&gt;0,C1462/(C1464+C1463),0)</f>
        <v>0.15</v>
      </c>
      <c r="D1465" s="72" t="n">
        <f aca="false">IF((D1464+D1463)&gt;0,D1462/(D1464+D1463),0)</f>
        <v>0.114451639551553</v>
      </c>
      <c r="E1465" s="72" t="n">
        <f aca="false">IF((E1464+E1463)&gt;0,E1462/(E1464+E1463),0)</f>
        <v>0.0984108570228558</v>
      </c>
      <c r="F1465" s="72" t="n">
        <f aca="false">IF((F1464+F1463)&gt;0,F1462/(F1464+F1463),0)</f>
        <v>0.0639615543164018</v>
      </c>
      <c r="G1465" s="72" t="n">
        <f aca="false">IF((G1464+G1463)&gt;0,G1462/(G1464+G1463),0)</f>
        <v>0.0479862226424003</v>
      </c>
      <c r="H1465" s="72" t="n">
        <f aca="false">IF((H1464+H1463)&gt;0,H1462/(H1464+H1463),0)</f>
        <v>0.0275997391326383</v>
      </c>
      <c r="I1465" s="72" t="n">
        <f aca="false">IF((I1464+I1463)&gt;0,I1462/(I1464+I1463),0)</f>
        <v>0.0261895227935094</v>
      </c>
      <c r="J1465" s="72" t="n">
        <f aca="false">IF((J1464+J1463)&gt;0,J1462/(J1464+J1463),0)</f>
        <v>0.00483647563021706</v>
      </c>
      <c r="K1465" s="72" t="n">
        <f aca="false">IF((K1464+K1463)&gt;0,K1462/(K1464+K1463),0)</f>
        <v>0.00299667497060179</v>
      </c>
      <c r="L1465" s="72" t="n">
        <f aca="false">IF((L1464+L1463)&gt;0,L1462/(L1464+L1463),0)</f>
        <v>0</v>
      </c>
      <c r="M1465" s="72" t="n">
        <f aca="false">IF((M1464+M1463)&gt;0,M1462/(M1464+M1463),0)</f>
        <v>0</v>
      </c>
      <c r="N1465" s="72" t="n">
        <f aca="false">IF((N1464+N1463)&gt;0,N1462/(N1464+N1463),0)</f>
        <v>0.00419599960113444</v>
      </c>
      <c r="O1465" s="72" t="n">
        <f aca="false">IF((O1464+O1463)&gt;0,O1462/(O1464+O1463),0)</f>
        <v>0.0274107107984435</v>
      </c>
    </row>
    <row r="1466" customFormat="false" ht="15" hidden="false" customHeight="false" outlineLevel="0" collapsed="false">
      <c r="B1466" s="65" t="s">
        <v>1067</v>
      </c>
      <c r="C1466" s="72" t="n">
        <f aca="false">0</f>
        <v>0</v>
      </c>
      <c r="D1466" s="72" t="n">
        <f aca="false">IF(D1464&gt;0,D1431/D1464,0)</f>
        <v>0</v>
      </c>
      <c r="E1466" s="72" t="n">
        <f aca="false">IF(E1464&gt;0,E1431/E1464,0)</f>
        <v>0</v>
      </c>
      <c r="F1466" s="72" t="n">
        <f aca="false">IF(F1464&gt;0,F1431/F1464,0)</f>
        <v>0</v>
      </c>
      <c r="G1466" s="72" t="n">
        <f aca="false">IF(G1464&gt;0,G1431/G1464,0)</f>
        <v>0</v>
      </c>
      <c r="H1466" s="72" t="n">
        <f aca="false">IF(H1464&gt;0,H1431/H1464,0)</f>
        <v>0</v>
      </c>
      <c r="I1466" s="72" t="n">
        <f aca="false">IF(I1464&gt;0,I1431/I1464,0)</f>
        <v>0</v>
      </c>
      <c r="J1466" s="72" t="n">
        <f aca="false">IF(J1464&gt;0,J1431/J1464,0)</f>
        <v>0</v>
      </c>
      <c r="K1466" s="72" t="n">
        <f aca="false">IF(K1464&gt;0,K1431/K1464,0)</f>
        <v>0</v>
      </c>
      <c r="L1466" s="72" t="n">
        <f aca="false">IF(L1464&gt;0,L1431/L1464,0)</f>
        <v>0</v>
      </c>
      <c r="M1466" s="72" t="n">
        <f aca="false">IF(M1464&gt;0,M1431/M1464,0)</f>
        <v>0</v>
      </c>
      <c r="N1466" s="72" t="n">
        <f aca="false">IF(N1464&gt;0,N1431/N1464,0)</f>
        <v>0</v>
      </c>
      <c r="O1466" s="72" t="n">
        <f aca="false">IF(O1464&gt;0,O1431/O1464,0)</f>
        <v>0</v>
      </c>
    </row>
    <row r="1467" customFormat="false" ht="15" hidden="false" customHeight="false" outlineLevel="0" collapsed="false">
      <c r="B1467" s="65" t="s">
        <v>1068</v>
      </c>
      <c r="C1467" s="75" t="n">
        <f aca="false">IF((C1431+SUM(D1422:G1422)+SUM(D1452:G1452)+SUM(D1453:G1453)+SUM(D1451:G1451))&lt;=0,9.99,MIN(9.99,(C1462+SUM(D1450:G1450)+SUM(D1446:G1447)+MAX(0,MIN($X$20*AN_cible,Emprunt_max*C1464)-C1463))/(C1431+SUM(D1422:G1422)+SUM(D1452:G1452)+SUM(D1453:G1453)+SUM(D1451:G1451))))</f>
        <v>1.19441244766617</v>
      </c>
      <c r="D1467" s="73" t="n">
        <f aca="false">IF((D1431+SUM(E1422:H1422)+SUM(E1452:H1452)+SUM(E1453:H1453)+SUM(E1451:H1451))&lt;=0,9.99,MIN(9.99,(D1462+SUM(E1450:H1450)+SUM(E1446:H1447)+MAX(0,MIN($X$20*AN_cible,Emprunt_max*D1464)-D1463))/(D1431+SUM(E1422:H1422)+SUM(E1452:H1452)+SUM(E1453:H1453)+SUM(E1451:H1451))))</f>
        <v>1.11755074228385</v>
      </c>
      <c r="E1467" s="73" t="n">
        <f aca="false">IF((E1431+SUM(F1422:I1422)+SUM(F1452:I1452)+SUM(F1453:I1453)+SUM(F1451:I1451))&lt;=0,9.99,MIN(9.99,(E1462+SUM(F1450:I1450)+SUM(F1446:I1447)+MAX(0,MIN($X$20*AN_cible,Emprunt_max*E1464)-E1463))/(E1431+SUM(F1422:I1422)+SUM(F1452:I1452)+SUM(F1453:I1453)+SUM(F1451:I1451))))</f>
        <v>1.12364288904083</v>
      </c>
      <c r="F1467" s="73" t="n">
        <f aca="false">IF((F1431+SUM(G1422:J1422)+SUM(G1452:J1452)+SUM(G1453:J1453)+SUM(G1451:J1451))&lt;=0,9.99,MIN(9.99,(F1462+SUM(G1450:J1450)+SUM(G1446:J1447)+MAX(0,MIN($X$20*AN_cible,Emprunt_max*F1464)-F1463))/(F1431+SUM(G1422:J1422)+SUM(G1452:J1452)+SUM(G1453:J1453)+SUM(G1451:J1451))))</f>
        <v>1.02039824500317</v>
      </c>
      <c r="G1467" s="73" t="n">
        <f aca="false">IF((G1431+SUM(H1422:K1422)+SUM(H1452:K1452)+SUM(H1453:K1453)+SUM(H1451:K1451))&lt;=0,9.99,MIN(9.99,(G1462+SUM(H1450:K1450)+SUM(H1446:K1447)+MAX(0,MIN($X$20*AN_cible,Emprunt_max*G1464)-G1463))/(G1431+SUM(H1422:K1422)+SUM(H1452:K1452)+SUM(H1453:K1453)+SUM(H1451:K1451))))</f>
        <v>1.01379816976025</v>
      </c>
      <c r="H1467" s="73" t="n">
        <f aca="false">IF((H1431+SUM(I1422:L1422)+SUM(I1452:L1452)+SUM(I1453:L1453)+SUM(I1451:L1451))&lt;=0,9.99,MIN(9.99,(H1462+SUM(I1450:L1450)+SUM(I1446:L1447)+MAX(0,MIN($X$20*AN_cible,Emprunt_max*H1464)-H1463))/(H1431+SUM(I1422:L1422)+SUM(I1452:L1452)+SUM(I1453:L1453)+SUM(I1451:L1451))))</f>
        <v>0.885860092655161</v>
      </c>
      <c r="I1467" s="73" t="n">
        <f aca="false">IF((I1431+SUM(J1422:M1422)+SUM(J1452:M1452)+SUM(J1453:M1453)+SUM(J1451:M1451))&lt;=0,9.99,MIN(9.99,(I1462+SUM(J1450:M1450)+SUM(J1446:M1447)+MAX(0,MIN($X$20*AN_cible,Emprunt_max*I1464)-I1463))/(I1431+SUM(J1422:M1422)+SUM(J1452:M1452)+SUM(J1453:M1453)+SUM(J1451:M1451))))</f>
        <v>0.869434041745994</v>
      </c>
      <c r="J1467" s="73" t="n">
        <f aca="false">IF((J1431+SUM(K1422:N1422)+SUM(K1452:N1452)+SUM(K1453:N1453)+SUM(K1451:N1451))&lt;=0,9.99,MIN(9.99,(J1462+SUM(K1450:N1450)+SUM(K1446:N1447)+MAX(0,MIN($X$20*AN_cible,Emprunt_max*J1464)-J1463))/(J1431+SUM(K1422:N1422)+SUM(K1452:N1452)+SUM(K1453:N1453)+SUM(K1451:N1451))))</f>
        <v>0.87535677225012</v>
      </c>
      <c r="K1467" s="73" t="n">
        <f aca="false">IF((K1431+SUM(L1422:O1422)+SUM(L1452:O1452)+SUM(L1453:O1453)+SUM(L1451:O1451))&lt;=0,9.99,MIN(9.99,(K1462+SUM(L1450:O1450)+SUM(L1446:O1447)+MAX(0,MIN($X$20*AN_cible,Emprunt_max*K1464)-K1463))/(K1431+SUM(L1422:O1422)+SUM(L1452:O1452)+SUM(L1453:O1453)+SUM(L1451:O1451))))</f>
        <v>1.05186557361548</v>
      </c>
      <c r="L1467" s="73" t="n">
        <f aca="false">IF((L1431+SUM(M1422:O1422)+SUM(M1452:O1452)+SUM(M1453:O1453)+SUM(M1451:O1451))&lt;=0,9.99,MIN(9.99,(L1462+SUM(M1450:O1450)+SUM(M1446:O1447)+MAX(0,MIN($X$20*AN_cible,Emprunt_max*L1464)-L1463))/(L1431+SUM(M1422:O1422)+SUM(M1452:O1452)+SUM(M1453:O1453)+SUM(M1451:O1451))))</f>
        <v>1.39808343475594</v>
      </c>
      <c r="M1467" s="73" t="n">
        <f aca="false">IF((M1431+SUM(N1422:O1422)+SUM(N1452:O1452)+SUM(N1453:O1453)+SUM(N1451:O1451))&lt;=0,9.99,MIN(9.99,(M1462+SUM(N1450:O1450)+SUM(N1446:O1447)+MAX(0,MIN($X$20*AN_cible,Emprunt_max*M1464)-M1463))/(M1431+SUM(N1422:O1422)+SUM(N1452:O1452)+SUM(N1453:O1453)+SUM(N1451:O1451))))</f>
        <v>1.92687064687681</v>
      </c>
      <c r="N1467" s="73" t="n">
        <f aca="false">IF((N1431+SUM(O1422:O1422)+SUM(O1452:O1452)+SUM(O1453:O1453)+SUM(O1451:O1451))&lt;=0,9.99,MIN(9.99,(N1462+SUM(O1450:O1450)+SUM(O1446:O1447)+MAX(0,MIN($X$20*AN_cible,Emprunt_max*N1464)-N1463))/(N1431+SUM(O1422:O1422)+SUM(O1452:O1452)+SUM(O1453:O1453)+SUM(O1451:O1451))))</f>
        <v>6.57266938762803</v>
      </c>
      <c r="O1467" s="73" t="n">
        <f aca="false">9.99</f>
        <v>9.99</v>
      </c>
    </row>
    <row r="1468" customFormat="false" ht="15" hidden="false" customHeight="false" outlineLevel="0" collapsed="false">
      <c r="B1468" s="65" t="s">
        <v>1069</v>
      </c>
      <c r="C1468" s="72" t="n">
        <f aca="false">(C1434+C1435+C1436+C1437+C1442+C1443)/C1464</f>
        <v>1.2</v>
      </c>
      <c r="D1468" s="72" t="n">
        <f aca="false">(D1434+D1435+D1436+D1437+D1442+D1443)/D1464</f>
        <v>1.19426411174351</v>
      </c>
      <c r="E1468" s="72" t="n">
        <f aca="false">(E1434+E1435+E1436+E1437+E1442+E1443)/E1464</f>
        <v>1.16226367105523</v>
      </c>
      <c r="F1468" s="72" t="n">
        <f aca="false">(F1434+F1435+F1436+F1437+F1442+F1443)/F1464</f>
        <v>1.15427069325706</v>
      </c>
      <c r="G1468" s="72" t="n">
        <f aca="false">(G1434+G1435+G1436+G1437+G1442+G1443)/G1464</f>
        <v>1.12385350846673</v>
      </c>
      <c r="H1468" s="72" t="n">
        <f aca="false">(H1434+H1435+H1436+H1437+H1442+H1443)/H1464</f>
        <v>1.11606377624712</v>
      </c>
      <c r="I1468" s="72" t="n">
        <f aca="false">(I1434+I1435+I1436+I1437+I1442+I1443)/I1464</f>
        <v>1.08680875663691</v>
      </c>
      <c r="J1468" s="72" t="n">
        <f aca="false">(J1434+J1435+J1436+J1437+J1442+J1443)/J1464</f>
        <v>1.08015677496318</v>
      </c>
      <c r="K1468" s="72" t="n">
        <f aca="false">(K1434+K1435+K1436+K1437+K1442+K1443)/K1464</f>
        <v>1.052692710632</v>
      </c>
      <c r="L1468" s="72" t="n">
        <f aca="false">(L1434+L1435+L1436+L1437+L1442+L1443)/L1464</f>
        <v>1.0279741905471</v>
      </c>
      <c r="M1468" s="72" t="n">
        <f aca="false">(M1434+M1435+M1436+M1437+M1442+M1443)/M1464</f>
        <v>1</v>
      </c>
      <c r="N1468" s="72" t="n">
        <f aca="false">(N1434+N1435+N1436+N1437+N1442+N1443)/N1464</f>
        <v>0.995804000398866</v>
      </c>
      <c r="O1468" s="72" t="n">
        <f aca="false">(O1434+O1435+O1436+O1437+O1442+O1443)/O1464</f>
        <v>0.972589289201556</v>
      </c>
    </row>
    <row r="1469" customFormat="false" ht="15" hidden="false" customHeight="false" outlineLevel="0" collapsed="false">
      <c r="B1469" s="65" t="s">
        <v>849</v>
      </c>
      <c r="C1469" s="72" t="n">
        <f aca="false">(C1464+C1463)/C1464</f>
        <v>1</v>
      </c>
      <c r="D1469" s="72" t="n">
        <f aca="false">(D1464+D1463)/D1464</f>
        <v>1</v>
      </c>
      <c r="E1469" s="72" t="n">
        <f aca="false">(E1464+E1463)/E1464</f>
        <v>1</v>
      </c>
      <c r="F1469" s="72" t="n">
        <f aca="false">(F1464+F1463)/F1464</f>
        <v>1</v>
      </c>
      <c r="G1469" s="72" t="n">
        <f aca="false">(G1464+G1463)/G1464</f>
        <v>1</v>
      </c>
      <c r="H1469" s="72" t="n">
        <f aca="false">(H1464+H1463)/H1464</f>
        <v>1</v>
      </c>
      <c r="I1469" s="72" t="n">
        <f aca="false">(I1464+I1463)/I1464</f>
        <v>1</v>
      </c>
      <c r="J1469" s="72" t="n">
        <f aca="false">(J1464+J1463)/J1464</f>
        <v>1</v>
      </c>
      <c r="K1469" s="72" t="n">
        <f aca="false">(K1464+K1463)/K1464</f>
        <v>1</v>
      </c>
      <c r="L1469" s="72" t="n">
        <f aca="false">(L1464+L1463)/L1464</f>
        <v>1</v>
      </c>
      <c r="M1469" s="72" t="n">
        <f aca="false">(M1464+M1463)/M1464</f>
        <v>1</v>
      </c>
      <c r="N1469" s="72" t="n">
        <f aca="false">(N1464+N1463)/N1464</f>
        <v>1</v>
      </c>
      <c r="O1469" s="72" t="n">
        <f aca="false">(O1464+O1463)/O1464</f>
        <v>1</v>
      </c>
    </row>
    <row r="1470" customFormat="false" ht="15" hidden="false" customHeight="false" outlineLevel="0" collapsed="false">
      <c r="B1470" s="65" t="s">
        <v>1070</v>
      </c>
      <c r="C1470" s="72" t="n">
        <f aca="false">(C1434+C1435*MSIG_USD)/C1464</f>
        <v>0.25</v>
      </c>
      <c r="D1470" s="72" t="n">
        <f aca="false">(D1434+D1435*MSIG_USD)/D1464</f>
        <v>0.280421007640652</v>
      </c>
      <c r="E1470" s="72" t="n">
        <f aca="false">(E1434+E1435*MSIG_USD)/E1464</f>
        <v>0.30444818664311</v>
      </c>
      <c r="F1470" s="72" t="n">
        <f aca="false">(F1434+F1435*MSIG_USD)/F1464</f>
        <v>0.33440516144396</v>
      </c>
      <c r="G1470" s="72" t="n">
        <f aca="false">(G1434+G1435*MSIG_USD)/G1464</f>
        <v>0.357463896408813</v>
      </c>
      <c r="H1470" s="72" t="n">
        <f aca="false">(H1434+H1435*MSIG_USD)/H1464</f>
        <v>0.378631483754939</v>
      </c>
      <c r="I1470" s="72" t="n">
        <f aca="false">(I1434+I1435*MSIG_USD)/I1464</f>
        <v>0.392090378212689</v>
      </c>
      <c r="J1470" s="72" t="n">
        <f aca="false">(J1434+J1435*MSIG_USD)/J1464</f>
        <v>0.413258036737011</v>
      </c>
      <c r="K1470" s="72" t="n">
        <f aca="false">(K1434+K1435*MSIG_USD)/K1464</f>
        <v>0.426007609830267</v>
      </c>
      <c r="L1470" s="72" t="n">
        <f aca="false">(L1434+L1435*MSIG_USD)/L1464</f>
        <v>0.438961828939113</v>
      </c>
      <c r="M1470" s="72" t="n">
        <f aca="false">(M1434+M1435*MSIG_USD)/M1464</f>
        <v>0.449930730906811</v>
      </c>
      <c r="N1470" s="72" t="n">
        <f aca="false">(N1434+N1435*MSIG_USD)/N1464</f>
        <v>0.454526228025069</v>
      </c>
      <c r="O1470" s="72" t="n">
        <f aca="false">(O1434+O1435*MSIG_USD)/O1464</f>
        <v>0.450172986435386</v>
      </c>
    </row>
    <row r="1471" customFormat="false" ht="15" hidden="false" customHeight="false" outlineLevel="0" collapsed="false">
      <c r="B1471" s="65" t="s">
        <v>1071</v>
      </c>
      <c r="C1471" s="25"/>
      <c r="D1471" s="65" t="n">
        <f aca="false">IF(AND($X$9&lt;0.5*Collecte_norm,IF(D1415&lt;=$X$11,0,$X$10)&lt;0.5,IF(D1415&lt;=4,$X$17,($X$18+$X$19)/2)&lt;0.7),1,0)</f>
        <v>0</v>
      </c>
      <c r="E1471" s="65" t="n">
        <f aca="false">IF(AND($X$9&lt;0.5*Collecte_norm,IF(E1415&lt;=$X$11,0,$X$10)&lt;0.5,IF(E1415&lt;=4,$X$17,($X$18+$X$19)/2)&lt;0.7),1,0)</f>
        <v>0</v>
      </c>
      <c r="F1471" s="65" t="n">
        <f aca="false">IF(AND($X$9&lt;0.5*Collecte_norm,IF(F1415&lt;=$X$11,0,$X$10)&lt;0.5,IF(F1415&lt;=4,$X$17,($X$18+$X$19)/2)&lt;0.7),1,0)</f>
        <v>0</v>
      </c>
      <c r="G1471" s="65" t="n">
        <f aca="false">IF(AND($X$9&lt;0.5*Collecte_norm,IF(G1415&lt;=$X$11,0,$X$10)&lt;0.5,IF(G1415&lt;=4,$X$17,($X$18+$X$19)/2)&lt;0.7),1,0)</f>
        <v>0</v>
      </c>
      <c r="H1471" s="65" t="n">
        <f aca="false">IF(AND($X$9&lt;0.5*Collecte_norm,IF(H1415&lt;=$X$11,0,$X$10)&lt;0.5,IF(H1415&lt;=4,$X$17,($X$18+$X$19)/2)&lt;0.7),1,0)</f>
        <v>0</v>
      </c>
      <c r="I1471" s="65" t="n">
        <f aca="false">IF(AND($X$9&lt;0.5*Collecte_norm,IF(I1415&lt;=$X$11,0,$X$10)&lt;0.5,IF(I1415&lt;=4,$X$17,($X$18+$X$19)/2)&lt;0.7),1,0)</f>
        <v>0</v>
      </c>
      <c r="J1471" s="65" t="n">
        <f aca="false">IF(AND($X$9&lt;0.5*Collecte_norm,IF(J1415&lt;=$X$11,0,$X$10)&lt;0.5,IF(J1415&lt;=4,$X$17,($X$18+$X$19)/2)&lt;0.7),1,0)</f>
        <v>0</v>
      </c>
      <c r="K1471" s="65" t="n">
        <f aca="false">IF(AND($X$9&lt;0.5*Collecte_norm,IF(K1415&lt;=$X$11,0,$X$10)&lt;0.5,IF(K1415&lt;=4,$X$17,($X$18+$X$19)/2)&lt;0.7),1,0)</f>
        <v>0</v>
      </c>
      <c r="L1471" s="65" t="n">
        <f aca="false">IF(AND($X$9&lt;0.5*Collecte_norm,IF(L1415&lt;=$X$11,0,$X$10)&lt;0.5,IF(L1415&lt;=4,$X$17,($X$18+$X$19)/2)&lt;0.7),1,0)</f>
        <v>0</v>
      </c>
      <c r="M1471" s="65" t="n">
        <f aca="false">IF(AND($X$9&lt;0.5*Collecte_norm,IF(M1415&lt;=$X$11,0,$X$10)&lt;0.5,IF(M1415&lt;=4,$X$17,($X$18+$X$19)/2)&lt;0.7),1,0)</f>
        <v>0</v>
      </c>
      <c r="N1471" s="65" t="n">
        <f aca="false">IF(AND($X$9&lt;0.5*Collecte_norm,IF(N1415&lt;=$X$11,0,$X$10)&lt;0.5,IF(N1415&lt;=4,$X$17,($X$18+$X$19)/2)&lt;0.7),1,0)</f>
        <v>0</v>
      </c>
      <c r="O1471" s="65" t="n">
        <f aca="false">IF(AND($X$9&lt;0.5*Collecte_norm,IF(O1415&lt;=$X$11,0,$X$10)&lt;0.5,IF(O1415&lt;=4,$X$17,($X$18+$X$19)/2)&lt;0.7),1,0)</f>
        <v>0</v>
      </c>
    </row>
    <row r="1472" customFormat="false" ht="15" hidden="false" customHeight="false" outlineLevel="0" collapsed="false">
      <c r="B1472" s="76" t="s">
        <v>1072</v>
      </c>
      <c r="C1472" s="76" t="n">
        <v>99</v>
      </c>
      <c r="D1472" s="76" t="n">
        <f aca="false">IF(D1432=1,D1418,99)</f>
        <v>99</v>
      </c>
      <c r="E1472" s="76" t="n">
        <f aca="false">IF(E1432=1,E1418,99)</f>
        <v>99</v>
      </c>
      <c r="F1472" s="76" t="n">
        <f aca="false">IF(F1432=1,F1418,99)</f>
        <v>99</v>
      </c>
      <c r="G1472" s="76" t="n">
        <f aca="false">IF(G1432=1,G1418,99)</f>
        <v>99</v>
      </c>
      <c r="H1472" s="76" t="n">
        <f aca="false">IF(H1432=1,H1418,99)</f>
        <v>99</v>
      </c>
      <c r="I1472" s="76" t="n">
        <f aca="false">IF(I1432=1,I1418,99)</f>
        <v>99</v>
      </c>
      <c r="J1472" s="76" t="n">
        <f aca="false">IF(J1432=1,J1418,99)</f>
        <v>99</v>
      </c>
      <c r="K1472" s="76" t="n">
        <f aca="false">IF(K1432=1,K1418,99)</f>
        <v>99</v>
      </c>
      <c r="L1472" s="76" t="n">
        <f aca="false">IF(L1432=1,L1418,99)</f>
        <v>99</v>
      </c>
      <c r="M1472" s="76" t="n">
        <f aca="false">IF(M1432=1,M1418,99)</f>
        <v>99</v>
      </c>
      <c r="N1472" s="76" t="n">
        <f aca="false">IF(N1432=1,N1418,99)</f>
        <v>99</v>
      </c>
      <c r="O1472" s="76" t="n">
        <f aca="false">IF(O1432=1,O1418,99)</f>
        <v>99</v>
      </c>
    </row>
    <row r="1473" customFormat="false" ht="15" hidden="false" customHeight="false" outlineLevel="0" collapsed="false">
      <c r="B1473" s="76" t="s">
        <v>1073</v>
      </c>
      <c r="C1473" s="76" t="n">
        <v>99</v>
      </c>
      <c r="D1473" s="76" t="n">
        <f aca="false">IF(AND(D1417=1,D1418&gt;MIN($D1472:$O1472),D1431&lt;=0.000001),D1418,99)</f>
        <v>99</v>
      </c>
      <c r="E1473" s="76" t="n">
        <f aca="false">IF(AND(E1417=1,E1418&gt;MIN($D1472:$O1472),E1431&lt;=0.000001),E1418,99)</f>
        <v>99</v>
      </c>
      <c r="F1473" s="76" t="n">
        <f aca="false">IF(AND(F1417=1,F1418&gt;MIN($D1472:$O1472),F1431&lt;=0.000001),F1418,99)</f>
        <v>99</v>
      </c>
      <c r="G1473" s="76" t="n">
        <f aca="false">IF(AND(G1417=1,G1418&gt;MIN($D1472:$O1472),G1431&lt;=0.000001),G1418,99)</f>
        <v>99</v>
      </c>
      <c r="H1473" s="76" t="n">
        <f aca="false">IF(AND(H1417=1,H1418&gt;MIN($D1472:$O1472),H1431&lt;=0.000001),H1418,99)</f>
        <v>99</v>
      </c>
      <c r="I1473" s="76" t="n">
        <f aca="false">IF(AND(I1417=1,I1418&gt;MIN($D1472:$O1472),I1431&lt;=0.000001),I1418,99)</f>
        <v>99</v>
      </c>
      <c r="J1473" s="76" t="n">
        <f aca="false">IF(AND(J1417=1,J1418&gt;MIN($D1472:$O1472),J1431&lt;=0.000001),J1418,99)</f>
        <v>99</v>
      </c>
      <c r="K1473" s="76" t="n">
        <f aca="false">IF(AND(K1417=1,K1418&gt;MIN($D1472:$O1472),K1431&lt;=0.000001),K1418,99)</f>
        <v>99</v>
      </c>
      <c r="L1473" s="76" t="n">
        <f aca="false">IF(AND(L1417=1,L1418&gt;MIN($D1472:$O1472),L1431&lt;=0.000001),L1418,99)</f>
        <v>99</v>
      </c>
      <c r="M1473" s="76" t="n">
        <f aca="false">IF(AND(M1417=1,M1418&gt;MIN($D1472:$O1472),M1431&lt;=0.000001),M1418,99)</f>
        <v>99</v>
      </c>
      <c r="N1473" s="76" t="n">
        <f aca="false">IF(AND(N1417=1,N1418&gt;MIN($D1472:$O1472),N1431&lt;=0.000001),N1418,99)</f>
        <v>99</v>
      </c>
      <c r="O1473" s="76" t="n">
        <f aca="false">IF(AND(O1417=1,O1418&gt;MIN($D1472:$O1472),O1431&lt;=0.000001),O1418,99)</f>
        <v>99</v>
      </c>
    </row>
    <row r="1474" customFormat="false" ht="15" hidden="false" customHeight="false" outlineLevel="0" collapsed="false">
      <c r="B1474" s="76" t="s">
        <v>1074</v>
      </c>
      <c r="C1474" s="76" t="n">
        <v>9999999</v>
      </c>
      <c r="D1474" s="76" t="n">
        <f aca="false">IF(D1429=1,D1416,9999999)</f>
        <v>9999999</v>
      </c>
      <c r="E1474" s="76" t="n">
        <f aca="false">IF(E1429=1,E1416,9999999)</f>
        <v>9999999</v>
      </c>
      <c r="F1474" s="76" t="n">
        <f aca="false">IF(F1429=1,F1416,9999999)</f>
        <v>9999999</v>
      </c>
      <c r="G1474" s="76" t="n">
        <f aca="false">IF(G1429=1,G1416,9999999)</f>
        <v>9999999</v>
      </c>
      <c r="H1474" s="76" t="n">
        <f aca="false">IF(H1429=1,H1416,9999999)</f>
        <v>9999999</v>
      </c>
      <c r="I1474" s="76" t="n">
        <f aca="false">IF(I1429=1,I1416,9999999)</f>
        <v>9999999</v>
      </c>
      <c r="J1474" s="76" t="n">
        <f aca="false">IF(J1429=1,J1416,9999999)</f>
        <v>9999999</v>
      </c>
      <c r="K1474" s="76" t="n">
        <f aca="false">IF(K1429=1,K1416,9999999)</f>
        <v>9999999</v>
      </c>
      <c r="L1474" s="76" t="n">
        <f aca="false">IF(L1429=1,L1416,9999999)</f>
        <v>9999999</v>
      </c>
      <c r="M1474" s="76" t="n">
        <f aca="false">IF(M1429=1,M1416,9999999)</f>
        <v>9999999</v>
      </c>
      <c r="N1474" s="76" t="n">
        <f aca="false">IF(N1429=1,N1416,9999999)</f>
        <v>9999999</v>
      </c>
      <c r="O1474" s="76" t="n">
        <f aca="false">IF(O1429=1,O1416,9999999)</f>
        <v>9999999</v>
      </c>
    </row>
    <row r="1475" customFormat="false" ht="15" hidden="false" customHeight="false" outlineLevel="0" collapsed="false">
      <c r="B1475" s="76" t="s">
        <v>1075</v>
      </c>
      <c r="C1475" s="76" t="n">
        <v>9999999</v>
      </c>
      <c r="D1475" s="76" t="n">
        <f aca="false">IF(D1471=1,D1416,9999999)</f>
        <v>9999999</v>
      </c>
      <c r="E1475" s="76" t="n">
        <f aca="false">IF(E1471=1,E1416,9999999)</f>
        <v>9999999</v>
      </c>
      <c r="F1475" s="76" t="n">
        <f aca="false">IF(F1471=1,F1416,9999999)</f>
        <v>9999999</v>
      </c>
      <c r="G1475" s="76" t="n">
        <f aca="false">IF(G1471=1,G1416,9999999)</f>
        <v>9999999</v>
      </c>
      <c r="H1475" s="76" t="n">
        <f aca="false">IF(H1471=1,H1416,9999999)</f>
        <v>9999999</v>
      </c>
      <c r="I1475" s="76" t="n">
        <f aca="false">IF(I1471=1,I1416,9999999)</f>
        <v>9999999</v>
      </c>
      <c r="J1475" s="76" t="n">
        <f aca="false">IF(J1471=1,J1416,9999999)</f>
        <v>9999999</v>
      </c>
      <c r="K1475" s="76" t="n">
        <f aca="false">IF(K1471=1,K1416,9999999)</f>
        <v>9999999</v>
      </c>
      <c r="L1475" s="76" t="n">
        <f aca="false">IF(L1471=1,L1416,9999999)</f>
        <v>9999999</v>
      </c>
      <c r="M1475" s="76" t="n">
        <f aca="false">IF(M1471=1,M1416,9999999)</f>
        <v>9999999</v>
      </c>
      <c r="N1475" s="76" t="n">
        <f aca="false">IF(N1471=1,N1416,9999999)</f>
        <v>9999999</v>
      </c>
      <c r="O1475" s="76" t="n">
        <f aca="false">IF(O1471=1,O1416,9999999)</f>
        <v>9999999</v>
      </c>
    </row>
    <row r="1480" customFormat="false" ht="15" hidden="false" customHeight="false" outlineLevel="0" collapsed="false">
      <c r="B1480" s="45" t="str">
        <f aca="false">Y$5</f>
        <v>Appels à douze mois 22.5 % de l'actif net</v>
      </c>
      <c r="C1480" s="45" t="s">
        <v>55</v>
      </c>
      <c r="D1480" s="45" t="n">
        <v>23</v>
      </c>
      <c r="E1480" s="2"/>
      <c r="F1480" s="2"/>
      <c r="G1480" s="2"/>
      <c r="H1480" s="2"/>
      <c r="I1480" s="2"/>
      <c r="J1480" s="2"/>
      <c r="K1480" s="2"/>
      <c r="L1480" s="2"/>
      <c r="M1480" s="2"/>
      <c r="N1480" s="2"/>
      <c r="O1480" s="2"/>
    </row>
    <row r="1481" customFormat="false" ht="15" hidden="false" customHeight="false" outlineLevel="0" collapsed="false">
      <c r="B1481" s="65" t="s">
        <v>1019</v>
      </c>
      <c r="C1481" s="65" t="n">
        <v>0</v>
      </c>
      <c r="D1481" s="65" t="n">
        <v>1</v>
      </c>
      <c r="E1481" s="65" t="n">
        <v>2</v>
      </c>
      <c r="F1481" s="65" t="n">
        <v>3</v>
      </c>
      <c r="G1481" s="65" t="n">
        <v>4</v>
      </c>
      <c r="H1481" s="65" t="n">
        <v>5</v>
      </c>
      <c r="I1481" s="65" t="n">
        <v>6</v>
      </c>
      <c r="J1481" s="65" t="n">
        <v>7</v>
      </c>
      <c r="K1481" s="65" t="n">
        <v>8</v>
      </c>
      <c r="L1481" s="65" t="n">
        <v>9</v>
      </c>
      <c r="M1481" s="65" t="n">
        <v>10</v>
      </c>
      <c r="N1481" s="65" t="n">
        <v>11</v>
      </c>
      <c r="O1481" s="65" t="n">
        <v>12</v>
      </c>
    </row>
    <row r="1482" customFormat="false" ht="15" hidden="false" customHeight="false" outlineLevel="0" collapsed="false">
      <c r="B1482" s="65" t="s">
        <v>209</v>
      </c>
      <c r="C1482" s="71" t="n">
        <f aca="false">Date_depart</f>
        <v>47026</v>
      </c>
      <c r="D1482" s="71" t="n">
        <f aca="false">EOMONTH(Date_depart,3*D1481)</f>
        <v>47118</v>
      </c>
      <c r="E1482" s="71" t="n">
        <f aca="false">EOMONTH(Date_depart,3*E1481)</f>
        <v>47208</v>
      </c>
      <c r="F1482" s="71" t="n">
        <f aca="false">EOMONTH(Date_depart,3*F1481)</f>
        <v>47299</v>
      </c>
      <c r="G1482" s="71" t="n">
        <f aca="false">EOMONTH(Date_depart,3*G1481)</f>
        <v>47391</v>
      </c>
      <c r="H1482" s="71" t="n">
        <f aca="false">EOMONTH(Date_depart,3*H1481)</f>
        <v>47483</v>
      </c>
      <c r="I1482" s="71" t="n">
        <f aca="false">EOMONTH(Date_depart,3*I1481)</f>
        <v>47573</v>
      </c>
      <c r="J1482" s="71" t="n">
        <f aca="false">EOMONTH(Date_depart,3*J1481)</f>
        <v>47664</v>
      </c>
      <c r="K1482" s="71" t="n">
        <f aca="false">EOMONTH(Date_depart,3*K1481)</f>
        <v>47756</v>
      </c>
      <c r="L1482" s="71" t="n">
        <f aca="false">EOMONTH(Date_depart,3*L1481)</f>
        <v>47848</v>
      </c>
      <c r="M1482" s="71" t="n">
        <f aca="false">EOMONTH(Date_depart,3*M1481)</f>
        <v>47938</v>
      </c>
      <c r="N1482" s="71" t="n">
        <f aca="false">EOMONTH(Date_depart,3*N1481)</f>
        <v>48029</v>
      </c>
      <c r="O1482" s="71" t="n">
        <f aca="false">EOMONTH(Date_depart,3*O1481)</f>
        <v>48121</v>
      </c>
    </row>
    <row r="1483" customFormat="false" ht="15" hidden="false" customHeight="false" outlineLevel="0" collapsed="false">
      <c r="B1483" s="65" t="s">
        <v>1020</v>
      </c>
      <c r="C1483" s="65" t="n">
        <v>0</v>
      </c>
      <c r="D1483" s="65" t="n">
        <f aca="false">IF(OR(MONTH(D1482)=6,MONTH(D1482)=12),1,0)</f>
        <v>1</v>
      </c>
      <c r="E1483" s="65" t="n">
        <f aca="false">IF(OR(MONTH(E1482)=6,MONTH(E1482)=12),1,0)</f>
        <v>0</v>
      </c>
      <c r="F1483" s="65" t="n">
        <f aca="false">IF(OR(MONTH(F1482)=6,MONTH(F1482)=12),1,0)</f>
        <v>1</v>
      </c>
      <c r="G1483" s="65" t="n">
        <f aca="false">IF(OR(MONTH(G1482)=6,MONTH(G1482)=12),1,0)</f>
        <v>0</v>
      </c>
      <c r="H1483" s="65" t="n">
        <f aca="false">IF(OR(MONTH(H1482)=6,MONTH(H1482)=12),1,0)</f>
        <v>1</v>
      </c>
      <c r="I1483" s="65" t="n">
        <f aca="false">IF(OR(MONTH(I1482)=6,MONTH(I1482)=12),1,0)</f>
        <v>0</v>
      </c>
      <c r="J1483" s="65" t="n">
        <f aca="false">IF(OR(MONTH(J1482)=6,MONTH(J1482)=12),1,0)</f>
        <v>1</v>
      </c>
      <c r="K1483" s="65" t="n">
        <f aca="false">IF(OR(MONTH(K1482)=6,MONTH(K1482)=12),1,0)</f>
        <v>0</v>
      </c>
      <c r="L1483" s="65" t="n">
        <f aca="false">IF(OR(MONTH(L1482)=6,MONTH(L1482)=12),1,0)</f>
        <v>1</v>
      </c>
      <c r="M1483" s="65" t="n">
        <f aca="false">IF(OR(MONTH(M1482)=6,MONTH(M1482)=12),1,0)</f>
        <v>0</v>
      </c>
      <c r="N1483" s="65" t="n">
        <f aca="false">IF(OR(MONTH(N1482)=6,MONTH(N1482)=12),1,0)</f>
        <v>1</v>
      </c>
      <c r="O1483" s="65" t="n">
        <f aca="false">IF(OR(MONTH(O1482)=6,MONTH(O1482)=12),1,0)</f>
        <v>0</v>
      </c>
    </row>
    <row r="1484" customFormat="false" ht="15" hidden="false" customHeight="false" outlineLevel="0" collapsed="false">
      <c r="B1484" s="65" t="s">
        <v>1021</v>
      </c>
      <c r="C1484" s="65" t="n">
        <v>0</v>
      </c>
      <c r="D1484" s="65" t="n">
        <f aca="false">C1484+D1483</f>
        <v>1</v>
      </c>
      <c r="E1484" s="65" t="n">
        <f aca="false">D1484+E1483</f>
        <v>1</v>
      </c>
      <c r="F1484" s="65" t="n">
        <f aca="false">E1484+F1483</f>
        <v>2</v>
      </c>
      <c r="G1484" s="65" t="n">
        <f aca="false">F1484+G1483</f>
        <v>2</v>
      </c>
      <c r="H1484" s="65" t="n">
        <f aca="false">G1484+H1483</f>
        <v>3</v>
      </c>
      <c r="I1484" s="65" t="n">
        <f aca="false">H1484+I1483</f>
        <v>3</v>
      </c>
      <c r="J1484" s="65" t="n">
        <f aca="false">I1484+J1483</f>
        <v>4</v>
      </c>
      <c r="K1484" s="65" t="n">
        <f aca="false">J1484+K1483</f>
        <v>4</v>
      </c>
      <c r="L1484" s="65" t="n">
        <f aca="false">K1484+L1483</f>
        <v>5</v>
      </c>
      <c r="M1484" s="65" t="n">
        <f aca="false">L1484+M1483</f>
        <v>5</v>
      </c>
      <c r="N1484" s="65" t="n">
        <f aca="false">M1484+N1483</f>
        <v>6</v>
      </c>
      <c r="O1484" s="65" t="n">
        <f aca="false">N1484+O1483</f>
        <v>6</v>
      </c>
    </row>
    <row r="1485" customFormat="false" ht="15" hidden="false" customHeight="false" outlineLevel="0" collapsed="false">
      <c r="B1485" s="65" t="s">
        <v>1022</v>
      </c>
      <c r="C1485" s="25"/>
      <c r="D1485" s="72" t="n">
        <f aca="false">IF(D1483=1,IF(C1495=1,0,IF(D1484=1,$Y$6,IF(D1484=2,$Y$7,$Y$8))),0)</f>
        <v>0.02</v>
      </c>
      <c r="E1485" s="72" t="n">
        <f aca="false">IF(E1483=1,IF(D1495=1,0,IF(E1484=1,$Y$6,IF(E1484=2,$Y$7,$Y$8))),0)</f>
        <v>0</v>
      </c>
      <c r="F1485" s="72" t="n">
        <f aca="false">IF(F1483=1,IF(E1495=1,0,IF(F1484=1,$Y$6,IF(F1484=2,$Y$7,$Y$8))),0)</f>
        <v>0.02</v>
      </c>
      <c r="G1485" s="72" t="n">
        <f aca="false">IF(G1483=1,IF(F1495=1,0,IF(G1484=1,$Y$6,IF(G1484=2,$Y$7,$Y$8))),0)</f>
        <v>0</v>
      </c>
      <c r="H1485" s="72" t="n">
        <f aca="false">IF(H1483=1,IF(G1495=1,0,IF(H1484=1,$Y$6,IF(H1484=2,$Y$7,$Y$8))),0)</f>
        <v>0.02</v>
      </c>
      <c r="I1485" s="72" t="n">
        <f aca="false">IF(I1483=1,IF(H1495=1,0,IF(I1484=1,$Y$6,IF(I1484=2,$Y$7,$Y$8))),0)</f>
        <v>0</v>
      </c>
      <c r="J1485" s="72" t="n">
        <f aca="false">IF(J1483=1,IF(I1495=1,0,IF(J1484=1,$Y$6,IF(J1484=2,$Y$7,$Y$8))),0)</f>
        <v>0.02</v>
      </c>
      <c r="K1485" s="72" t="n">
        <f aca="false">IF(K1483=1,IF(J1495=1,0,IF(K1484=1,$Y$6,IF(K1484=2,$Y$7,$Y$8))),0)</f>
        <v>0</v>
      </c>
      <c r="L1485" s="72" t="n">
        <f aca="false">IF(L1483=1,IF(K1495=1,0,IF(L1484=1,$Y$6,IF(L1484=2,$Y$7,$Y$8))),0)</f>
        <v>0.02</v>
      </c>
      <c r="M1485" s="72" t="n">
        <f aca="false">IF(M1483=1,IF(L1495=1,0,IF(M1484=1,$Y$6,IF(M1484=2,$Y$7,$Y$8))),0)</f>
        <v>0</v>
      </c>
      <c r="N1485" s="72" t="n">
        <f aca="false">IF(N1483=1,IF(M1495=1,0,IF(N1484=1,$Y$6,IF(N1484=2,$Y$7,$Y$8))),0)</f>
        <v>0.02</v>
      </c>
      <c r="O1485" s="72" t="n">
        <f aca="false">IF(O1483=1,IF(N1495=1,0,IF(O1484=1,$Y$6,IF(O1484=2,$Y$7,$Y$8))),0)</f>
        <v>0</v>
      </c>
    </row>
    <row r="1486" customFormat="false" ht="15" hidden="false" customHeight="false" outlineLevel="0" collapsed="false">
      <c r="B1486" s="65" t="s">
        <v>1023</v>
      </c>
      <c r="C1486" s="25"/>
      <c r="D1486" s="73" t="n">
        <f aca="false">C1530</f>
        <v>50000000</v>
      </c>
      <c r="E1486" s="73" t="n">
        <f aca="false">D1530</f>
        <v>49600643.75</v>
      </c>
      <c r="F1486" s="73" t="n">
        <f aca="false">E1530</f>
        <v>50360190.7757813</v>
      </c>
      <c r="G1486" s="73" t="n">
        <f aca="false">F1530</f>
        <v>50148640.4971619</v>
      </c>
      <c r="H1486" s="73" t="n">
        <f aca="false">G1530</f>
        <v>50977704.2194659</v>
      </c>
      <c r="I1486" s="73" t="n">
        <f aca="false">H1530</f>
        <v>50692858.3560589</v>
      </c>
      <c r="J1486" s="73" t="n">
        <f aca="false">I1530</f>
        <v>51528529.9915201</v>
      </c>
      <c r="K1486" s="73" t="n">
        <f aca="false">J1530</f>
        <v>51230195.3203055</v>
      </c>
      <c r="L1486" s="73" t="n">
        <f aca="false">K1530</f>
        <v>52064919.0667063</v>
      </c>
      <c r="M1486" s="73" t="n">
        <f aca="false">L1530</f>
        <v>51754010.0003941</v>
      </c>
      <c r="N1486" s="73" t="n">
        <f aca="false">M1530</f>
        <v>52588399.8099952</v>
      </c>
      <c r="O1486" s="73" t="n">
        <f aca="false">N1530</f>
        <v>52457750.9837776</v>
      </c>
    </row>
    <row r="1487" customFormat="false" ht="15" hidden="false" customHeight="false" outlineLevel="0" collapsed="false">
      <c r="B1487" s="65" t="s">
        <v>177</v>
      </c>
      <c r="C1487" s="25"/>
      <c r="D1487" s="73" t="n">
        <f aca="false">IF(C1495=1,0,$Y$9*D1486)</f>
        <v>0</v>
      </c>
      <c r="E1487" s="73" t="n">
        <f aca="false">IF(D1495=1,0,$Y$9*E1486)</f>
        <v>0</v>
      </c>
      <c r="F1487" s="73" t="n">
        <f aca="false">IF(E1495=1,0,$Y$9*F1486)</f>
        <v>0</v>
      </c>
      <c r="G1487" s="73" t="n">
        <f aca="false">IF(F1495=1,0,$Y$9*G1486)</f>
        <v>0</v>
      </c>
      <c r="H1487" s="73" t="n">
        <f aca="false">IF(G1495=1,0,$Y$9*H1486)</f>
        <v>0</v>
      </c>
      <c r="I1487" s="73" t="n">
        <f aca="false">IF(H1495=1,0,$Y$9*I1486)</f>
        <v>0</v>
      </c>
      <c r="J1487" s="73" t="n">
        <f aca="false">IF(I1495=1,0,$Y$9*J1486)</f>
        <v>0</v>
      </c>
      <c r="K1487" s="73" t="n">
        <f aca="false">IF(J1495=1,0,$Y$9*K1486)</f>
        <v>0</v>
      </c>
      <c r="L1487" s="73" t="n">
        <f aca="false">IF(K1495=1,0,$Y$9*L1486)</f>
        <v>0</v>
      </c>
      <c r="M1487" s="73" t="n">
        <f aca="false">IF(L1495=1,0,$Y$9*M1486)</f>
        <v>0</v>
      </c>
      <c r="N1487" s="73" t="n">
        <f aca="false">IF(M1495=1,0,$Y$9*N1486)</f>
        <v>0</v>
      </c>
      <c r="O1487" s="73" t="n">
        <f aca="false">IF(N1495=1,0,$Y$9*O1486)</f>
        <v>0</v>
      </c>
    </row>
    <row r="1488" customFormat="false" ht="15" hidden="false" customHeight="false" outlineLevel="0" collapsed="false">
      <c r="B1488" s="65" t="s">
        <v>1024</v>
      </c>
      <c r="C1488" s="25"/>
      <c r="D1488" s="73" t="n">
        <f aca="false">D1485*D1486</f>
        <v>1000000</v>
      </c>
      <c r="E1488" s="73" t="n">
        <f aca="false">E1485*E1486</f>
        <v>0</v>
      </c>
      <c r="F1488" s="73" t="n">
        <f aca="false">F1485*F1486</f>
        <v>1007203.81551563</v>
      </c>
      <c r="G1488" s="73" t="n">
        <f aca="false">G1485*G1486</f>
        <v>0</v>
      </c>
      <c r="H1488" s="73" t="n">
        <f aca="false">H1485*H1486</f>
        <v>1019554.08438932</v>
      </c>
      <c r="I1488" s="73" t="n">
        <f aca="false">I1485*I1486</f>
        <v>0</v>
      </c>
      <c r="J1488" s="73" t="n">
        <f aca="false">J1485*J1486</f>
        <v>1030570.5998304</v>
      </c>
      <c r="K1488" s="73" t="n">
        <f aca="false">K1485*K1486</f>
        <v>0</v>
      </c>
      <c r="L1488" s="73" t="n">
        <f aca="false">L1485*L1486</f>
        <v>1041298.38133413</v>
      </c>
      <c r="M1488" s="73" t="n">
        <f aca="false">M1485*M1486</f>
        <v>0</v>
      </c>
      <c r="N1488" s="73" t="n">
        <f aca="false">N1485*N1486</f>
        <v>1051767.9961999</v>
      </c>
      <c r="O1488" s="73" t="n">
        <f aca="false">O1485*O1486</f>
        <v>0</v>
      </c>
    </row>
    <row r="1489" customFormat="false" ht="15" hidden="false" customHeight="false" outlineLevel="0" collapsed="false">
      <c r="B1489" s="65" t="s">
        <v>1025</v>
      </c>
      <c r="C1489" s="25"/>
      <c r="D1489" s="73" t="n">
        <f aca="false">C1497</f>
        <v>0</v>
      </c>
      <c r="E1489" s="73" t="n">
        <f aca="false">D1497</f>
        <v>0</v>
      </c>
      <c r="F1489" s="73" t="n">
        <f aca="false">E1497</f>
        <v>0</v>
      </c>
      <c r="G1489" s="73" t="n">
        <f aca="false">F1497</f>
        <v>0</v>
      </c>
      <c r="H1489" s="73" t="n">
        <f aca="false">G1497</f>
        <v>0</v>
      </c>
      <c r="I1489" s="73" t="n">
        <f aca="false">H1497</f>
        <v>0</v>
      </c>
      <c r="J1489" s="73" t="n">
        <f aca="false">I1497</f>
        <v>0</v>
      </c>
      <c r="K1489" s="73" t="n">
        <f aca="false">J1497</f>
        <v>0</v>
      </c>
      <c r="L1489" s="73" t="n">
        <f aca="false">K1497</f>
        <v>0</v>
      </c>
      <c r="M1489" s="73" t="n">
        <f aca="false">L1497</f>
        <v>0</v>
      </c>
      <c r="N1489" s="73" t="n">
        <f aca="false">M1497</f>
        <v>0</v>
      </c>
      <c r="O1489" s="73" t="n">
        <f aca="false">N1497</f>
        <v>0</v>
      </c>
    </row>
    <row r="1490" customFormat="false" ht="15" hidden="false" customHeight="false" outlineLevel="0" collapsed="false">
      <c r="B1490" s="65" t="s">
        <v>1026</v>
      </c>
      <c r="C1490" s="25"/>
      <c r="D1490" s="73" t="n">
        <f aca="false">D1488+D1489</f>
        <v>1000000</v>
      </c>
      <c r="E1490" s="73" t="n">
        <f aca="false">E1488+E1489</f>
        <v>0</v>
      </c>
      <c r="F1490" s="73" t="n">
        <f aca="false">F1488+F1489</f>
        <v>1007203.81551563</v>
      </c>
      <c r="G1490" s="73" t="n">
        <f aca="false">G1488+G1489</f>
        <v>0</v>
      </c>
      <c r="H1490" s="73" t="n">
        <f aca="false">H1488+H1489</f>
        <v>1019554.08438932</v>
      </c>
      <c r="I1490" s="73" t="n">
        <f aca="false">I1488+I1489</f>
        <v>0</v>
      </c>
      <c r="J1490" s="73" t="n">
        <f aca="false">J1488+J1489</f>
        <v>1030570.5998304</v>
      </c>
      <c r="K1490" s="73" t="n">
        <f aca="false">K1488+K1489</f>
        <v>0</v>
      </c>
      <c r="L1490" s="73" t="n">
        <f aca="false">L1488+L1489</f>
        <v>1041298.38133413</v>
      </c>
      <c r="M1490" s="73" t="n">
        <f aca="false">M1488+M1489</f>
        <v>0</v>
      </c>
      <c r="N1490" s="73" t="n">
        <f aca="false">N1488+N1489</f>
        <v>1051767.9961999</v>
      </c>
      <c r="O1490" s="73" t="n">
        <f aca="false">O1488+O1489</f>
        <v>0</v>
      </c>
    </row>
    <row r="1491" customFormat="false" ht="15" hidden="false" customHeight="false" outlineLevel="0" collapsed="false">
      <c r="B1491" s="65" t="s">
        <v>1027</v>
      </c>
      <c r="C1491" s="25"/>
      <c r="D1491" s="73" t="n">
        <f aca="false">IF($Y$21=1,Gate*D1486+D1487,D1490)</f>
        <v>2500000</v>
      </c>
      <c r="E1491" s="73" t="n">
        <f aca="false">IF($Y$21=1,Gate*E1486+E1487,E1490)</f>
        <v>2480032.1875</v>
      </c>
      <c r="F1491" s="73" t="n">
        <f aca="false">IF($Y$21=1,Gate*F1486+F1487,F1490)</f>
        <v>2518009.53878906</v>
      </c>
      <c r="G1491" s="73" t="n">
        <f aca="false">IF($Y$21=1,Gate*G1486+G1487,G1490)</f>
        <v>2507432.0248581</v>
      </c>
      <c r="H1491" s="73" t="n">
        <f aca="false">IF($Y$21=1,Gate*H1486+H1487,H1490)</f>
        <v>2548885.2109733</v>
      </c>
      <c r="I1491" s="73" t="n">
        <f aca="false">IF($Y$21=1,Gate*I1486+I1487,I1490)</f>
        <v>2534642.91780295</v>
      </c>
      <c r="J1491" s="73" t="n">
        <f aca="false">IF($Y$21=1,Gate*J1486+J1487,J1490)</f>
        <v>2576426.49957601</v>
      </c>
      <c r="K1491" s="73" t="n">
        <f aca="false">IF($Y$21=1,Gate*K1486+K1487,K1490)</f>
        <v>2561509.76601528</v>
      </c>
      <c r="L1491" s="73" t="n">
        <f aca="false">IF($Y$21=1,Gate*L1486+L1487,L1490)</f>
        <v>2603245.95333532</v>
      </c>
      <c r="M1491" s="73" t="n">
        <f aca="false">IF($Y$21=1,Gate*M1486+M1487,M1490)</f>
        <v>2587700.5000197</v>
      </c>
      <c r="N1491" s="73" t="n">
        <f aca="false">IF($Y$21=1,Gate*N1486+N1487,N1490)</f>
        <v>2629419.99049976</v>
      </c>
      <c r="O1491" s="73" t="n">
        <f aca="false">IF($Y$21=1,Gate*O1486+O1487,O1490)</f>
        <v>2622887.54918888</v>
      </c>
    </row>
    <row r="1492" customFormat="false" ht="15" hidden="false" customHeight="false" outlineLevel="0" collapsed="false">
      <c r="B1492" s="65" t="s">
        <v>1028</v>
      </c>
      <c r="C1492" s="25"/>
      <c r="D1492" s="73" t="n">
        <f aca="false">IF(D1483=1,MIN(D1490,D1491),0)</f>
        <v>1000000</v>
      </c>
      <c r="E1492" s="73" t="n">
        <f aca="false">IF(E1483=1,MIN(E1490,E1491),0)</f>
        <v>0</v>
      </c>
      <c r="F1492" s="73" t="n">
        <f aca="false">IF(F1483=1,MIN(F1490,F1491),0)</f>
        <v>1007203.81551563</v>
      </c>
      <c r="G1492" s="73" t="n">
        <f aca="false">IF(G1483=1,MIN(G1490,G1491),0)</f>
        <v>0</v>
      </c>
      <c r="H1492" s="73" t="n">
        <f aca="false">IF(H1483=1,MIN(H1490,H1491),0)</f>
        <v>1019554.08438932</v>
      </c>
      <c r="I1492" s="73" t="n">
        <f aca="false">IF(I1483=1,MIN(I1490,I1491),0)</f>
        <v>0</v>
      </c>
      <c r="J1492" s="73" t="n">
        <f aca="false">IF(J1483=1,MIN(J1490,J1491),0)</f>
        <v>1030570.5998304</v>
      </c>
      <c r="K1492" s="73" t="n">
        <f aca="false">IF(K1483=1,MIN(K1490,K1491),0)</f>
        <v>0</v>
      </c>
      <c r="L1492" s="73" t="n">
        <f aca="false">IF(L1483=1,MIN(L1490,L1491),0)</f>
        <v>1041298.38133413</v>
      </c>
      <c r="M1492" s="73" t="n">
        <f aca="false">IF(M1483=1,MIN(M1490,M1491),0)</f>
        <v>0</v>
      </c>
      <c r="N1492" s="73" t="n">
        <f aca="false">IF(N1483=1,MIN(N1490,N1491),0)</f>
        <v>1051767.9961999</v>
      </c>
      <c r="O1492" s="73" t="n">
        <f aca="false">IF(O1483=1,MIN(O1490,O1491),0)</f>
        <v>0</v>
      </c>
    </row>
    <row r="1493" customFormat="false" ht="15" hidden="false" customHeight="false" outlineLevel="0" collapsed="false">
      <c r="B1493" s="65" t="s">
        <v>1029</v>
      </c>
      <c r="C1493" s="25"/>
      <c r="D1493" s="73" t="n">
        <f aca="false">MAX(0,D1521+D1512+D1513-Poche_min_exec*D1486-D1492-SUM(E1518:F1518)+MAX(0,MIN($Y$20*AN_cible,Emprunt_max*D1486)-C1529))</f>
        <v>0</v>
      </c>
      <c r="E1493" s="73" t="n">
        <f aca="false">MAX(0,E1521+E1512+E1513-Poche_min_exec*E1486-E1492-SUM(F1518:G1518)+MAX(0,MIN($Y$20*AN_cible,Emprunt_max*E1486)-D1529))</f>
        <v>0</v>
      </c>
      <c r="F1493" s="73" t="n">
        <f aca="false">MAX(0,F1521+F1512+F1513-Poche_min_exec*F1486-F1492-SUM(G1518:H1518)+MAX(0,MIN($Y$20*AN_cible,Emprunt_max*F1486)-E1529))</f>
        <v>0</v>
      </c>
      <c r="G1493" s="73" t="n">
        <f aca="false">MAX(0,G1521+G1512+G1513-Poche_min_exec*G1486-G1492-SUM(H1518:I1518)+MAX(0,MIN($Y$20*AN_cible,Emprunt_max*G1486)-F1529))</f>
        <v>0</v>
      </c>
      <c r="H1493" s="73" t="n">
        <f aca="false">MAX(0,H1521+H1512+H1513-Poche_min_exec*H1486-H1492-SUM(I1518:J1518)+MAX(0,MIN($Y$20*AN_cible,Emprunt_max*H1486)-G1529))</f>
        <v>0</v>
      </c>
      <c r="I1493" s="73" t="n">
        <f aca="false">MAX(0,I1521+I1512+I1513-Poche_min_exec*I1486-I1492-SUM(J1518:K1518)+MAX(0,MIN($Y$20*AN_cible,Emprunt_max*I1486)-H1529))</f>
        <v>0</v>
      </c>
      <c r="J1493" s="73" t="n">
        <f aca="false">MAX(0,J1521+J1512+J1513-Poche_min_exec*J1486-J1492-SUM(K1518:L1518)+MAX(0,MIN($Y$20*AN_cible,Emprunt_max*J1486)-I1529))</f>
        <v>0</v>
      </c>
      <c r="K1493" s="73" t="n">
        <f aca="false">MAX(0,K1521+K1512+K1513-Poche_min_exec*K1486-K1492-SUM(L1518:M1518)+MAX(0,MIN($Y$20*AN_cible,Emprunt_max*K1486)-J1529))</f>
        <v>0</v>
      </c>
      <c r="L1493" s="73" t="n">
        <f aca="false">MAX(0,L1521+L1512+L1513-Poche_min_exec*L1486-L1492-SUM(M1518:N1518)+MAX(0,MIN($Y$20*AN_cible,Emprunt_max*L1486)-K1529))</f>
        <v>0</v>
      </c>
      <c r="M1493" s="73" t="n">
        <f aca="false">MAX(0,M1521+M1512+M1513-Poche_min_exec*M1486-M1492-SUM(N1518:O1518)+MAX(0,MIN($Y$20*AN_cible,Emprunt_max*M1486)-L1529))</f>
        <v>0</v>
      </c>
      <c r="N1493" s="73" t="n">
        <f aca="false">MAX(0,N1521+N1512+N1513-Poche_min_exec*N1486-N1492-SUM(O1518:O1518)+MAX(0,MIN($Y$20*AN_cible,Emprunt_max*N1486)-M1529))</f>
        <v>0</v>
      </c>
      <c r="O1493" s="73" t="n">
        <f aca="false">MAX(0,O1521+O1512+O1513-Poche_min_exec*O1486-O1492-0+MAX(0,MIN($Y$20*AN_cible,Emprunt_max*O1486)-N1529))</f>
        <v>0</v>
      </c>
    </row>
    <row r="1494" customFormat="false" ht="15" hidden="false" customHeight="false" outlineLevel="0" collapsed="false">
      <c r="B1494" s="65" t="s">
        <v>1030</v>
      </c>
      <c r="C1494" s="25"/>
      <c r="D1494" s="73" t="n">
        <f aca="false">IF(AND(D1483=1,$Y$21=1,$Y$22=1),MIN(D1490-D1492,D1493),0)</f>
        <v>0</v>
      </c>
      <c r="E1494" s="73" t="n">
        <f aca="false">IF(AND(E1483=1,$Y$21=1,$Y$22=1),MIN(E1490-E1492,E1493),0)</f>
        <v>0</v>
      </c>
      <c r="F1494" s="73" t="n">
        <f aca="false">IF(AND(F1483=1,$Y$21=1,$Y$22=1),MIN(F1490-F1492,F1493),0)</f>
        <v>0</v>
      </c>
      <c r="G1494" s="73" t="n">
        <f aca="false">IF(AND(G1483=1,$Y$21=1,$Y$22=1),MIN(G1490-G1492,G1493),0)</f>
        <v>0</v>
      </c>
      <c r="H1494" s="73" t="n">
        <f aca="false">IF(AND(H1483=1,$Y$21=1,$Y$22=1),MIN(H1490-H1492,H1493),0)</f>
        <v>0</v>
      </c>
      <c r="I1494" s="73" t="n">
        <f aca="false">IF(AND(I1483=1,$Y$21=1,$Y$22=1),MIN(I1490-I1492,I1493),0)</f>
        <v>0</v>
      </c>
      <c r="J1494" s="73" t="n">
        <f aca="false">IF(AND(J1483=1,$Y$21=1,$Y$22=1),MIN(J1490-J1492,J1493),0)</f>
        <v>0</v>
      </c>
      <c r="K1494" s="73" t="n">
        <f aca="false">IF(AND(K1483=1,$Y$21=1,$Y$22=1),MIN(K1490-K1492,K1493),0)</f>
        <v>0</v>
      </c>
      <c r="L1494" s="73" t="n">
        <f aca="false">IF(AND(L1483=1,$Y$21=1,$Y$22=1),MIN(L1490-L1492,L1493),0)</f>
        <v>0</v>
      </c>
      <c r="M1494" s="73" t="n">
        <f aca="false">IF(AND(M1483=1,$Y$21=1,$Y$22=1),MIN(M1490-M1492,M1493),0)</f>
        <v>0</v>
      </c>
      <c r="N1494" s="73" t="n">
        <f aca="false">IF(AND(N1483=1,$Y$21=1,$Y$22=1),MIN(N1490-N1492,N1493),0)</f>
        <v>0</v>
      </c>
      <c r="O1494" s="73" t="n">
        <f aca="false">IF(AND(O1483=1,$Y$21=1,$Y$22=1),MIN(O1490-O1492,O1493),0)</f>
        <v>0</v>
      </c>
    </row>
    <row r="1495" customFormat="false" ht="15" hidden="false" customHeight="false" outlineLevel="0" collapsed="false">
      <c r="B1495" s="65" t="s">
        <v>1031</v>
      </c>
      <c r="C1495" s="65" t="n">
        <v>0</v>
      </c>
      <c r="D1495" s="65" t="n">
        <f aca="false">IF(C1495=1,1,IF(AND(D1483=1,$Y$21=1,C1499&gt;=Gate_dates,D1490-D1492-D1494&gt;0.000001),1,0))</f>
        <v>0</v>
      </c>
      <c r="E1495" s="65" t="n">
        <f aca="false">IF(D1495=1,1,IF(AND(E1483=1,$Y$21=1,D1499&gt;=Gate_dates,E1490-E1492-E1494&gt;0.000001),1,0))</f>
        <v>0</v>
      </c>
      <c r="F1495" s="65" t="n">
        <f aca="false">IF(E1495=1,1,IF(AND(F1483=1,$Y$21=1,E1499&gt;=Gate_dates,F1490-F1492-F1494&gt;0.000001),1,0))</f>
        <v>0</v>
      </c>
      <c r="G1495" s="65" t="n">
        <f aca="false">IF(F1495=1,1,IF(AND(G1483=1,$Y$21=1,F1499&gt;=Gate_dates,G1490-G1492-G1494&gt;0.000001),1,0))</f>
        <v>0</v>
      </c>
      <c r="H1495" s="65" t="n">
        <f aca="false">IF(G1495=1,1,IF(AND(H1483=1,$Y$21=1,G1499&gt;=Gate_dates,H1490-H1492-H1494&gt;0.000001),1,0))</f>
        <v>0</v>
      </c>
      <c r="I1495" s="65" t="n">
        <f aca="false">IF(H1495=1,1,IF(AND(I1483=1,$Y$21=1,H1499&gt;=Gate_dates,I1490-I1492-I1494&gt;0.000001),1,0))</f>
        <v>0</v>
      </c>
      <c r="J1495" s="65" t="n">
        <f aca="false">IF(I1495=1,1,IF(AND(J1483=1,$Y$21=1,I1499&gt;=Gate_dates,J1490-J1492-J1494&gt;0.000001),1,0))</f>
        <v>0</v>
      </c>
      <c r="K1495" s="65" t="n">
        <f aca="false">IF(J1495=1,1,IF(AND(K1483=1,$Y$21=1,J1499&gt;=Gate_dates,K1490-K1492-K1494&gt;0.000001),1,0))</f>
        <v>0</v>
      </c>
      <c r="L1495" s="65" t="n">
        <f aca="false">IF(K1495=1,1,IF(AND(L1483=1,$Y$21=1,K1499&gt;=Gate_dates,L1490-L1492-L1494&gt;0.000001),1,0))</f>
        <v>0</v>
      </c>
      <c r="M1495" s="65" t="n">
        <f aca="false">IF(L1495=1,1,IF(AND(M1483=1,$Y$21=1,L1499&gt;=Gate_dates,M1490-M1492-M1494&gt;0.000001),1,0))</f>
        <v>0</v>
      </c>
      <c r="N1495" s="65" t="n">
        <f aca="false">IF(M1495=1,1,IF(AND(N1483=1,$Y$21=1,M1499&gt;=Gate_dates,N1490-N1492-N1494&gt;0.000001),1,0))</f>
        <v>0</v>
      </c>
      <c r="O1495" s="65" t="n">
        <f aca="false">IF(N1495=1,1,IF(AND(O1483=1,$Y$21=1,N1499&gt;=Gate_dates,O1490-O1492-O1494&gt;0.000001),1,0))</f>
        <v>0</v>
      </c>
    </row>
    <row r="1496" customFormat="false" ht="15" hidden="false" customHeight="false" outlineLevel="0" collapsed="false">
      <c r="B1496" s="65" t="s">
        <v>1032</v>
      </c>
      <c r="C1496" s="25"/>
      <c r="D1496" s="73" t="n">
        <f aca="false">IF(D1495=1,0,D1492+D1494)</f>
        <v>1000000</v>
      </c>
      <c r="E1496" s="73" t="n">
        <f aca="false">IF(E1495=1,0,E1492+E1494)</f>
        <v>0</v>
      </c>
      <c r="F1496" s="73" t="n">
        <f aca="false">IF(F1495=1,0,F1492+F1494)</f>
        <v>1007203.81551563</v>
      </c>
      <c r="G1496" s="73" t="n">
        <f aca="false">IF(G1495=1,0,G1492+G1494)</f>
        <v>0</v>
      </c>
      <c r="H1496" s="73" t="n">
        <f aca="false">IF(H1495=1,0,H1492+H1494)</f>
        <v>1019554.08438932</v>
      </c>
      <c r="I1496" s="73" t="n">
        <f aca="false">IF(I1495=1,0,I1492+I1494)</f>
        <v>0</v>
      </c>
      <c r="J1496" s="73" t="n">
        <f aca="false">IF(J1495=1,0,J1492+J1494)</f>
        <v>1030570.5998304</v>
      </c>
      <c r="K1496" s="73" t="n">
        <f aca="false">IF(K1495=1,0,K1492+K1494)</f>
        <v>0</v>
      </c>
      <c r="L1496" s="73" t="n">
        <f aca="false">IF(L1495=1,0,L1492+L1494)</f>
        <v>1041298.38133413</v>
      </c>
      <c r="M1496" s="73" t="n">
        <f aca="false">IF(M1495=1,0,M1492+M1494)</f>
        <v>0</v>
      </c>
      <c r="N1496" s="73" t="n">
        <f aca="false">IF(N1495=1,0,N1492+N1494)</f>
        <v>1051767.9961999</v>
      </c>
      <c r="O1496" s="73" t="n">
        <f aca="false">IF(O1495=1,0,O1492+O1494)</f>
        <v>0</v>
      </c>
    </row>
    <row r="1497" customFormat="false" ht="15" hidden="false" customHeight="false" outlineLevel="0" collapsed="false">
      <c r="B1497" s="65" t="s">
        <v>1033</v>
      </c>
      <c r="C1497" s="73" t="n">
        <v>0</v>
      </c>
      <c r="D1497" s="73" t="n">
        <f aca="false">D1490-D1496</f>
        <v>0</v>
      </c>
      <c r="E1497" s="73" t="n">
        <f aca="false">E1490-E1496</f>
        <v>0</v>
      </c>
      <c r="F1497" s="73" t="n">
        <f aca="false">F1490-F1496</f>
        <v>0</v>
      </c>
      <c r="G1497" s="73" t="n">
        <f aca="false">G1490-G1496</f>
        <v>0</v>
      </c>
      <c r="H1497" s="73" t="n">
        <f aca="false">H1490-H1496</f>
        <v>0</v>
      </c>
      <c r="I1497" s="73" t="n">
        <f aca="false">I1490-I1496</f>
        <v>0</v>
      </c>
      <c r="J1497" s="73" t="n">
        <f aca="false">J1490-J1496</f>
        <v>0</v>
      </c>
      <c r="K1497" s="73" t="n">
        <f aca="false">K1490-K1496</f>
        <v>0</v>
      </c>
      <c r="L1497" s="73" t="n">
        <f aca="false">L1490-L1496</f>
        <v>0</v>
      </c>
      <c r="M1497" s="73" t="n">
        <f aca="false">M1490-M1496</f>
        <v>0</v>
      </c>
      <c r="N1497" s="73" t="n">
        <f aca="false">N1490-N1496</f>
        <v>0</v>
      </c>
      <c r="O1497" s="73" t="n">
        <f aca="false">O1490-O1496</f>
        <v>0</v>
      </c>
    </row>
    <row r="1498" customFormat="false" ht="15" hidden="false" customHeight="false" outlineLevel="0" collapsed="false">
      <c r="B1498" s="65" t="s">
        <v>1034</v>
      </c>
      <c r="C1498" s="25"/>
      <c r="D1498" s="65" t="n">
        <f aca="false">IF(AND(D1483=1,D1495=0,D1497&gt;0.000001),1,0)</f>
        <v>0</v>
      </c>
      <c r="E1498" s="65" t="n">
        <f aca="false">IF(AND(E1483=1,E1495=0,E1497&gt;0.000001),1,0)</f>
        <v>0</v>
      </c>
      <c r="F1498" s="65" t="n">
        <f aca="false">IF(AND(F1483=1,F1495=0,F1497&gt;0.000001),1,0)</f>
        <v>0</v>
      </c>
      <c r="G1498" s="65" t="n">
        <f aca="false">IF(AND(G1483=1,G1495=0,G1497&gt;0.000001),1,0)</f>
        <v>0</v>
      </c>
      <c r="H1498" s="65" t="n">
        <f aca="false">IF(AND(H1483=1,H1495=0,H1497&gt;0.000001),1,0)</f>
        <v>0</v>
      </c>
      <c r="I1498" s="65" t="n">
        <f aca="false">IF(AND(I1483=1,I1495=0,I1497&gt;0.000001),1,0)</f>
        <v>0</v>
      </c>
      <c r="J1498" s="65" t="n">
        <f aca="false">IF(AND(J1483=1,J1495=0,J1497&gt;0.000001),1,0)</f>
        <v>0</v>
      </c>
      <c r="K1498" s="65" t="n">
        <f aca="false">IF(AND(K1483=1,K1495=0,K1497&gt;0.000001),1,0)</f>
        <v>0</v>
      </c>
      <c r="L1498" s="65" t="n">
        <f aca="false">IF(AND(L1483=1,L1495=0,L1497&gt;0.000001),1,0)</f>
        <v>0</v>
      </c>
      <c r="M1498" s="65" t="n">
        <f aca="false">IF(AND(M1483=1,M1495=0,M1497&gt;0.000001),1,0)</f>
        <v>0</v>
      </c>
      <c r="N1498" s="65" t="n">
        <f aca="false">IF(AND(N1483=1,N1495=0,N1497&gt;0.000001),1,0)</f>
        <v>0</v>
      </c>
      <c r="O1498" s="65" t="n">
        <f aca="false">IF(AND(O1483=1,O1495=0,O1497&gt;0.000001),1,0)</f>
        <v>0</v>
      </c>
    </row>
    <row r="1499" customFormat="false" ht="15" hidden="false" customHeight="false" outlineLevel="0" collapsed="false">
      <c r="B1499" s="65" t="s">
        <v>843</v>
      </c>
      <c r="C1499" s="65" t="n">
        <v>0</v>
      </c>
      <c r="D1499" s="65" t="n">
        <f aca="false">IF(D1483=1,IF(D1498=1,C1499+1,0),C1499)</f>
        <v>0</v>
      </c>
      <c r="E1499" s="65" t="n">
        <f aca="false">IF(E1483=1,IF(E1498=1,D1499+1,0),D1499)</f>
        <v>0</v>
      </c>
      <c r="F1499" s="65" t="n">
        <f aca="false">IF(F1483=1,IF(F1498=1,E1499+1,0),E1499)</f>
        <v>0</v>
      </c>
      <c r="G1499" s="65" t="n">
        <f aca="false">IF(G1483=1,IF(G1498=1,F1499+1,0),F1499)</f>
        <v>0</v>
      </c>
      <c r="H1499" s="65" t="n">
        <f aca="false">IF(H1483=1,IF(H1498=1,G1499+1,0),G1499)</f>
        <v>0</v>
      </c>
      <c r="I1499" s="65" t="n">
        <f aca="false">IF(I1483=1,IF(I1498=1,H1499+1,0),H1499)</f>
        <v>0</v>
      </c>
      <c r="J1499" s="65" t="n">
        <f aca="false">IF(J1483=1,IF(J1498=1,I1499+1,0),I1499)</f>
        <v>0</v>
      </c>
      <c r="K1499" s="65" t="n">
        <f aca="false">IF(K1483=1,IF(K1498=1,J1499+1,0),J1499)</f>
        <v>0</v>
      </c>
      <c r="L1499" s="65" t="n">
        <f aca="false">IF(L1483=1,IF(L1498=1,K1499+1,0),K1499)</f>
        <v>0</v>
      </c>
      <c r="M1499" s="65" t="n">
        <f aca="false">IF(M1483=1,IF(M1498=1,L1499+1,0),L1499)</f>
        <v>0</v>
      </c>
      <c r="N1499" s="65" t="n">
        <f aca="false">IF(N1483=1,IF(N1498=1,M1499+1,0),M1499)</f>
        <v>0</v>
      </c>
      <c r="O1499" s="65" t="n">
        <f aca="false">IF(O1483=1,IF(O1498=1,N1499+1,0),N1499)</f>
        <v>0</v>
      </c>
    </row>
    <row r="1500" customFormat="false" ht="15" hidden="false" customHeight="false" outlineLevel="0" collapsed="false">
      <c r="B1500" s="65" t="s">
        <v>1035</v>
      </c>
      <c r="C1500" s="73" t="n">
        <f aca="false">AN_cible*Ws_MAPIF</f>
        <v>12500000</v>
      </c>
      <c r="D1500" s="73" t="n">
        <f aca="false">C1500*(1+Rend_MAPIF/4)*IF(D1481=1,(1-(Cap_MAPIF*$Y$15+(1-Cap_MAPIF)*$Y$16))*(1+1*$Y$14),1)+D1510-D1504-D1525*IF((C1500+C1501+C1502+C1503)&gt;0,C1500/(C1500+C1501+C1502+C1503),0)</f>
        <v>14284062.5</v>
      </c>
      <c r="E1500" s="73" t="n">
        <f aca="false">D1500*(1+Rend_MAPIF/4)*IF(E1481=1,(1-(Cap_MAPIF*$Y$15+(1-Cap_MAPIF)*$Y$16))*(1+1*$Y$14),1)+E1510-E1504-E1525*IF((D1500+D1501+D1502+D1503)&gt;0,D1500/(D1500+D1501+D1502+D1503),0)</f>
        <v>16081906.8828125</v>
      </c>
      <c r="F1500" s="73" t="n">
        <f aca="false">E1500*(1+Rend_MAPIF/4)*IF(F1481=1,(1-(Cap_MAPIF*$Y$15+(1-Cap_MAPIF)*$Y$16))*(1+1*$Y$14),1)+F1510-F1504-F1525*IF((E1500+E1501+E1502+E1503)&gt;0,E1500/(E1500+E1501+E1502+E1503),0)</f>
        <v>17893639.6134822</v>
      </c>
      <c r="G1500" s="73" t="n">
        <f aca="false">F1500*(1+Rend_MAPIF/4)*IF(G1481=1,(1-(Cap_MAPIF*$Y$15+(1-Cap_MAPIF)*$Y$16))*(1+1*$Y$14),1)+G1510-G1504-G1525*IF((F1500+F1501+F1502+F1503)&gt;0,F1500/(F1500+F1501+F1502+F1503),0)</f>
        <v>19711218.515263</v>
      </c>
      <c r="H1500" s="73" t="n">
        <f aca="false">G1500*(1+Rend_MAPIF/4)*IF(H1481=1,(1-(Cap_MAPIF*$Y$15+(1-Cap_MAPIF)*$Y$16))*(1+1*$Y$14),1)+H1510-H1504-H1525*IF((G1500+G1501+G1502+G1503)&gt;0,G1500/(G1500+G1501+G1502+G1503),0)</f>
        <v>20371370.1645225</v>
      </c>
      <c r="I1500" s="73" t="n">
        <f aca="false">H1500*(1+Rend_MAPIF/4)*IF(I1481=1,(1-(Cap_MAPIF*$Y$15+(1-Cap_MAPIF)*$Y$16))*(1+1*$Y$14),1)+I1510-I1504-I1525*IF((H1500+H1501+H1502+H1503)&gt;0,H1500/(H1500+H1501+H1502+H1503),0)</f>
        <v>21438943.5999394</v>
      </c>
      <c r="J1500" s="73" t="n">
        <f aca="false">I1500*(1+Rend_MAPIF/4)*IF(J1481=1,(1-(Cap_MAPIF*$Y$15+(1-Cap_MAPIF)*$Y$16))*(1+1*$Y$14),1)+J1510-J1504-J1525*IF((I1500+I1501+I1502+I1503)&gt;0,I1500/(I1500+I1501+I1502+I1503),0)</f>
        <v>22016729.6436952</v>
      </c>
      <c r="K1500" s="73" t="n">
        <f aca="false">J1500*(1+Rend_MAPIF/4)*IF(K1481=1,(1-(Cap_MAPIF*$Y$15+(1-Cap_MAPIF)*$Y$16))*(1+1*$Y$14),1)+K1510-K1504-K1525*IF((J1500+J1501+J1502+J1503)&gt;0,J1500/(J1500+J1501+J1502+J1503),0)</f>
        <v>23039435.805101</v>
      </c>
      <c r="L1500" s="73" t="n">
        <f aca="false">K1500*(1+Rend_MAPIF/4)*IF(L1481=1,(1-(Cap_MAPIF*$Y$15+(1-Cap_MAPIF)*$Y$16))*(1+1*$Y$14),1)+L1510-L1504-L1525*IF((K1500+K1501+K1502+K1503)&gt;0,K1500/(K1500+K1501+K1502+K1503),0)</f>
        <v>23536617.4611662</v>
      </c>
      <c r="M1500" s="73" t="n">
        <f aca="false">L1500*(1+Rend_MAPIF/4)*IF(M1481=1,(1-(Cap_MAPIF*$Y$15+(1-Cap_MAPIF)*$Y$16))*(1+1*$Y$14),1)+M1510-M1504-M1525*IF((L1500+L1501+L1502+L1503)&gt;0,L1500/(L1500+L1501+L1502+L1503),0)</f>
        <v>24514249.5650604</v>
      </c>
      <c r="N1500" s="73" t="n">
        <f aca="false">M1500*(1+Rend_MAPIF/4)*IF(N1481=1,(1-(Cap_MAPIF*$Y$15+(1-Cap_MAPIF)*$Y$16))*(1+1*$Y$14),1)+N1510-N1504-N1525*IF((M1500+M1501+M1502+M1503)&gt;0,M1500/(M1500+M1501+M1502+M1503),0)</f>
        <v>24703622.1429505</v>
      </c>
      <c r="O1500" s="73" t="n">
        <f aca="false">N1500*(1+Rend_MAPIF/4)*IF(O1481=1,(1-(Cap_MAPIF*$Y$15+(1-Cap_MAPIF)*$Y$16))*(1+1*$Y$14),1)+O1510-O1504-O1525*IF((N1500+N1501+N1502+N1503)&gt;0,N1500/(N1500+N1501+N1502+N1503),0)</f>
        <v>24894457.6240048</v>
      </c>
    </row>
    <row r="1501" customFormat="false" ht="15" hidden="false" customHeight="false" outlineLevel="0" collapsed="false">
      <c r="B1501" s="65" t="s">
        <v>1036</v>
      </c>
      <c r="C1501" s="73" t="n">
        <f aca="false">AN_cible*Ws_MSIG</f>
        <v>5500000</v>
      </c>
      <c r="D1501" s="73" t="n">
        <f aca="false">C1501*(1+Rend_MSIG/4)*IF(D1481=1,(1-(Cap_MSIG*$Y$15+(1-Cap_MSIG)*$Y$16))*(1+MSIG_USD*$Y$14),1)+D1511-D1505-D1525*IF((C1500+C1501+C1502+C1503)&gt;0,C1501/(C1500+C1501+C1502+C1503),0)</f>
        <v>6648237.5</v>
      </c>
      <c r="E1501" s="73" t="n">
        <f aca="false">D1501*(1+Rend_MSIG/4)*IF(E1481=1,(1-(Cap_MSIG*$Y$15+(1-Cap_MSIG)*$Y$16))*(1+MSIG_USD*$Y$14),1)+E1511-E1505-E1525*IF((D1500+D1501+D1502+D1503)&gt;0,D1501/(D1500+D1501+D1502+D1503),0)</f>
        <v>7801326.3034375</v>
      </c>
      <c r="F1501" s="73" t="n">
        <f aca="false">E1501*(1+Rend_MSIG/4)*IF(F1481=1,(1-(Cap_MSIG*$Y$15+(1-Cap_MSIG)*$Y$16))*(1+MSIG_USD*$Y$14),1)+F1511-F1505-F1525*IF((E1500+E1501+E1502+E1503)&gt;0,E1501/(E1500+E1501+E1502+E1503),0)</f>
        <v>8959286.90706953</v>
      </c>
      <c r="G1501" s="73" t="n">
        <f aca="false">F1501*(1+Rend_MSIG/4)*IF(G1481=1,(1-(Cap_MSIG*$Y$15+(1-Cap_MSIG)*$Y$16))*(1+MSIG_USD*$Y$14),1)+G1511-G1505-G1525*IF((F1500+F1501+F1502+F1503)&gt;0,F1501/(F1500+F1501+F1502+F1503),0)</f>
        <v>10118059.4841295</v>
      </c>
      <c r="H1501" s="73" t="n">
        <f aca="false">G1501*(1+Rend_MSIG/4)*IF(H1481=1,(1-(Cap_MSIG*$Y$15+(1-Cap_MSIG)*$Y$16))*(1+MSIG_USD*$Y$14),1)+H1511-H1505-H1525*IF((G1500+G1501+G1502+G1503)&gt;0,G1501/(G1500+G1501+G1502+G1503),0)</f>
        <v>10594032.7543889</v>
      </c>
      <c r="I1501" s="73" t="n">
        <f aca="false">H1501*(1+Rend_MSIG/4)*IF(I1481=1,(1-(Cap_MSIG*$Y$15+(1-Cap_MSIG)*$Y$16))*(1+MSIG_USD*$Y$14),1)+I1511-I1505-I1525*IF((H1500+H1501+H1502+H1503)&gt;0,H1501/(H1500+H1501+H1502+H1503),0)</f>
        <v>11277089.2319423</v>
      </c>
      <c r="J1501" s="73" t="n">
        <f aca="false">I1501*(1+Rend_MSIG/4)*IF(J1481=1,(1-(Cap_MSIG*$Y$15+(1-Cap_MSIG)*$Y$16))*(1+MSIG_USD*$Y$14),1)+J1511-J1505-J1525*IF((I1500+I1501+I1502+I1503)&gt;0,I1501/(I1500+I1501+I1502+I1503),0)</f>
        <v>11699779.6487591</v>
      </c>
      <c r="K1501" s="73" t="n">
        <f aca="false">J1501*(1+Rend_MSIG/4)*IF(K1481=1,(1-(Cap_MSIG*$Y$15+(1-Cap_MSIG)*$Y$16))*(1+MSIG_USD*$Y$14),1)+K1511-K1505-K1525*IF((J1500+J1501+J1502+J1503)&gt;0,J1501/(J1500+J1501+J1502+J1503),0)</f>
        <v>12354471.058251</v>
      </c>
      <c r="L1501" s="73" t="n">
        <f aca="false">K1501*(1+Rend_MSIG/4)*IF(L1481=1,(1-(Cap_MSIG*$Y$15+(1-Cap_MSIG)*$Y$16))*(1+MSIG_USD*$Y$14),1)+L1511-L1505-L1525*IF((K1500+K1501+K1502+K1503)&gt;0,K1501/(K1500+K1501+K1502+K1503),0)</f>
        <v>12724574.4416843</v>
      </c>
      <c r="M1501" s="73" t="n">
        <f aca="false">L1501*(1+Rend_MSIG/4)*IF(M1481=1,(1-(Cap_MSIG*$Y$15+(1-Cap_MSIG)*$Y$16))*(1+MSIG_USD*$Y$14),1)+M1511-M1505-M1525*IF((L1500+L1501+L1502+L1503)&gt;0,L1501/(L1500+L1501+L1502+L1503),0)</f>
        <v>13350367.0948724</v>
      </c>
      <c r="N1501" s="73" t="n">
        <f aca="false">M1501*(1+Rend_MSIG/4)*IF(N1481=1,(1-(Cap_MSIG*$Y$15+(1-Cap_MSIG)*$Y$16))*(1+MSIG_USD*$Y$14),1)+N1511-N1505-N1525*IF((M1500+M1501+M1502+M1503)&gt;0,M1501/(M1500+M1501+M1502+M1503),0)</f>
        <v>13406772.3958482</v>
      </c>
      <c r="O1501" s="73" t="n">
        <f aca="false">N1501*(1+Rend_MSIG/4)*IF(O1481=1,(1-(Cap_MSIG*$Y$15+(1-Cap_MSIG)*$Y$16))*(1+MSIG_USD*$Y$14),1)+O1511-O1505-O1525*IF((N1500+N1501+N1502+N1503)&gt;0,N1501/(N1500+N1501+N1502+N1503),0)</f>
        <v>13463416.0092207</v>
      </c>
    </row>
    <row r="1502" customFormat="false" ht="15" hidden="false" customHeight="false" outlineLevel="0" collapsed="false">
      <c r="B1502" s="65" t="s">
        <v>1037</v>
      </c>
      <c r="C1502" s="73" t="n">
        <f aca="false">AN_cible*Ws_PG</f>
        <v>12250000</v>
      </c>
      <c r="D1502" s="73" t="n">
        <f aca="false">C1502*(1+Rend_PG/4)*IF(D1481=1,(1-(Cap_PG*$Y$15+(1-Cap_PG)*$Y$16))*(1+0*$Y$14),1)-D1506-D1522*IF((D1512+D1513)&gt;0,D1512/(D1512+D1513),0)+D1527/2-D1525*IF((C1500+C1501+C1502+C1503)&gt;0,C1502/(C1500+C1501+C1502+C1503),0)</f>
        <v>11888931.25</v>
      </c>
      <c r="E1502" s="73" t="n">
        <f aca="false">D1502*(1+Rend_PG/4)*IF(E1481=1,(1-(Cap_PG*$Y$15+(1-Cap_PG)*$Y$16))*(1+0*$Y$14),1)-E1506-E1522*IF((E1512+E1513)&gt;0,E1512/(E1512+E1513),0)+E1527/2-E1525*IF((D1500+D1501+D1502+D1503)&gt;0,D1502/(D1500+D1501+D1502+D1503),0)</f>
        <v>11538505.0014063</v>
      </c>
      <c r="F1502" s="73" t="n">
        <f aca="false">E1502*(1+Rend_PG/4)*IF(F1481=1,(1-(Cap_PG*$Y$15+(1-Cap_PG)*$Y$16))*(1+0*$Y$14),1)-F1506-F1522*IF((F1512+F1513)&gt;0,F1512/(F1512+F1513),0)+F1527/2-F1525*IF((E1500+E1501+E1502+E1503)&gt;0,E1502/(E1500+E1501+E1502+E1503),0)</f>
        <v>11198407.5664898</v>
      </c>
      <c r="G1502" s="73" t="n">
        <f aca="false">F1502*(1+Rend_PG/4)*IF(G1481=1,(1-(Cap_PG*$Y$15+(1-Cap_PG)*$Y$16))*(1+0*$Y$14),1)-G1506-G1522*IF((G1512+G1513)&gt;0,G1512/(G1512+G1513),0)+G1527/2-G1525*IF((F1500+F1501+F1502+F1503)&gt;0,F1502/(F1500+F1501+F1502+F1503),0)</f>
        <v>10863234.310108</v>
      </c>
      <c r="H1502" s="73" t="n">
        <f aca="false">G1502*(1+Rend_PG/4)*IF(H1481=1,(1-(Cap_PG*$Y$15+(1-Cap_PG)*$Y$16))*(1+0*$Y$14),1)-H1506-H1522*IF((H1512+H1513)&gt;0,H1512/(H1512+H1513),0)+H1527/2-H1525*IF((G1500+G1501+G1502+G1503)&gt;0,G1502/(G1500+G1501+G1502+G1503),0)</f>
        <v>10202935.064037</v>
      </c>
      <c r="I1502" s="73" t="n">
        <f aca="false">H1502*(1+Rend_PG/4)*IF(I1481=1,(1-(Cap_PG*$Y$15+(1-Cap_PG)*$Y$16))*(1+0*$Y$14),1)-I1506-I1522*IF((I1512+I1513)&gt;0,I1512/(I1512+I1513),0)+I1527/2-I1525*IF((H1500+H1501+H1502+H1503)&gt;0,H1502/(H1500+H1501+H1502+H1503),0)</f>
        <v>9794623.96994231</v>
      </c>
      <c r="J1502" s="73" t="n">
        <f aca="false">I1502*(1+Rend_PG/4)*IF(J1481=1,(1-(Cap_PG*$Y$15+(1-Cap_PG)*$Y$16))*(1+0*$Y$14),1)-J1506-J1522*IF((J1512+J1513)&gt;0,J1512/(J1512+J1513),0)+J1527/2-J1525*IF((I1500+I1501+I1502+I1503)&gt;0,I1502/(I1500+I1501+I1502+I1503),0)</f>
        <v>9180263.07050533</v>
      </c>
      <c r="K1502" s="73" t="n">
        <f aca="false">J1502*(1+Rend_PG/4)*IF(K1481=1,(1-(Cap_PG*$Y$15+(1-Cap_PG)*$Y$16))*(1+0*$Y$14),1)-K1506-K1522*IF((K1512+K1513)&gt;0,K1512/(K1512+K1513),0)+K1527/2-K1525*IF((J1500+J1501+J1502+J1503)&gt;0,J1502/(J1500+J1501+J1502+J1503),0)</f>
        <v>8796104.06720697</v>
      </c>
      <c r="L1502" s="73" t="n">
        <f aca="false">K1502*(1+Rend_PG/4)*IF(L1481=1,(1-(Cap_PG*$Y$15+(1-Cap_PG)*$Y$16))*(1+0*$Y$14),1)-L1506-L1522*IF((L1512+L1513)&gt;0,L1512/(L1512+L1513),0)+L1527/2-L1525*IF((K1500+K1501+K1502+K1503)&gt;0,K1502/(K1500+K1501+K1502+K1503),0)</f>
        <v>8229197.55835314</v>
      </c>
      <c r="M1502" s="73" t="n">
        <f aca="false">L1502*(1+Rend_PG/4)*IF(M1481=1,(1-(Cap_PG*$Y$15+(1-Cap_PG)*$Y$16))*(1+0*$Y$14),1)-M1506-M1522*IF((M1512+M1513)&gt;0,M1512/(M1512+M1513),0)+M1527/2-M1525*IF((L1500+L1501+L1502+L1503)&gt;0,L1502/(L1500+L1501+L1502+L1503),0)</f>
        <v>7871546.60818606</v>
      </c>
      <c r="N1502" s="73" t="n">
        <f aca="false">M1502*(1+Rend_PG/4)*IF(N1481=1,(1-(Cap_PG*$Y$15+(1-Cap_PG)*$Y$16))*(1+0*$Y$14),1)-N1506-N1522*IF((N1512+N1513)&gt;0,N1512/(N1512+N1513),0)+N1527/2-N1525*IF((M1500+M1501+M1502+M1503)&gt;0,M1502/(M1500+M1501+M1502+M1503),0)</f>
        <v>7639532.77190978</v>
      </c>
      <c r="O1502" s="73" t="n">
        <f aca="false">N1502*(1+Rend_PG/4)*IF(O1481=1,(1-(Cap_PG*$Y$15+(1-Cap_PG)*$Y$16))*(1+0*$Y$14),1)-O1506-O1522*IF((O1512+O1513)&gt;0,O1512/(O1512+O1513),0)+O1527/2-O1525*IF((N1500+N1501+N1502+N1503)&gt;0,N1502/(N1500+N1501+N1502+N1503),0)</f>
        <v>7414357.54345774</v>
      </c>
    </row>
    <row r="1503" customFormat="false" ht="15" hidden="false" customHeight="false" outlineLevel="0" collapsed="false">
      <c r="B1503" s="65" t="s">
        <v>1038</v>
      </c>
      <c r="C1503" s="73" t="n">
        <f aca="false">AN_cible*Ws_ARES</f>
        <v>12250000</v>
      </c>
      <c r="D1503" s="73" t="n">
        <f aca="false">C1503*(1+Rend_ARES/4)*IF(D1481=1,(1-(Cap_ARES*$Y$15+(1-Cap_ARES)*$Y$16))*(1+0*$Y$14),1)-D1507-D1522*IF((D1512+D1513)&gt;0,D1513/(D1512+D1513),0)/(1-IF(D1481&lt;=Deduc_trim,Deduc_ares,0))+D1527/2-D1525*IF((C1500+C1501+C1502+C1503)&gt;0,C1503/(C1500+C1501+C1502+C1503),0)</f>
        <v>11727537.5</v>
      </c>
      <c r="E1503" s="73" t="n">
        <f aca="false">D1503*(1+Rend_ARES/4)*IF(E1481=1,(1-(Cap_ARES*$Y$15+(1-Cap_ARES)*$Y$16))*(1+0*$Y$14),1)-E1507-E1522*IF((E1512+E1513)&gt;0,E1513/(E1512+E1513),0)/(1-IF(E1481&lt;=Deduc_trim,Deduc_ares,0))+E1527/2-E1525*IF((D1500+D1501+D1502+D1503)&gt;0,D1503/(D1500+D1501+D1502+D1503),0)</f>
        <v>11227358.025625</v>
      </c>
      <c r="F1503" s="73" t="n">
        <f aca="false">E1503*(1+Rend_ARES/4)*IF(F1481=1,(1-(Cap_ARES*$Y$15+(1-Cap_ARES)*$Y$16))*(1+0*$Y$14),1)-F1507-F1522*IF((F1512+F1513)&gt;0,F1513/(F1512+F1513),0)/(1-IF(F1481&lt;=Deduc_trim,Deduc_ares,0))+F1527/2-F1525*IF((E1500+E1501+E1502+E1503)&gt;0,E1503/(E1500+E1501+E1502+E1503),0)</f>
        <v>10748511.2058321</v>
      </c>
      <c r="G1503" s="73" t="n">
        <f aca="false">F1503*(1+Rend_ARES/4)*IF(G1481=1,(1-(Cap_ARES*$Y$15+(1-Cap_ARES)*$Y$16))*(1+0*$Y$14),1)-G1507-G1522*IF((G1512+G1513)&gt;0,G1513/(G1512+G1513),0)/(1-IF(G1481&lt;=Deduc_trim,Deduc_ares,0))+G1527/2-G1525*IF((F1500+F1501+F1502+F1503)&gt;0,F1503/(F1500+F1501+F1502+F1503),0)</f>
        <v>10285191.9099654</v>
      </c>
      <c r="H1503" s="73" t="n">
        <f aca="false">G1503*(1+Rend_ARES/4)*IF(H1481=1,(1-(Cap_ARES*$Y$15+(1-Cap_ARES)*$Y$16))*(1+0*$Y$14),1)-H1507-H1522*IF((H1512+H1513)&gt;0,H1513/(H1512+H1513),0)/(1-IF(H1481&lt;=Deduc_trim,Deduc_ares,0))+H1527/2-H1525*IF((G1500+G1501+G1502+G1503)&gt;0,G1503/(G1500+G1501+G1502+G1503),0)</f>
        <v>9524520.37311053</v>
      </c>
      <c r="I1503" s="73" t="n">
        <f aca="false">H1503*(1+Rend_ARES/4)*IF(I1481=1,(1-(Cap_ARES*$Y$15+(1-Cap_ARES)*$Y$16))*(1+0*$Y$14),1)-I1507-I1522*IF((I1512+I1513)&gt;0,I1513/(I1512+I1513),0)/(1-IF(I1481&lt;=Deduc_trim,Deduc_ares,0))+I1527/2-I1525*IF((H1500+H1501+H1502+H1503)&gt;0,H1503/(H1500+H1501+H1502+H1503),0)</f>
        <v>9017873.18969611</v>
      </c>
      <c r="J1503" s="73" t="n">
        <f aca="false">I1503*(1+Rend_ARES/4)*IF(J1481=1,(1-(Cap_ARES*$Y$15+(1-Cap_ARES)*$Y$16))*(1+0*$Y$14),1)-J1507-J1522*IF((J1512+J1513)&gt;0,J1513/(J1512+J1513),0)/(1-IF(J1481&lt;=Deduc_trim,Deduc_ares,0))+J1527/2-J1525*IF((I1500+I1501+I1502+I1503)&gt;0,I1503/(I1500+I1501+I1502+I1503),0)</f>
        <v>8333422.95734587</v>
      </c>
      <c r="K1503" s="73" t="n">
        <f aca="false">J1503*(1+Rend_ARES/4)*IF(K1481=1,(1-(Cap_ARES*$Y$15+(1-Cap_ARES)*$Y$16))*(1+0*$Y$14),1)-K1507-K1522*IF((K1512+K1513)&gt;0,K1513/(K1512+K1513),0)/(1-IF(K1481&lt;=Deduc_trim,Deduc_ares,0))+K1527/2-K1525*IF((J1500+J1501+J1502+J1503)&gt;0,J1503/(J1500+J1501+J1502+J1503),0)</f>
        <v>7874908.13614735</v>
      </c>
      <c r="L1503" s="73" t="n">
        <f aca="false">K1503*(1+Rend_ARES/4)*IF(L1481=1,(1-(Cap_ARES*$Y$15+(1-Cap_ARES)*$Y$16))*(1+0*$Y$14),1)-L1507-L1522*IF((L1512+L1513)&gt;0,L1513/(L1512+L1513),0)/(1-IF(L1481&lt;=Deduc_trim,Deduc_ares,0))+L1527/2-L1525*IF((K1500+K1501+K1502+K1503)&gt;0,K1503/(K1500+K1501+K1502+K1503),0)</f>
        <v>7263620.53919042</v>
      </c>
      <c r="M1503" s="73" t="n">
        <f aca="false">L1503*(1+Rend_ARES/4)*IF(M1481=1,(1-(Cap_ARES*$Y$15+(1-Cap_ARES)*$Y$16))*(1+0*$Y$14),1)-M1507-M1522*IF((M1512+M1513)&gt;0,M1513/(M1512+M1513),0)/(1-IF(M1481&lt;=Deduc_trim,Deduc_ares,0))+M1527/2-M1525*IF((L1500+L1501+L1502+L1503)&gt;0,L1503/(L1500+L1501+L1502+L1503),0)</f>
        <v>6852236.54187636</v>
      </c>
      <c r="N1503" s="73" t="n">
        <f aca="false">M1503*(1+Rend_ARES/4)*IF(N1481=1,(1-(Cap_ARES*$Y$15+(1-Cap_ARES)*$Y$16))*(1+0*$Y$14),1)-N1507-N1522*IF((N1512+N1513)&gt;0,N1513/(N1512+N1513),0)/(1-IF(N1481&lt;=Deduc_trim,Deduc_ares,0))+N1527/2-N1525*IF((M1500+M1501+M1502+M1503)&gt;0,M1503/(M1500+M1501+M1502+M1503),0)</f>
        <v>6559988.65336533</v>
      </c>
      <c r="O1503" s="73" t="n">
        <f aca="false">N1503*(1+Rend_ARES/4)*IF(O1481=1,(1-(Cap_ARES*$Y$15+(1-Cap_ARES)*$Y$16))*(1+0*$Y$14),1)-O1507-O1522*IF((O1512+O1513)&gt;0,O1513/(O1512+O1513),0)/(1-IF(O1481&lt;=Deduc_trim,Deduc_ares,0))+O1527/2-O1525*IF((N1500+N1501+N1502+N1503)&gt;0,N1503/(N1500+N1501+N1502+N1503),0)</f>
        <v>6280205.1372993</v>
      </c>
    </row>
    <row r="1504" customFormat="false" ht="15" hidden="false" customHeight="false" outlineLevel="0" collapsed="false">
      <c r="B1504" s="65" t="s">
        <v>1039</v>
      </c>
      <c r="C1504" s="25"/>
      <c r="D1504" s="73" t="n">
        <f aca="false">C1500*Dist_MAPIF/4*IF(D1481&lt;=$Y$11,0,$Y$10)</f>
        <v>187500</v>
      </c>
      <c r="E1504" s="73" t="n">
        <f aca="false">D1500*Dist_MAPIF/4*IF(E1481&lt;=$Y$11,0,$Y$10)</f>
        <v>214260.9375</v>
      </c>
      <c r="F1504" s="73" t="n">
        <f aca="false">E1500*Dist_MAPIF/4*IF(F1481&lt;=$Y$11,0,$Y$10)</f>
        <v>241228.603242188</v>
      </c>
      <c r="G1504" s="73" t="n">
        <f aca="false">F1500*Dist_MAPIF/4*IF(G1481&lt;=$Y$11,0,$Y$10)</f>
        <v>268404.594202233</v>
      </c>
      <c r="H1504" s="73" t="n">
        <f aca="false">G1500*Dist_MAPIF/4*IF(H1481&lt;=$Y$11,0,$Y$10)</f>
        <v>295668.277728945</v>
      </c>
      <c r="I1504" s="73" t="n">
        <f aca="false">H1500*Dist_MAPIF/4*IF(I1481&lt;=$Y$11,0,$Y$10)</f>
        <v>305570.552467837</v>
      </c>
      <c r="J1504" s="73" t="n">
        <f aca="false">I1500*Dist_MAPIF/4*IF(J1481&lt;=$Y$11,0,$Y$10)</f>
        <v>321584.153999091</v>
      </c>
      <c r="K1504" s="73" t="n">
        <f aca="false">J1500*Dist_MAPIF/4*IF(K1481&lt;=$Y$11,0,$Y$10)</f>
        <v>330250.944655428</v>
      </c>
      <c r="L1504" s="73" t="n">
        <f aca="false">K1500*Dist_MAPIF/4*IF(L1481&lt;=$Y$11,0,$Y$10)</f>
        <v>345591.537076515</v>
      </c>
      <c r="M1504" s="73" t="n">
        <f aca="false">L1500*Dist_MAPIF/4*IF(M1481&lt;=$Y$11,0,$Y$10)</f>
        <v>353049.261917494</v>
      </c>
      <c r="N1504" s="73" t="n">
        <f aca="false">M1500*Dist_MAPIF/4*IF(N1481&lt;=$Y$11,0,$Y$10)</f>
        <v>367713.743475907</v>
      </c>
      <c r="O1504" s="73" t="n">
        <f aca="false">N1500*Dist_MAPIF/4*IF(O1481&lt;=$Y$11,0,$Y$10)</f>
        <v>370554.332144258</v>
      </c>
    </row>
    <row r="1505" customFormat="false" ht="15" hidden="false" customHeight="false" outlineLevel="0" collapsed="false">
      <c r="B1505" s="65" t="s">
        <v>1040</v>
      </c>
      <c r="C1505" s="25"/>
      <c r="D1505" s="73" t="n">
        <f aca="false">C1501*Dist_MSIG/4*IF(D1481&lt;=$Y$11,0,$Y$10)</f>
        <v>96250</v>
      </c>
      <c r="E1505" s="73" t="n">
        <f aca="false">D1501*Dist_MSIG/4*IF(E1481&lt;=$Y$11,0,$Y$10)</f>
        <v>116344.15625</v>
      </c>
      <c r="F1505" s="73" t="n">
        <f aca="false">E1501*Dist_MSIG/4*IF(F1481&lt;=$Y$11,0,$Y$10)</f>
        <v>136523.210310156</v>
      </c>
      <c r="G1505" s="73" t="n">
        <f aca="false">F1501*Dist_MSIG/4*IF(G1481&lt;=$Y$11,0,$Y$10)</f>
        <v>156787.520873717</v>
      </c>
      <c r="H1505" s="73" t="n">
        <f aca="false">G1501*Dist_MSIG/4*IF(H1481&lt;=$Y$11,0,$Y$10)</f>
        <v>177066.040972266</v>
      </c>
      <c r="I1505" s="73" t="n">
        <f aca="false">H1501*Dist_MSIG/4*IF(I1481&lt;=$Y$11,0,$Y$10)</f>
        <v>185395.573201806</v>
      </c>
      <c r="J1505" s="73" t="n">
        <f aca="false">I1501*Dist_MSIG/4*IF(J1481&lt;=$Y$11,0,$Y$10)</f>
        <v>197349.06155899</v>
      </c>
      <c r="K1505" s="73" t="n">
        <f aca="false">J1501*Dist_MSIG/4*IF(K1481&lt;=$Y$11,0,$Y$10)</f>
        <v>204746.143853285</v>
      </c>
      <c r="L1505" s="73" t="n">
        <f aca="false">K1501*Dist_MSIG/4*IF(L1481&lt;=$Y$11,0,$Y$10)</f>
        <v>216203.243519393</v>
      </c>
      <c r="M1505" s="73" t="n">
        <f aca="false">L1501*Dist_MSIG/4*IF(M1481&lt;=$Y$11,0,$Y$10)</f>
        <v>222680.052729475</v>
      </c>
      <c r="N1505" s="73" t="n">
        <f aca="false">M1501*Dist_MSIG/4*IF(N1481&lt;=$Y$11,0,$Y$10)</f>
        <v>233631.424160266</v>
      </c>
      <c r="O1505" s="73" t="n">
        <f aca="false">N1501*Dist_MSIG/4*IF(O1481&lt;=$Y$11,0,$Y$10)</f>
        <v>234618.516927344</v>
      </c>
    </row>
    <row r="1506" customFormat="false" ht="15" hidden="false" customHeight="false" outlineLevel="0" collapsed="false">
      <c r="B1506" s="65" t="s">
        <v>1041</v>
      </c>
      <c r="C1506" s="25"/>
      <c r="D1506" s="73" t="n">
        <f aca="false">C1502*Dist_PG/4*IF(D1481&lt;=$Y$11,0,$Y$10)</f>
        <v>61250</v>
      </c>
      <c r="E1506" s="73" t="n">
        <f aca="false">D1502*Dist_PG/4*IF(E1481&lt;=$Y$11,0,$Y$10)</f>
        <v>59444.65625</v>
      </c>
      <c r="F1506" s="73" t="n">
        <f aca="false">E1502*Dist_PG/4*IF(F1481&lt;=$Y$11,0,$Y$10)</f>
        <v>57692.5250070313</v>
      </c>
      <c r="G1506" s="73" t="n">
        <f aca="false">F1502*Dist_PG/4*IF(G1481&lt;=$Y$11,0,$Y$10)</f>
        <v>55992.037832449</v>
      </c>
      <c r="H1506" s="73" t="n">
        <f aca="false">G1502*Dist_PG/4*IF(H1481&lt;=$Y$11,0,$Y$10)</f>
        <v>54316.1715505401</v>
      </c>
      <c r="I1506" s="73" t="n">
        <f aca="false">H1502*Dist_PG/4*IF(I1481&lt;=$Y$11,0,$Y$10)</f>
        <v>51014.6753201849</v>
      </c>
      <c r="J1506" s="73" t="n">
        <f aca="false">I1502*Dist_PG/4*IF(J1481&lt;=$Y$11,0,$Y$10)</f>
        <v>48973.1198497115</v>
      </c>
      <c r="K1506" s="73" t="n">
        <f aca="false">J1502*Dist_PG/4*IF(K1481&lt;=$Y$11,0,$Y$10)</f>
        <v>45901.3153525266</v>
      </c>
      <c r="L1506" s="73" t="n">
        <f aca="false">K1502*Dist_PG/4*IF(L1481&lt;=$Y$11,0,$Y$10)</f>
        <v>43980.5203360348</v>
      </c>
      <c r="M1506" s="73" t="n">
        <f aca="false">L1502*Dist_PG/4*IF(M1481&lt;=$Y$11,0,$Y$10)</f>
        <v>41145.9877917657</v>
      </c>
      <c r="N1506" s="73" t="n">
        <f aca="false">M1502*Dist_PG/4*IF(N1481&lt;=$Y$11,0,$Y$10)</f>
        <v>39357.7330409303</v>
      </c>
      <c r="O1506" s="73" t="n">
        <f aca="false">N1502*Dist_PG/4*IF(O1481&lt;=$Y$11,0,$Y$10)</f>
        <v>38197.6638595489</v>
      </c>
    </row>
    <row r="1507" customFormat="false" ht="15" hidden="false" customHeight="false" outlineLevel="0" collapsed="false">
      <c r="B1507" s="65" t="s">
        <v>1042</v>
      </c>
      <c r="C1507" s="25"/>
      <c r="D1507" s="73" t="n">
        <f aca="false">C1503*Dist_ARES/4*IF(D1481&lt;=$Y$11,0,$Y$10)</f>
        <v>153125</v>
      </c>
      <c r="E1507" s="73" t="n">
        <f aca="false">D1503*Dist_ARES/4*IF(E1481&lt;=$Y$11,0,$Y$10)</f>
        <v>146594.21875</v>
      </c>
      <c r="F1507" s="73" t="n">
        <f aca="false">E1503*Dist_ARES/4*IF(F1481&lt;=$Y$11,0,$Y$10)</f>
        <v>140341.975320313</v>
      </c>
      <c r="G1507" s="73" t="n">
        <f aca="false">F1503*Dist_ARES/4*IF(G1481&lt;=$Y$11,0,$Y$10)</f>
        <v>134356.390072901</v>
      </c>
      <c r="H1507" s="73" t="n">
        <f aca="false">G1503*Dist_ARES/4*IF(H1481&lt;=$Y$11,0,$Y$10)</f>
        <v>128564.898874568</v>
      </c>
      <c r="I1507" s="73" t="n">
        <f aca="false">H1503*Dist_ARES/4*IF(I1481&lt;=$Y$11,0,$Y$10)</f>
        <v>119056.504663882</v>
      </c>
      <c r="J1507" s="73" t="n">
        <f aca="false">I1503*Dist_ARES/4*IF(J1481&lt;=$Y$11,0,$Y$10)</f>
        <v>112723.414871201</v>
      </c>
      <c r="K1507" s="73" t="n">
        <f aca="false">J1503*Dist_ARES/4*IF(K1481&lt;=$Y$11,0,$Y$10)</f>
        <v>104167.786966823</v>
      </c>
      <c r="L1507" s="73" t="n">
        <f aca="false">K1503*Dist_ARES/4*IF(L1481&lt;=$Y$11,0,$Y$10)</f>
        <v>98436.3517018419</v>
      </c>
      <c r="M1507" s="73" t="n">
        <f aca="false">L1503*Dist_ARES/4*IF(M1481&lt;=$Y$11,0,$Y$10)</f>
        <v>90795.2567398802</v>
      </c>
      <c r="N1507" s="73" t="n">
        <f aca="false">M1503*Dist_ARES/4*IF(N1481&lt;=$Y$11,0,$Y$10)</f>
        <v>85652.9567734545</v>
      </c>
      <c r="O1507" s="73" t="n">
        <f aca="false">N1503*Dist_ARES/4*IF(O1481&lt;=$Y$11,0,$Y$10)</f>
        <v>81999.8581670667</v>
      </c>
    </row>
    <row r="1508" customFormat="false" ht="15" hidden="false" customHeight="false" outlineLevel="0" collapsed="false">
      <c r="B1508" s="65" t="s">
        <v>1043</v>
      </c>
      <c r="C1508" s="73" t="n">
        <f aca="false">AN_cible*$Y$12*Part_MAPIF_NA</f>
        <v>13500000</v>
      </c>
      <c r="D1508" s="73" t="n">
        <f aca="false">C1508*IF(D1481=1,1+$Y$14,1)-D1510</f>
        <v>11812500</v>
      </c>
      <c r="E1508" s="73" t="n">
        <f aca="false">D1508*IF(E1481=1,1+$Y$14,1)-E1510</f>
        <v>10125000</v>
      </c>
      <c r="F1508" s="73" t="n">
        <f aca="false">E1508*IF(F1481=1,1+$Y$14,1)-F1510</f>
        <v>8437500</v>
      </c>
      <c r="G1508" s="73" t="n">
        <f aca="false">F1508*IF(G1481=1,1+$Y$14,1)-G1510</f>
        <v>6750000</v>
      </c>
      <c r="H1508" s="73" t="n">
        <f aca="false">G1508*IF(H1481=1,1+$Y$14,1)-H1510</f>
        <v>5625000</v>
      </c>
      <c r="I1508" s="73" t="n">
        <f aca="false">H1508*IF(I1481=1,1+$Y$14,1)-I1510</f>
        <v>4500000</v>
      </c>
      <c r="J1508" s="73" t="n">
        <f aca="false">I1508*IF(J1481=1,1+$Y$14,1)-J1510</f>
        <v>3375000</v>
      </c>
      <c r="K1508" s="73" t="n">
        <f aca="false">J1508*IF(K1481=1,1+$Y$14,1)-K1510</f>
        <v>2250000</v>
      </c>
      <c r="L1508" s="73" t="n">
        <f aca="false">K1508*IF(L1481=1,1+$Y$14,1)-L1510</f>
        <v>1125000</v>
      </c>
      <c r="M1508" s="73" t="n">
        <f aca="false">L1508*IF(M1481=1,1+$Y$14,1)-M1510</f>
        <v>0</v>
      </c>
      <c r="N1508" s="73" t="n">
        <f aca="false">M1508*IF(N1481=1,1+$Y$14,1)-N1510</f>
        <v>0</v>
      </c>
      <c r="O1508" s="73" t="n">
        <f aca="false">N1508*IF(O1481=1,1+$Y$14,1)-O1510</f>
        <v>0</v>
      </c>
    </row>
    <row r="1509" customFormat="false" ht="15" hidden="false" customHeight="false" outlineLevel="0" collapsed="false">
      <c r="B1509" s="65" t="s">
        <v>1044</v>
      </c>
      <c r="C1509" s="73" t="n">
        <f aca="false">AN_cible*$Y$12*(1-Part_MAPIF_NA)</f>
        <v>9000000</v>
      </c>
      <c r="D1509" s="73" t="n">
        <f aca="false">C1509*IF(D1481=1,1+MSIG_USD*$Y$14,1)-D1511</f>
        <v>7875000</v>
      </c>
      <c r="E1509" s="73" t="n">
        <f aca="false">D1509*IF(E1481=1,1+MSIG_USD*$Y$14,1)-E1511</f>
        <v>6750000</v>
      </c>
      <c r="F1509" s="73" t="n">
        <f aca="false">E1509*IF(F1481=1,1+MSIG_USD*$Y$14,1)-F1511</f>
        <v>5625000</v>
      </c>
      <c r="G1509" s="73" t="n">
        <f aca="false">F1509*IF(G1481=1,1+MSIG_USD*$Y$14,1)-G1511</f>
        <v>4500000</v>
      </c>
      <c r="H1509" s="73" t="n">
        <f aca="false">G1509*IF(H1481=1,1+MSIG_USD*$Y$14,1)-H1511</f>
        <v>3750000</v>
      </c>
      <c r="I1509" s="73" t="n">
        <f aca="false">H1509*IF(I1481=1,1+MSIG_USD*$Y$14,1)-I1511</f>
        <v>3000000</v>
      </c>
      <c r="J1509" s="73" t="n">
        <f aca="false">I1509*IF(J1481=1,1+MSIG_USD*$Y$14,1)-J1511</f>
        <v>2250000</v>
      </c>
      <c r="K1509" s="73" t="n">
        <f aca="false">J1509*IF(K1481=1,1+MSIG_USD*$Y$14,1)-K1511</f>
        <v>1500000</v>
      </c>
      <c r="L1509" s="73" t="n">
        <f aca="false">K1509*IF(L1481=1,1+MSIG_USD*$Y$14,1)-L1511</f>
        <v>750000</v>
      </c>
      <c r="M1509" s="73" t="n">
        <f aca="false">L1509*IF(M1481=1,1+MSIG_USD*$Y$14,1)-M1511</f>
        <v>0</v>
      </c>
      <c r="N1509" s="73" t="n">
        <f aca="false">M1509*IF(N1481=1,1+MSIG_USD*$Y$14,1)-N1511</f>
        <v>0</v>
      </c>
      <c r="O1509" s="73" t="n">
        <f aca="false">N1509*IF(O1481=1,1+MSIG_USD*$Y$14,1)-O1511</f>
        <v>0</v>
      </c>
    </row>
    <row r="1510" customFormat="false" ht="15" hidden="false" customHeight="false" outlineLevel="0" collapsed="false">
      <c r="B1510" s="65" t="s">
        <v>1045</v>
      </c>
      <c r="C1510" s="25"/>
      <c r="D1510" s="73" t="n">
        <f aca="false">MIN(C1508*IF(D1481=1,1+$Y$14,1),$C1508*(1+$Y$14)*IF(D1481&lt;=4,$Y$13/4,Appels_base))</f>
        <v>1687500</v>
      </c>
      <c r="E1510" s="73" t="n">
        <f aca="false">MIN(D1508*IF(E1481=1,1+$Y$14,1),$C1508*(1+$Y$14)*IF(E1481&lt;=4,$Y$13/4,Appels_base))</f>
        <v>1687500</v>
      </c>
      <c r="F1510" s="73" t="n">
        <f aca="false">MIN(E1508*IF(F1481=1,1+$Y$14,1),$C1508*(1+$Y$14)*IF(F1481&lt;=4,$Y$13/4,Appels_base))</f>
        <v>1687500</v>
      </c>
      <c r="G1510" s="73" t="n">
        <f aca="false">MIN(F1508*IF(G1481=1,1+$Y$14,1),$C1508*(1+$Y$14)*IF(G1481&lt;=4,$Y$13/4,Appels_base))</f>
        <v>1687500</v>
      </c>
      <c r="H1510" s="73" t="n">
        <f aca="false">MIN(G1508*IF(H1481=1,1+$Y$14,1),$C1508*(1+$Y$14)*IF(H1481&lt;=4,$Y$13/4,Appels_base))</f>
        <v>1125000</v>
      </c>
      <c r="I1510" s="73" t="n">
        <f aca="false">MIN(H1508*IF(I1481=1,1+$Y$14,1),$C1508*(1+$Y$14)*IF(I1481&lt;=4,$Y$13/4,Appels_base))</f>
        <v>1125000</v>
      </c>
      <c r="J1510" s="73" t="n">
        <f aca="false">MIN(I1508*IF(J1481=1,1+$Y$14,1),$C1508*(1+$Y$14)*IF(J1481&lt;=4,$Y$13/4,Appels_base))</f>
        <v>1125000</v>
      </c>
      <c r="K1510" s="73" t="n">
        <f aca="false">MIN(J1508*IF(K1481=1,1+$Y$14,1),$C1508*(1+$Y$14)*IF(K1481&lt;=4,$Y$13/4,Appels_base))</f>
        <v>1125000</v>
      </c>
      <c r="L1510" s="73" t="n">
        <f aca="false">MIN(K1508*IF(L1481=1,1+$Y$14,1),$C1508*(1+$Y$14)*IF(L1481&lt;=4,$Y$13/4,Appels_base))</f>
        <v>1125000</v>
      </c>
      <c r="M1510" s="73" t="n">
        <f aca="false">MIN(L1508*IF(M1481=1,1+$Y$14,1),$C1508*(1+$Y$14)*IF(M1481&lt;=4,$Y$13/4,Appels_base))</f>
        <v>1125000</v>
      </c>
      <c r="N1510" s="73" t="n">
        <f aca="false">MIN(M1508*IF(N1481=1,1+$Y$14,1),$C1508*(1+$Y$14)*IF(N1481&lt;=4,$Y$13/4,Appels_base))</f>
        <v>0</v>
      </c>
      <c r="O1510" s="73" t="n">
        <f aca="false">MIN(N1508*IF(O1481=1,1+$Y$14,1),$C1508*(1+$Y$14)*IF(O1481&lt;=4,$Y$13/4,Appels_base))</f>
        <v>0</v>
      </c>
    </row>
    <row r="1511" customFormat="false" ht="15" hidden="false" customHeight="false" outlineLevel="0" collapsed="false">
      <c r="B1511" s="65" t="s">
        <v>1046</v>
      </c>
      <c r="C1511" s="25"/>
      <c r="D1511" s="73" t="n">
        <f aca="false">MIN(C1509*IF(D1481=1,1+MSIG_USD*$Y$14,1),$C1509*(1+MSIG_USD*$Y$14)*IF(D1481&lt;=4,$Y$13/4,Appels_base))</f>
        <v>1125000</v>
      </c>
      <c r="E1511" s="73" t="n">
        <f aca="false">MIN(D1509*IF(E1481=1,1+MSIG_USD*$Y$14,1),$C1509*(1+MSIG_USD*$Y$14)*IF(E1481&lt;=4,$Y$13/4,Appels_base))</f>
        <v>1125000</v>
      </c>
      <c r="F1511" s="73" t="n">
        <f aca="false">MIN(E1509*IF(F1481=1,1+MSIG_USD*$Y$14,1),$C1509*(1+MSIG_USD*$Y$14)*IF(F1481&lt;=4,$Y$13/4,Appels_base))</f>
        <v>1125000</v>
      </c>
      <c r="G1511" s="73" t="n">
        <f aca="false">MIN(F1509*IF(G1481=1,1+MSIG_USD*$Y$14,1),$C1509*(1+MSIG_USD*$Y$14)*IF(G1481&lt;=4,$Y$13/4,Appels_base))</f>
        <v>1125000</v>
      </c>
      <c r="H1511" s="73" t="n">
        <f aca="false">MIN(G1509*IF(H1481=1,1+MSIG_USD*$Y$14,1),$C1509*(1+MSIG_USD*$Y$14)*IF(H1481&lt;=4,$Y$13/4,Appels_base))</f>
        <v>750000</v>
      </c>
      <c r="I1511" s="73" t="n">
        <f aca="false">MIN(H1509*IF(I1481=1,1+MSIG_USD*$Y$14,1),$C1509*(1+MSIG_USD*$Y$14)*IF(I1481&lt;=4,$Y$13/4,Appels_base))</f>
        <v>750000</v>
      </c>
      <c r="J1511" s="73" t="n">
        <f aca="false">MIN(I1509*IF(J1481=1,1+MSIG_USD*$Y$14,1),$C1509*(1+MSIG_USD*$Y$14)*IF(J1481&lt;=4,$Y$13/4,Appels_base))</f>
        <v>750000</v>
      </c>
      <c r="K1511" s="73" t="n">
        <f aca="false">MIN(J1509*IF(K1481=1,1+MSIG_USD*$Y$14,1),$C1509*(1+MSIG_USD*$Y$14)*IF(K1481&lt;=4,$Y$13/4,Appels_base))</f>
        <v>750000</v>
      </c>
      <c r="L1511" s="73" t="n">
        <f aca="false">MIN(K1509*IF(L1481=1,1+MSIG_USD*$Y$14,1),$C1509*(1+MSIG_USD*$Y$14)*IF(L1481&lt;=4,$Y$13/4,Appels_base))</f>
        <v>750000</v>
      </c>
      <c r="M1511" s="73" t="n">
        <f aca="false">MIN(L1509*IF(M1481=1,1+MSIG_USD*$Y$14,1),$C1509*(1+MSIG_USD*$Y$14)*IF(M1481&lt;=4,$Y$13/4,Appels_base))</f>
        <v>750000</v>
      </c>
      <c r="N1511" s="73" t="n">
        <f aca="false">MIN(M1509*IF(N1481=1,1+MSIG_USD*$Y$14,1),$C1509*(1+MSIG_USD*$Y$14)*IF(N1481&lt;=4,$Y$13/4,Appels_base))</f>
        <v>0</v>
      </c>
      <c r="O1511" s="73" t="n">
        <f aca="false">MIN(N1509*IF(O1481=1,1+MSIG_USD*$Y$14,1),$C1509*(1+MSIG_USD*$Y$14)*IF(O1481&lt;=4,$Y$13/4,Appels_base))</f>
        <v>0</v>
      </c>
    </row>
    <row r="1512" customFormat="false" ht="15" hidden="false" customHeight="false" outlineLevel="0" collapsed="false">
      <c r="B1512" s="65" t="s">
        <v>1047</v>
      </c>
      <c r="C1512" s="25"/>
      <c r="D1512" s="73" t="n">
        <f aca="false">C1502*Capacite_evg*IF(D1481&lt;=4,$Y$17,$Y$18)</f>
        <v>612500</v>
      </c>
      <c r="E1512" s="73" t="n">
        <f aca="false">D1502*Capacite_evg*IF(E1481&lt;=4,$Y$17,$Y$18)</f>
        <v>594446.5625</v>
      </c>
      <c r="F1512" s="73" t="n">
        <f aca="false">E1502*Capacite_evg*IF(F1481&lt;=4,$Y$17,$Y$18)</f>
        <v>576925.250070313</v>
      </c>
      <c r="G1512" s="73" t="n">
        <f aca="false">F1502*Capacite_evg*IF(G1481&lt;=4,$Y$17,$Y$18)</f>
        <v>559920.37832449</v>
      </c>
      <c r="H1512" s="73" t="n">
        <f aca="false">G1502*Capacite_evg*IF(H1481&lt;=4,$Y$17,$Y$18)</f>
        <v>543161.715505401</v>
      </c>
      <c r="I1512" s="73" t="n">
        <f aca="false">H1502*Capacite_evg*IF(I1481&lt;=4,$Y$17,$Y$18)</f>
        <v>510146.753201849</v>
      </c>
      <c r="J1512" s="73" t="n">
        <f aca="false">I1502*Capacite_evg*IF(J1481&lt;=4,$Y$17,$Y$18)</f>
        <v>489731.198497115</v>
      </c>
      <c r="K1512" s="73" t="n">
        <f aca="false">J1502*Capacite_evg*IF(K1481&lt;=4,$Y$17,$Y$18)</f>
        <v>459013.153525266</v>
      </c>
      <c r="L1512" s="73" t="n">
        <f aca="false">K1502*Capacite_evg*IF(L1481&lt;=4,$Y$17,$Y$18)</f>
        <v>439805.203360349</v>
      </c>
      <c r="M1512" s="73" t="n">
        <f aca="false">L1502*Capacite_evg*IF(M1481&lt;=4,$Y$17,$Y$18)</f>
        <v>411459.877917657</v>
      </c>
      <c r="N1512" s="73" t="n">
        <f aca="false">M1502*Capacite_evg*IF(N1481&lt;=4,$Y$17,$Y$18)</f>
        <v>393577.330409303</v>
      </c>
      <c r="O1512" s="73" t="n">
        <f aca="false">N1502*Capacite_evg*IF(O1481&lt;=4,$Y$17,$Y$18)</f>
        <v>381976.638595489</v>
      </c>
    </row>
    <row r="1513" customFormat="false" ht="15" hidden="false" customHeight="false" outlineLevel="0" collapsed="false">
      <c r="B1513" s="65" t="s">
        <v>1048</v>
      </c>
      <c r="C1513" s="25"/>
      <c r="D1513" s="73" t="n">
        <f aca="false">C1503*Capacite_evg*IF(D1481&lt;=4,$Y$17,$Y$19)*(1-IF(D1481&lt;=Deduc_trim,Deduc_ares,0))</f>
        <v>581875</v>
      </c>
      <c r="E1513" s="73" t="n">
        <f aca="false">D1503*Capacite_evg*IF(E1481&lt;=4,$Y$17,$Y$19)*(1-IF(E1481&lt;=Deduc_trim,Deduc_ares,0))</f>
        <v>557058.03125</v>
      </c>
      <c r="F1513" s="73" t="n">
        <f aca="false">E1503*Capacite_evg*IF(F1481&lt;=4,$Y$17,$Y$19)*(1-IF(F1481&lt;=Deduc_trim,Deduc_ares,0))</f>
        <v>533299.506217187</v>
      </c>
      <c r="G1513" s="73" t="n">
        <f aca="false">F1503*Capacite_evg*IF(G1481&lt;=4,$Y$17,$Y$19)*(1-IF(G1481&lt;=Deduc_trim,Deduc_ares,0))</f>
        <v>510554.282277024</v>
      </c>
      <c r="H1513" s="73" t="n">
        <f aca="false">G1503*Capacite_evg*IF(H1481&lt;=4,$Y$17,$Y$19)*(1-IF(H1481&lt;=Deduc_trim,Deduc_ares,0))</f>
        <v>514259.59549827</v>
      </c>
      <c r="I1513" s="73" t="n">
        <f aca="false">H1503*Capacite_evg*IF(I1481&lt;=4,$Y$17,$Y$19)*(1-IF(I1481&lt;=Deduc_trim,Deduc_ares,0))</f>
        <v>476226.018655526</v>
      </c>
      <c r="J1513" s="73" t="n">
        <f aca="false">I1503*Capacite_evg*IF(J1481&lt;=4,$Y$17,$Y$19)*(1-IF(J1481&lt;=Deduc_trim,Deduc_ares,0))</f>
        <v>450893.659484805</v>
      </c>
      <c r="K1513" s="73" t="n">
        <f aca="false">J1503*Capacite_evg*IF(K1481&lt;=4,$Y$17,$Y$19)*(1-IF(K1481&lt;=Deduc_trim,Deduc_ares,0))</f>
        <v>416671.147867294</v>
      </c>
      <c r="L1513" s="73" t="n">
        <f aca="false">K1503*Capacite_evg*IF(L1481&lt;=4,$Y$17,$Y$19)*(1-IF(L1481&lt;=Deduc_trim,Deduc_ares,0))</f>
        <v>393745.406807368</v>
      </c>
      <c r="M1513" s="73" t="n">
        <f aca="false">L1503*Capacite_evg*IF(M1481&lt;=4,$Y$17,$Y$19)*(1-IF(M1481&lt;=Deduc_trim,Deduc_ares,0))</f>
        <v>363181.026959521</v>
      </c>
      <c r="N1513" s="73" t="n">
        <f aca="false">M1503*Capacite_evg*IF(N1481&lt;=4,$Y$17,$Y$19)*(1-IF(N1481&lt;=Deduc_trim,Deduc_ares,0))</f>
        <v>342611.827093818</v>
      </c>
      <c r="O1513" s="73" t="n">
        <f aca="false">N1503*Capacite_evg*IF(O1481&lt;=4,$Y$17,$Y$19)*(1-IF(O1481&lt;=Deduc_trim,Deduc_ares,0))</f>
        <v>327999.432668267</v>
      </c>
    </row>
    <row r="1514" customFormat="false" ht="15" hidden="false" customHeight="false" outlineLevel="0" collapsed="false">
      <c r="B1514" s="65" t="s">
        <v>1049</v>
      </c>
      <c r="C1514" s="25"/>
      <c r="D1514" s="73" t="n">
        <f aca="false">C1528</f>
        <v>7500000</v>
      </c>
      <c r="E1514" s="73" t="n">
        <f aca="false">D1528</f>
        <v>5051875</v>
      </c>
      <c r="F1514" s="73" t="n">
        <f aca="false">E1528</f>
        <v>3711094.5625</v>
      </c>
      <c r="G1514" s="73" t="n">
        <f aca="false">F1528</f>
        <v>1348795.20428828</v>
      </c>
      <c r="H1514" s="73" t="n">
        <f aca="false">G1528</f>
        <v>0</v>
      </c>
      <c r="I1514" s="73" t="n">
        <f aca="false">H1528</f>
        <v>0</v>
      </c>
      <c r="J1514" s="73" t="n">
        <f aca="false">I1528</f>
        <v>0</v>
      </c>
      <c r="K1514" s="73" t="n">
        <f aca="false">J1528</f>
        <v>0</v>
      </c>
      <c r="L1514" s="73" t="n">
        <f aca="false">K1528</f>
        <v>0</v>
      </c>
      <c r="M1514" s="73" t="n">
        <f aca="false">L1528</f>
        <v>0</v>
      </c>
      <c r="N1514" s="73" t="n">
        <f aca="false">M1528</f>
        <v>0</v>
      </c>
      <c r="O1514" s="73" t="n">
        <f aca="false">N1528</f>
        <v>147835.019703798</v>
      </c>
    </row>
    <row r="1515" customFormat="false" ht="15" hidden="false" customHeight="false" outlineLevel="0" collapsed="false">
      <c r="B1515" s="65" t="s">
        <v>1050</v>
      </c>
      <c r="C1515" s="25"/>
      <c r="D1515" s="73" t="n">
        <f aca="false">D1514*Taux_treso/4</f>
        <v>46875</v>
      </c>
      <c r="E1515" s="73" t="n">
        <f aca="false">E1514*Taux_treso/4</f>
        <v>31574.21875</v>
      </c>
      <c r="F1515" s="73" t="n">
        <f aca="false">F1514*Taux_treso/4</f>
        <v>23194.341015625</v>
      </c>
      <c r="G1515" s="73" t="n">
        <f aca="false">G1514*Taux_treso/4</f>
        <v>8429.97002680175</v>
      </c>
      <c r="H1515" s="73" t="n">
        <f aca="false">H1514*Taux_treso/4</f>
        <v>0</v>
      </c>
      <c r="I1515" s="73" t="n">
        <f aca="false">I1514*Taux_treso/4</f>
        <v>0</v>
      </c>
      <c r="J1515" s="73" t="n">
        <f aca="false">J1514*Taux_treso/4</f>
        <v>0</v>
      </c>
      <c r="K1515" s="73" t="n">
        <f aca="false">K1514*Taux_treso/4</f>
        <v>0</v>
      </c>
      <c r="L1515" s="73" t="n">
        <f aca="false">L1514*Taux_treso/4</f>
        <v>0</v>
      </c>
      <c r="M1515" s="73" t="n">
        <f aca="false">M1514*Taux_treso/4</f>
        <v>0</v>
      </c>
      <c r="N1515" s="73" t="n">
        <f aca="false">N1514*Taux_treso/4</f>
        <v>0</v>
      </c>
      <c r="O1515" s="73" t="n">
        <f aca="false">O1514*Taux_treso/4</f>
        <v>923.968873148739</v>
      </c>
    </row>
    <row r="1516" customFormat="false" ht="15" hidden="false" customHeight="false" outlineLevel="0" collapsed="false">
      <c r="B1516" s="65" t="s">
        <v>1051</v>
      </c>
      <c r="C1516" s="25"/>
      <c r="D1516" s="73" t="n">
        <f aca="false">SUM(D1504:D1507)</f>
        <v>498125</v>
      </c>
      <c r="E1516" s="73" t="n">
        <f aca="false">SUM(E1504:E1507)</f>
        <v>536643.96875</v>
      </c>
      <c r="F1516" s="73" t="n">
        <f aca="false">SUM(F1504:F1507)</f>
        <v>575786.313879688</v>
      </c>
      <c r="G1516" s="73" t="n">
        <f aca="false">SUM(G1504:G1507)</f>
        <v>615540.5429813</v>
      </c>
      <c r="H1516" s="73" t="n">
        <f aca="false">SUM(H1504:H1507)</f>
        <v>655615.389126319</v>
      </c>
      <c r="I1516" s="73" t="n">
        <f aca="false">SUM(I1504:I1507)</f>
        <v>661037.30565371</v>
      </c>
      <c r="J1516" s="73" t="n">
        <f aca="false">SUM(J1504:J1507)</f>
        <v>680629.750278995</v>
      </c>
      <c r="K1516" s="73" t="n">
        <f aca="false">SUM(K1504:K1507)</f>
        <v>685066.190828063</v>
      </c>
      <c r="L1516" s="73" t="n">
        <f aca="false">SUM(L1504:L1507)</f>
        <v>704211.652633784</v>
      </c>
      <c r="M1516" s="73" t="n">
        <f aca="false">SUM(M1504:M1507)</f>
        <v>707670.559178614</v>
      </c>
      <c r="N1516" s="73" t="n">
        <f aca="false">SUM(N1504:N1507)</f>
        <v>726355.857450558</v>
      </c>
      <c r="O1516" s="73" t="n">
        <f aca="false">SUM(O1504:O1507)</f>
        <v>725370.371098217</v>
      </c>
    </row>
    <row r="1517" customFormat="false" ht="15" hidden="false" customHeight="false" outlineLevel="0" collapsed="false">
      <c r="B1517" s="65" t="s">
        <v>1052</v>
      </c>
      <c r="C1517" s="25"/>
      <c r="D1517" s="73" t="n">
        <f aca="false">IF(AND(Distrib_tension=1,OR(D1489&gt;0.000001,C1531&lt;Liq_min,C1495=1)),0,MIN(Dist_porteurs/4*Part_d*D1486,D1516))</f>
        <v>125000</v>
      </c>
      <c r="E1517" s="73" t="n">
        <f aca="false">IF(AND(Distrib_tension=1,OR(E1489&gt;0.000001,D1531&lt;Liq_min,D1495=1)),0,MIN(Dist_porteurs/4*Part_d*E1486,E1516))</f>
        <v>0</v>
      </c>
      <c r="F1517" s="73" t="n">
        <f aca="false">IF(AND(Distrib_tension=1,OR(F1489&gt;0.000001,E1531&lt;Liq_min,E1495=1)),0,MIN(Dist_porteurs/4*Part_d*F1486,F1516))</f>
        <v>0</v>
      </c>
      <c r="G1517" s="73" t="n">
        <f aca="false">IF(AND(Distrib_tension=1,OR(G1489&gt;0.000001,F1531&lt;Liq_min,F1495=1)),0,MIN(Dist_porteurs/4*Part_d*G1486,G1516))</f>
        <v>0</v>
      </c>
      <c r="H1517" s="73" t="n">
        <f aca="false">IF(AND(Distrib_tension=1,OR(H1489&gt;0.000001,G1531&lt;Liq_min,G1495=1)),0,MIN(Dist_porteurs/4*Part_d*H1486,H1516))</f>
        <v>0</v>
      </c>
      <c r="I1517" s="73" t="n">
        <f aca="false">IF(AND(Distrib_tension=1,OR(I1489&gt;0.000001,H1531&lt;Liq_min,H1495=1)),0,MIN(Dist_porteurs/4*Part_d*I1486,I1516))</f>
        <v>0</v>
      </c>
      <c r="J1517" s="73" t="n">
        <f aca="false">IF(AND(Distrib_tension=1,OR(J1489&gt;0.000001,I1531&lt;Liq_min,I1495=1)),0,MIN(Dist_porteurs/4*Part_d*J1486,J1516))</f>
        <v>0</v>
      </c>
      <c r="K1517" s="73" t="n">
        <f aca="false">IF(AND(Distrib_tension=1,OR(K1489&gt;0.000001,J1531&lt;Liq_min,J1495=1)),0,MIN(Dist_porteurs/4*Part_d*K1486,K1516))</f>
        <v>0</v>
      </c>
      <c r="L1517" s="73" t="n">
        <f aca="false">IF(AND(Distrib_tension=1,OR(L1489&gt;0.000001,K1531&lt;Liq_min,K1495=1)),0,MIN(Dist_porteurs/4*Part_d*L1486,L1516))</f>
        <v>0</v>
      </c>
      <c r="M1517" s="73" t="n">
        <f aca="false">IF(AND(Distrib_tension=1,OR(M1489&gt;0.000001,L1531&lt;Liq_min,L1495=1)),0,MIN(Dist_porteurs/4*Part_d*M1486,M1516))</f>
        <v>0</v>
      </c>
      <c r="N1517" s="73" t="n">
        <f aca="false">IF(AND(Distrib_tension=1,OR(N1489&gt;0.000001,M1531&lt;Liq_min,M1495=1)),0,MIN(Dist_porteurs/4*Part_d*N1486,N1516))</f>
        <v>0</v>
      </c>
      <c r="O1517" s="73" t="n">
        <f aca="false">IF(AND(Distrib_tension=1,OR(O1489&gt;0.000001,N1531&lt;Liq_min,N1495=1)),0,MIN(Dist_porteurs/4*Part_d*O1486,O1516))</f>
        <v>0</v>
      </c>
    </row>
    <row r="1518" customFormat="false" ht="15" hidden="false" customHeight="false" outlineLevel="0" collapsed="false">
      <c r="B1518" s="65" t="s">
        <v>1053</v>
      </c>
      <c r="C1518" s="25"/>
      <c r="D1518" s="73" t="n">
        <f aca="false">D1510+D1511</f>
        <v>2812500</v>
      </c>
      <c r="E1518" s="73" t="n">
        <f aca="false">E1510+E1511</f>
        <v>2812500</v>
      </c>
      <c r="F1518" s="73" t="n">
        <f aca="false">F1510+F1511</f>
        <v>2812500</v>
      </c>
      <c r="G1518" s="73" t="n">
        <f aca="false">G1510+G1511</f>
        <v>2812500</v>
      </c>
      <c r="H1518" s="73" t="n">
        <f aca="false">H1510+H1511</f>
        <v>1875000</v>
      </c>
      <c r="I1518" s="73" t="n">
        <f aca="false">I1510+I1511</f>
        <v>1875000</v>
      </c>
      <c r="J1518" s="73" t="n">
        <f aca="false">J1510+J1511</f>
        <v>1875000</v>
      </c>
      <c r="K1518" s="73" t="n">
        <f aca="false">K1510+K1511</f>
        <v>1875000</v>
      </c>
      <c r="L1518" s="73" t="n">
        <f aca="false">L1510+L1511</f>
        <v>1875000</v>
      </c>
      <c r="M1518" s="73" t="n">
        <f aca="false">M1510+M1511</f>
        <v>1875000</v>
      </c>
      <c r="N1518" s="73" t="n">
        <f aca="false">N1510+N1511</f>
        <v>0</v>
      </c>
      <c r="O1518" s="73" t="n">
        <f aca="false">O1510+O1511</f>
        <v>0</v>
      </c>
    </row>
    <row r="1519" customFormat="false" ht="15" hidden="false" customHeight="false" outlineLevel="0" collapsed="false">
      <c r="B1519" s="65" t="s">
        <v>1054</v>
      </c>
      <c r="C1519" s="25"/>
      <c r="D1519" s="73" t="n">
        <f aca="false">D1486*Frais_an/4</f>
        <v>250000</v>
      </c>
      <c r="E1519" s="73" t="n">
        <f aca="false">E1486*Frais_an/4</f>
        <v>248003.21875</v>
      </c>
      <c r="F1519" s="73" t="n">
        <f aca="false">F1486*Frais_an/4</f>
        <v>251800.953878906</v>
      </c>
      <c r="G1519" s="73" t="n">
        <f aca="false">G1486*Frais_an/4</f>
        <v>250743.20248581</v>
      </c>
      <c r="H1519" s="73" t="n">
        <f aca="false">H1486*Frais_an/4</f>
        <v>254888.52109733</v>
      </c>
      <c r="I1519" s="73" t="n">
        <f aca="false">I1486*Frais_an/4</f>
        <v>253464.291780295</v>
      </c>
      <c r="J1519" s="73" t="n">
        <f aca="false">J1486*Frais_an/4</f>
        <v>257642.649957601</v>
      </c>
      <c r="K1519" s="73" t="n">
        <f aca="false">K1486*Frais_an/4</f>
        <v>256150.976601527</v>
      </c>
      <c r="L1519" s="73" t="n">
        <f aca="false">L1486*Frais_an/4</f>
        <v>260324.595333532</v>
      </c>
      <c r="M1519" s="73" t="n">
        <f aca="false">M1486*Frais_an/4</f>
        <v>258770.05000197</v>
      </c>
      <c r="N1519" s="73" t="n">
        <f aca="false">N1486*Frais_an/4</f>
        <v>262941.999049976</v>
      </c>
      <c r="O1519" s="73" t="n">
        <f aca="false">O1486*Frais_an/4</f>
        <v>262288.754918888</v>
      </c>
    </row>
    <row r="1520" customFormat="false" ht="15" hidden="false" customHeight="false" outlineLevel="0" collapsed="false">
      <c r="B1520" s="65" t="s">
        <v>1055</v>
      </c>
      <c r="C1520" s="25"/>
      <c r="D1520" s="73" t="n">
        <f aca="false">C1529*Taux_emprunt/4</f>
        <v>0</v>
      </c>
      <c r="E1520" s="73" t="n">
        <f aca="false">D1529*Taux_emprunt/4</f>
        <v>0</v>
      </c>
      <c r="F1520" s="73" t="n">
        <f aca="false">E1529*Taux_emprunt/4</f>
        <v>0</v>
      </c>
      <c r="G1520" s="73" t="n">
        <f aca="false">F1529*Taux_emprunt/4</f>
        <v>0</v>
      </c>
      <c r="H1520" s="73" t="n">
        <f aca="false">G1529*Taux_emprunt/4</f>
        <v>0</v>
      </c>
      <c r="I1520" s="73" t="n">
        <f aca="false">H1529*Taux_emprunt/4</f>
        <v>0</v>
      </c>
      <c r="J1520" s="73" t="n">
        <f aca="false">I1529*Taux_emprunt/4</f>
        <v>0</v>
      </c>
      <c r="K1520" s="73" t="n">
        <f aca="false">J1529*Taux_emprunt/4</f>
        <v>0</v>
      </c>
      <c r="L1520" s="73" t="n">
        <f aca="false">K1529*Taux_emprunt/4</f>
        <v>0</v>
      </c>
      <c r="M1520" s="73" t="n">
        <f aca="false">L1529*Taux_emprunt/4</f>
        <v>0</v>
      </c>
      <c r="N1520" s="73" t="n">
        <f aca="false">M1529*Taux_emprunt/4</f>
        <v>0</v>
      </c>
      <c r="O1520" s="73" t="n">
        <f aca="false">N1529*Taux_emprunt/4</f>
        <v>0</v>
      </c>
    </row>
    <row r="1521" customFormat="false" ht="15" hidden="false" customHeight="false" outlineLevel="0" collapsed="false">
      <c r="B1521" s="65" t="s">
        <v>1056</v>
      </c>
      <c r="C1521" s="25"/>
      <c r="D1521" s="73" t="n">
        <f aca="false">D1514+D1515+D1516-D1517+D1487-D1518-D1519-D1520</f>
        <v>4857500</v>
      </c>
      <c r="E1521" s="73" t="n">
        <f aca="false">E1514+E1515+E1516-E1517+E1487-E1518-E1519-E1520</f>
        <v>2559589.96875</v>
      </c>
      <c r="F1521" s="73" t="n">
        <f aca="false">F1514+F1515+F1516-F1517+F1487-F1518-F1519-F1520</f>
        <v>1245774.26351641</v>
      </c>
      <c r="G1521" s="73" t="n">
        <f aca="false">G1514+G1515+G1516-G1517+G1487-G1518-G1519-G1520</f>
        <v>-1090477.48518943</v>
      </c>
      <c r="H1521" s="73" t="n">
        <f aca="false">H1514+H1515+H1516-H1517+H1487-H1518-H1519-H1520</f>
        <v>-1474273.13197101</v>
      </c>
      <c r="I1521" s="73" t="n">
        <f aca="false">I1514+I1515+I1516-I1517+I1487-I1518-I1519-I1520</f>
        <v>-1467426.98612658</v>
      </c>
      <c r="J1521" s="73" t="n">
        <f aca="false">J1514+J1515+J1516-J1517+J1487-J1518-J1519-J1520</f>
        <v>-1452012.89967861</v>
      </c>
      <c r="K1521" s="73" t="n">
        <f aca="false">K1514+K1515+K1516-K1517+K1487-K1518-K1519-K1520</f>
        <v>-1446084.78577347</v>
      </c>
      <c r="L1521" s="73" t="n">
        <f aca="false">L1514+L1515+L1516-L1517+L1487-L1518-L1519-L1520</f>
        <v>-1431112.94269975</v>
      </c>
      <c r="M1521" s="73" t="n">
        <f aca="false">M1514+M1515+M1516-M1517+M1487-M1518-M1519-M1520</f>
        <v>-1426099.49082336</v>
      </c>
      <c r="N1521" s="73" t="n">
        <f aca="false">N1514+N1515+N1516-N1517+N1487-N1518-N1519-N1520</f>
        <v>463413.858400582</v>
      </c>
      <c r="O1521" s="73" t="n">
        <f aca="false">O1514+O1515+O1516-O1517+O1487-O1518-O1519-O1520</f>
        <v>611840.604756276</v>
      </c>
    </row>
    <row r="1522" customFormat="false" ht="15" hidden="false" customHeight="false" outlineLevel="0" collapsed="false">
      <c r="B1522" s="65" t="s">
        <v>1057</v>
      </c>
      <c r="C1522" s="25"/>
      <c r="D1522" s="73" t="n">
        <f aca="false">MIN(D1512+D1513,MAX(0,Liq_cible*D1486-(D1521-D1496)))</f>
        <v>1194375</v>
      </c>
      <c r="E1522" s="73" t="n">
        <f aca="false">MIN(E1512+E1513,MAX(0,Liq_cible*E1486-(E1521-E1496)))</f>
        <v>1151504.59375</v>
      </c>
      <c r="F1522" s="73" t="n">
        <f aca="false">MIN(F1512+F1513,MAX(0,Liq_cible*F1486-(F1521-F1496)))</f>
        <v>1110224.7562875</v>
      </c>
      <c r="G1522" s="73" t="n">
        <f aca="false">MIN(G1512+G1513,MAX(0,Liq_cible*G1486-(G1521-G1496)))</f>
        <v>1070474.66060151</v>
      </c>
      <c r="H1522" s="73" t="n">
        <f aca="false">MIN(H1512+H1513,MAX(0,Liq_cible*H1486-(H1521-H1496)))</f>
        <v>1057421.31100367</v>
      </c>
      <c r="I1522" s="73" t="n">
        <f aca="false">MIN(I1512+I1513,MAX(0,Liq_cible*I1486-(I1521-I1496)))</f>
        <v>986372.771857375</v>
      </c>
      <c r="J1522" s="73" t="n">
        <f aca="false">MIN(J1512+J1513,MAX(0,Liq_cible*J1486-(J1521-J1496)))</f>
        <v>940624.857981921</v>
      </c>
      <c r="K1522" s="73" t="n">
        <f aca="false">MIN(K1512+K1513,MAX(0,Liq_cible*K1486-(K1521-K1496)))</f>
        <v>875684.30139256</v>
      </c>
      <c r="L1522" s="73" t="n">
        <f aca="false">MIN(L1512+L1513,MAX(0,Liq_cible*L1486-(L1521-L1496)))</f>
        <v>833550.610167716</v>
      </c>
      <c r="M1522" s="73" t="n">
        <f aca="false">MIN(M1512+M1513,MAX(0,Liq_cible*M1486-(M1521-M1496)))</f>
        <v>774640.904877178</v>
      </c>
      <c r="N1522" s="73" t="n">
        <f aca="false">MIN(N1512+N1513,MAX(0,Liq_cible*N1486-(N1521-N1496)))</f>
        <v>736189.157503121</v>
      </c>
      <c r="O1522" s="73" t="n">
        <f aca="false">MIN(O1512+O1513,MAX(0,Liq_cible*O1486-(O1521-O1496)))</f>
        <v>709976.071263755</v>
      </c>
    </row>
    <row r="1523" customFormat="false" ht="15" hidden="false" customHeight="false" outlineLevel="0" collapsed="false">
      <c r="B1523" s="65" t="s">
        <v>1058</v>
      </c>
      <c r="C1523" s="25"/>
      <c r="D1523" s="73" t="n">
        <f aca="false">D1521-D1496+D1522</f>
        <v>5051875</v>
      </c>
      <c r="E1523" s="73" t="n">
        <f aca="false">E1521-E1496+E1522</f>
        <v>3711094.5625</v>
      </c>
      <c r="F1523" s="73" t="n">
        <f aca="false">F1521-F1496+F1522</f>
        <v>1348795.20428828</v>
      </c>
      <c r="G1523" s="73" t="n">
        <f aca="false">G1521-G1496+G1522</f>
        <v>-20002.8245879125</v>
      </c>
      <c r="H1523" s="73" t="n">
        <f aca="false">H1521-H1496+H1522</f>
        <v>-1436405.90535666</v>
      </c>
      <c r="I1523" s="73" t="n">
        <f aca="false">I1521-I1496+I1522</f>
        <v>-481054.21426921</v>
      </c>
      <c r="J1523" s="73" t="n">
        <f aca="false">J1521-J1496+J1522</f>
        <v>-1541958.64152709</v>
      </c>
      <c r="K1523" s="73" t="n">
        <f aca="false">K1521-K1496+K1522</f>
        <v>-570400.484380905</v>
      </c>
      <c r="L1523" s="73" t="n">
        <f aca="false">L1521-L1496+L1522</f>
        <v>-1638860.71386616</v>
      </c>
      <c r="M1523" s="73" t="n">
        <f aca="false">M1521-M1496+M1522</f>
        <v>-651458.585946179</v>
      </c>
      <c r="N1523" s="73" t="n">
        <f aca="false">N1521-N1496+N1522</f>
        <v>147835.019703798</v>
      </c>
      <c r="O1523" s="73" t="n">
        <f aca="false">O1521-O1496+O1522</f>
        <v>1321816.67602003</v>
      </c>
    </row>
    <row r="1524" customFormat="false" ht="15" hidden="false" customHeight="false" outlineLevel="0" collapsed="false">
      <c r="B1524" s="65" t="s">
        <v>1059</v>
      </c>
      <c r="C1524" s="25"/>
      <c r="D1524" s="73" t="n">
        <f aca="false">MIN(MAX(0,MIN($Y$20*AN_cible,Emprunt_max*D1486)-C1529),MAX(0,IF($Y$20&gt;0,Poche_min_exec*D1486,0)-D1523))-IF(D1523&gt;Liq_cible*D1486,MIN(C1529,D1523-Liq_cible*D1486),0)</f>
        <v>0</v>
      </c>
      <c r="E1524" s="73" t="n">
        <f aca="false">MIN(MAX(0,MIN($Y$20*AN_cible,Emprunt_max*E1486)-D1529),MAX(0,IF($Y$20&gt;0,Poche_min_exec*E1486,0)-E1523))-IF(E1523&gt;Liq_cible*E1486,MIN(D1529,E1523-Liq_cible*E1486),0)</f>
        <v>0</v>
      </c>
      <c r="F1524" s="73" t="n">
        <f aca="false">MIN(MAX(0,MIN($Y$20*AN_cible,Emprunt_max*F1486)-E1529),MAX(0,IF($Y$20&gt;0,Poche_min_exec*F1486,0)-F1523))-IF(F1523&gt;Liq_cible*F1486,MIN(E1529,F1523-Liq_cible*F1486),0)</f>
        <v>0</v>
      </c>
      <c r="G1524" s="73" t="n">
        <f aca="false">MIN(MAX(0,MIN($Y$20*AN_cible,Emprunt_max*G1486)-F1529),MAX(0,IF($Y$20&gt;0,Poche_min_exec*G1486,0)-G1523))-IF(G1523&gt;Liq_cible*G1486,MIN(F1529,G1523-Liq_cible*G1486),0)</f>
        <v>0</v>
      </c>
      <c r="H1524" s="73" t="n">
        <f aca="false">MIN(MAX(0,MIN($Y$20*AN_cible,Emprunt_max*H1486)-G1529),MAX(0,IF($Y$20&gt;0,Poche_min_exec*H1486,0)-H1523))-IF(H1523&gt;Liq_cible*H1486,MIN(G1529,H1523-Liq_cible*H1486),0)</f>
        <v>0</v>
      </c>
      <c r="I1524" s="73" t="n">
        <f aca="false">MIN(MAX(0,MIN($Y$20*AN_cible,Emprunt_max*I1486)-H1529),MAX(0,IF($Y$20&gt;0,Poche_min_exec*I1486,0)-I1523))-IF(I1523&gt;Liq_cible*I1486,MIN(H1529,I1523-Liq_cible*I1486),0)</f>
        <v>0</v>
      </c>
      <c r="J1524" s="73" t="n">
        <f aca="false">MIN(MAX(0,MIN($Y$20*AN_cible,Emprunt_max*J1486)-I1529),MAX(0,IF($Y$20&gt;0,Poche_min_exec*J1486,0)-J1523))-IF(J1523&gt;Liq_cible*J1486,MIN(I1529,J1523-Liq_cible*J1486),0)</f>
        <v>0</v>
      </c>
      <c r="K1524" s="73" t="n">
        <f aca="false">MIN(MAX(0,MIN($Y$20*AN_cible,Emprunt_max*K1486)-J1529),MAX(0,IF($Y$20&gt;0,Poche_min_exec*K1486,0)-K1523))-IF(K1523&gt;Liq_cible*K1486,MIN(J1529,K1523-Liq_cible*K1486),0)</f>
        <v>0</v>
      </c>
      <c r="L1524" s="73" t="n">
        <f aca="false">MIN(MAX(0,MIN($Y$20*AN_cible,Emprunt_max*L1486)-K1529),MAX(0,IF($Y$20&gt;0,Poche_min_exec*L1486,0)-L1523))-IF(L1523&gt;Liq_cible*L1486,MIN(K1529,L1523-Liq_cible*L1486),0)</f>
        <v>0</v>
      </c>
      <c r="M1524" s="73" t="n">
        <f aca="false">MIN(MAX(0,MIN($Y$20*AN_cible,Emprunt_max*M1486)-L1529),MAX(0,IF($Y$20&gt;0,Poche_min_exec*M1486,0)-M1523))-IF(M1523&gt;Liq_cible*M1486,MIN(L1529,M1523-Liq_cible*M1486),0)</f>
        <v>0</v>
      </c>
      <c r="N1524" s="73" t="n">
        <f aca="false">MIN(MAX(0,MIN($Y$20*AN_cible,Emprunt_max*N1486)-M1529),MAX(0,IF($Y$20&gt;0,Poche_min_exec*N1486,0)-N1523))-IF(N1523&gt;Liq_cible*N1486,MIN(M1529,N1523-Liq_cible*N1486),0)</f>
        <v>0</v>
      </c>
      <c r="O1524" s="73" t="n">
        <f aca="false">MIN(MAX(0,MIN($Y$20*AN_cible,Emprunt_max*O1486)-N1529),MAX(0,IF($Y$20&gt;0,Poche_min_exec*O1486,0)-O1523))-IF(O1523&gt;Liq_cible*O1486,MIN(N1529,O1523-Liq_cible*O1486),0)</f>
        <v>0</v>
      </c>
    </row>
    <row r="1525" customFormat="false" ht="15" hidden="false" customHeight="false" outlineLevel="0" collapsed="false">
      <c r="B1525" s="65" t="s">
        <v>1060</v>
      </c>
      <c r="C1525" s="25"/>
      <c r="D1525" s="73" t="n">
        <f aca="false">MIN((C1500+C1501+C1502+C1503),MAX(0,-(D1523+D1524))/(1-Decote))</f>
        <v>0</v>
      </c>
      <c r="E1525" s="73" t="n">
        <f aca="false">MIN((D1500+D1501+D1502+D1503),MAX(0,-(E1523+E1524))/(1-Decote))</f>
        <v>0</v>
      </c>
      <c r="F1525" s="73" t="n">
        <f aca="false">MIN((E1500+E1501+E1502+E1503),MAX(0,-(F1523+F1524))/(1-Decote))</f>
        <v>0</v>
      </c>
      <c r="G1525" s="73" t="n">
        <f aca="false">MIN((F1500+F1501+F1502+F1503),MAX(0,-(G1523+G1524))/(1-Decote))</f>
        <v>22225.3606532361</v>
      </c>
      <c r="H1525" s="73" t="n">
        <f aca="false">MIN((G1500+G1501+G1502+G1503),MAX(0,-(H1523+H1524))/(1-Decote))</f>
        <v>1596006.5615074</v>
      </c>
      <c r="I1525" s="73" t="n">
        <f aca="false">MIN((H1500+H1501+H1502+H1503),MAX(0,-(I1523+I1524))/(1-Decote))</f>
        <v>534504.682521344</v>
      </c>
      <c r="J1525" s="73" t="n">
        <f aca="false">MIN((I1500+I1501+I1502+I1503),MAX(0,-(J1523+J1524))/(1-Decote))</f>
        <v>1713287.37947454</v>
      </c>
      <c r="K1525" s="73" t="n">
        <f aca="false">MIN((J1500+J1501+J1502+J1503),MAX(0,-(K1523+K1524))/(1-Decote))</f>
        <v>633778.315978784</v>
      </c>
      <c r="L1525" s="73" t="n">
        <f aca="false">MIN((K1500+K1501+K1502+K1503),MAX(0,-(L1523+L1524))/(1-Decote))</f>
        <v>1820956.34874018</v>
      </c>
      <c r="M1525" s="73" t="n">
        <f aca="false">MIN((L1500+L1501+L1502+L1503),MAX(0,-(M1523+M1524))/(1-Decote))</f>
        <v>723842.873273532</v>
      </c>
      <c r="N1525" s="73" t="n">
        <f aca="false">MIN((M1500+M1501+M1502+M1503),MAX(0,-(N1523+N1524))/(1-Decote))</f>
        <v>0</v>
      </c>
      <c r="O1525" s="73" t="n">
        <f aca="false">MIN((N1500+N1501+N1502+N1503),MAX(0,-(O1523+O1524))/(1-Decote))</f>
        <v>0</v>
      </c>
    </row>
    <row r="1526" customFormat="false" ht="15" hidden="false" customHeight="false" outlineLevel="0" collapsed="false">
      <c r="B1526" s="65" t="s">
        <v>1061</v>
      </c>
      <c r="C1526" s="25"/>
      <c r="D1526" s="73" t="n">
        <f aca="false">D1525*Decote</f>
        <v>0</v>
      </c>
      <c r="E1526" s="73" t="n">
        <f aca="false">E1525*Decote</f>
        <v>0</v>
      </c>
      <c r="F1526" s="73" t="n">
        <f aca="false">F1525*Decote</f>
        <v>0</v>
      </c>
      <c r="G1526" s="73" t="n">
        <f aca="false">G1525*Decote</f>
        <v>2222.53606532361</v>
      </c>
      <c r="H1526" s="73" t="n">
        <f aca="false">H1525*Decote</f>
        <v>159600.65615074</v>
      </c>
      <c r="I1526" s="73" t="n">
        <f aca="false">I1525*Decote</f>
        <v>53450.4682521344</v>
      </c>
      <c r="J1526" s="73" t="n">
        <f aca="false">J1525*Decote</f>
        <v>171328.737947454</v>
      </c>
      <c r="K1526" s="73" t="n">
        <f aca="false">K1525*Decote</f>
        <v>63377.8315978784</v>
      </c>
      <c r="L1526" s="73" t="n">
        <f aca="false">L1525*Decote</f>
        <v>182095.634874018</v>
      </c>
      <c r="M1526" s="73" t="n">
        <f aca="false">M1525*Decote</f>
        <v>72384.2873273532</v>
      </c>
      <c r="N1526" s="73" t="n">
        <f aca="false">N1525*Decote</f>
        <v>0</v>
      </c>
      <c r="O1526" s="73" t="n">
        <f aca="false">O1525*Decote</f>
        <v>0</v>
      </c>
    </row>
    <row r="1527" customFormat="false" ht="15" hidden="false" customHeight="false" outlineLevel="0" collapsed="false">
      <c r="B1527" s="65" t="s">
        <v>1062</v>
      </c>
      <c r="C1527" s="25"/>
      <c r="D1527" s="73" t="n">
        <f aca="false">IF(AND(D1497&lt;0.000001,C1529+D1524&lt;0.000001),MAX(0,D1523+D1524-Seuil_reinv*D1486),0)</f>
        <v>0</v>
      </c>
      <c r="E1527" s="73" t="n">
        <f aca="false">IF(AND(E1497&lt;0.000001,D1529+E1524&lt;0.000001),MAX(0,E1523+E1524-Seuil_reinv*E1486),0)</f>
        <v>0</v>
      </c>
      <c r="F1527" s="73" t="n">
        <f aca="false">IF(AND(F1497&lt;0.000001,E1529+F1524&lt;0.000001),MAX(0,F1523+F1524-Seuil_reinv*F1486),0)</f>
        <v>0</v>
      </c>
      <c r="G1527" s="73" t="n">
        <f aca="false">IF(AND(G1497&lt;0.000001,F1529+G1524&lt;0.000001),MAX(0,G1523+G1524-Seuil_reinv*G1486),0)</f>
        <v>0</v>
      </c>
      <c r="H1527" s="73" t="n">
        <f aca="false">IF(AND(H1497&lt;0.000001,G1529+H1524&lt;0.000001),MAX(0,H1523+H1524-Seuil_reinv*H1486),0)</f>
        <v>0</v>
      </c>
      <c r="I1527" s="73" t="n">
        <f aca="false">IF(AND(I1497&lt;0.000001,H1529+I1524&lt;0.000001),MAX(0,I1523+I1524-Seuil_reinv*I1486),0)</f>
        <v>0</v>
      </c>
      <c r="J1527" s="73" t="n">
        <f aca="false">IF(AND(J1497&lt;0.000001,I1529+J1524&lt;0.000001),MAX(0,J1523+J1524-Seuil_reinv*J1486),0)</f>
        <v>0</v>
      </c>
      <c r="K1527" s="73" t="n">
        <f aca="false">IF(AND(K1497&lt;0.000001,J1529+K1524&lt;0.000001),MAX(0,K1523+K1524-Seuil_reinv*K1486),0)</f>
        <v>0</v>
      </c>
      <c r="L1527" s="73" t="n">
        <f aca="false">IF(AND(L1497&lt;0.000001,K1529+L1524&lt;0.000001),MAX(0,L1523+L1524-Seuil_reinv*L1486),0)</f>
        <v>0</v>
      </c>
      <c r="M1527" s="73" t="n">
        <f aca="false">IF(AND(M1497&lt;0.000001,L1529+M1524&lt;0.000001),MAX(0,M1523+M1524-Seuil_reinv*M1486),0)</f>
        <v>0</v>
      </c>
      <c r="N1527" s="73" t="n">
        <f aca="false">IF(AND(N1497&lt;0.000001,M1529+N1524&lt;0.000001),MAX(0,N1523+N1524-Seuil_reinv*N1486),0)</f>
        <v>0</v>
      </c>
      <c r="O1527" s="73" t="n">
        <f aca="false">IF(AND(O1497&lt;0.000001,N1529+O1524&lt;0.000001),MAX(0,O1523+O1524-Seuil_reinv*O1486),0)</f>
        <v>0</v>
      </c>
    </row>
    <row r="1528" customFormat="false" ht="15" hidden="false" customHeight="false" outlineLevel="0" collapsed="false">
      <c r="B1528" s="65" t="s">
        <v>1063</v>
      </c>
      <c r="C1528" s="73" t="n">
        <f aca="false">AN_cible*Ws_LIQ</f>
        <v>7500000</v>
      </c>
      <c r="D1528" s="73" t="n">
        <f aca="false">D1523+D1524+D1525-D1526-D1527</f>
        <v>5051875</v>
      </c>
      <c r="E1528" s="73" t="n">
        <f aca="false">E1523+E1524+E1525-E1526-E1527</f>
        <v>3711094.5625</v>
      </c>
      <c r="F1528" s="73" t="n">
        <f aca="false">F1523+F1524+F1525-F1526-F1527</f>
        <v>1348795.20428828</v>
      </c>
      <c r="G1528" s="73" t="n">
        <f aca="false">G1523+G1524+G1525-G1526-G1527</f>
        <v>0</v>
      </c>
      <c r="H1528" s="73" t="n">
        <f aca="false">H1523+H1524+H1525-H1526-H1527</f>
        <v>0</v>
      </c>
      <c r="I1528" s="73" t="n">
        <f aca="false">I1523+I1524+I1525-I1526-I1527</f>
        <v>0</v>
      </c>
      <c r="J1528" s="73" t="n">
        <f aca="false">J1523+J1524+J1525-J1526-J1527</f>
        <v>0</v>
      </c>
      <c r="K1528" s="73" t="n">
        <f aca="false">K1523+K1524+K1525-K1526-K1527</f>
        <v>0</v>
      </c>
      <c r="L1528" s="73" t="n">
        <f aca="false">L1523+L1524+L1525-L1526-L1527</f>
        <v>0</v>
      </c>
      <c r="M1528" s="73" t="n">
        <f aca="false">M1523+M1524+M1525-M1526-M1527</f>
        <v>0</v>
      </c>
      <c r="N1528" s="73" t="n">
        <f aca="false">N1523+N1524+N1525-N1526-N1527</f>
        <v>147835.019703798</v>
      </c>
      <c r="O1528" s="73" t="n">
        <f aca="false">O1523+O1524+O1525-O1526-O1527</f>
        <v>1321816.67602003</v>
      </c>
    </row>
    <row r="1529" customFormat="false" ht="15" hidden="false" customHeight="false" outlineLevel="0" collapsed="false">
      <c r="B1529" s="65" t="s">
        <v>1064</v>
      </c>
      <c r="C1529" s="73" t="n">
        <v>0</v>
      </c>
      <c r="D1529" s="73" t="n">
        <f aca="false">C1529+D1524</f>
        <v>0</v>
      </c>
      <c r="E1529" s="73" t="n">
        <f aca="false">D1529+E1524</f>
        <v>0</v>
      </c>
      <c r="F1529" s="73" t="n">
        <f aca="false">E1529+F1524</f>
        <v>0</v>
      </c>
      <c r="G1529" s="73" t="n">
        <f aca="false">F1529+G1524</f>
        <v>0</v>
      </c>
      <c r="H1529" s="73" t="n">
        <f aca="false">G1529+H1524</f>
        <v>0</v>
      </c>
      <c r="I1529" s="73" t="n">
        <f aca="false">H1529+I1524</f>
        <v>0</v>
      </c>
      <c r="J1529" s="73" t="n">
        <f aca="false">I1529+J1524</f>
        <v>0</v>
      </c>
      <c r="K1529" s="73" t="n">
        <f aca="false">J1529+K1524</f>
        <v>0</v>
      </c>
      <c r="L1529" s="73" t="n">
        <f aca="false">K1529+L1524</f>
        <v>0</v>
      </c>
      <c r="M1529" s="73" t="n">
        <f aca="false">L1529+M1524</f>
        <v>0</v>
      </c>
      <c r="N1529" s="73" t="n">
        <f aca="false">M1529+N1524</f>
        <v>0</v>
      </c>
      <c r="O1529" s="73" t="n">
        <f aca="false">N1529+O1524</f>
        <v>0</v>
      </c>
    </row>
    <row r="1530" customFormat="false" ht="15" hidden="false" customHeight="false" outlineLevel="0" collapsed="false">
      <c r="B1530" s="74" t="s">
        <v>1065</v>
      </c>
      <c r="C1530" s="73" t="n">
        <f aca="false">C1500+C1501+C1502+C1503+C1528-C1529</f>
        <v>50000000</v>
      </c>
      <c r="D1530" s="73" t="n">
        <f aca="false">D1500+D1501+D1502+D1503+D1528-D1529</f>
        <v>49600643.75</v>
      </c>
      <c r="E1530" s="73" t="n">
        <f aca="false">E1500+E1501+E1502+E1503+E1528-E1529</f>
        <v>50360190.7757813</v>
      </c>
      <c r="F1530" s="73" t="n">
        <f aca="false">F1500+F1501+F1502+F1503+F1528-F1529</f>
        <v>50148640.4971619</v>
      </c>
      <c r="G1530" s="73" t="n">
        <f aca="false">G1500+G1501+G1502+G1503+G1528-G1529</f>
        <v>50977704.2194659</v>
      </c>
      <c r="H1530" s="73" t="n">
        <f aca="false">H1500+H1501+H1502+H1503+H1528-H1529</f>
        <v>50692858.3560589</v>
      </c>
      <c r="I1530" s="73" t="n">
        <f aca="false">I1500+I1501+I1502+I1503+I1528-I1529</f>
        <v>51528529.9915201</v>
      </c>
      <c r="J1530" s="73" t="n">
        <f aca="false">J1500+J1501+J1502+J1503+J1528-J1529</f>
        <v>51230195.3203055</v>
      </c>
      <c r="K1530" s="73" t="n">
        <f aca="false">K1500+K1501+K1502+K1503+K1528-K1529</f>
        <v>52064919.0667063</v>
      </c>
      <c r="L1530" s="73" t="n">
        <f aca="false">L1500+L1501+L1502+L1503+L1528-L1529</f>
        <v>51754010.0003941</v>
      </c>
      <c r="M1530" s="73" t="n">
        <f aca="false">M1500+M1501+M1502+M1503+M1528-M1529</f>
        <v>52588399.8099952</v>
      </c>
      <c r="N1530" s="73" t="n">
        <f aca="false">N1500+N1501+N1502+N1503+N1528-N1529</f>
        <v>52457750.9837776</v>
      </c>
      <c r="O1530" s="73" t="n">
        <f aca="false">O1500+O1501+O1502+O1503+O1528-O1529</f>
        <v>53374252.9900026</v>
      </c>
    </row>
    <row r="1531" customFormat="false" ht="15" hidden="false" customHeight="false" outlineLevel="0" collapsed="false">
      <c r="B1531" s="65" t="s">
        <v>1066</v>
      </c>
      <c r="C1531" s="72" t="n">
        <f aca="false">IF((C1530+C1529)&gt;0,C1528/(C1530+C1529),0)</f>
        <v>0.15</v>
      </c>
      <c r="D1531" s="72" t="n">
        <f aca="false">IF((D1530+D1529)&gt;0,D1528/(D1530+D1529),0)</f>
        <v>0.101850996641551</v>
      </c>
      <c r="E1531" s="72" t="n">
        <f aca="false">IF((E1530+E1529)&gt;0,E1528/(E1530+E1529),0)</f>
        <v>0.0736910346313602</v>
      </c>
      <c r="F1531" s="72" t="n">
        <f aca="false">IF((F1530+F1529)&gt;0,F1528/(F1530+F1529),0)</f>
        <v>0.0268959475454696</v>
      </c>
      <c r="G1531" s="72" t="n">
        <f aca="false">IF((G1530+G1529)&gt;0,G1528/(G1530+G1529),0)</f>
        <v>0</v>
      </c>
      <c r="H1531" s="72" t="n">
        <f aca="false">IF((H1530+H1529)&gt;0,H1528/(H1530+H1529),0)</f>
        <v>0</v>
      </c>
      <c r="I1531" s="72" t="n">
        <f aca="false">IF((I1530+I1529)&gt;0,I1528/(I1530+I1529),0)</f>
        <v>0</v>
      </c>
      <c r="J1531" s="72" t="n">
        <f aca="false">IF((J1530+J1529)&gt;0,J1528/(J1530+J1529),0)</f>
        <v>0</v>
      </c>
      <c r="K1531" s="72" t="n">
        <f aca="false">IF((K1530+K1529)&gt;0,K1528/(K1530+K1529),0)</f>
        <v>0</v>
      </c>
      <c r="L1531" s="72" t="n">
        <f aca="false">IF((L1530+L1529)&gt;0,L1528/(L1530+L1529),0)</f>
        <v>0</v>
      </c>
      <c r="M1531" s="72" t="n">
        <f aca="false">IF((M1530+M1529)&gt;0,M1528/(M1530+M1529),0)</f>
        <v>0</v>
      </c>
      <c r="N1531" s="72" t="n">
        <f aca="false">IF((N1530+N1529)&gt;0,N1528/(N1530+N1529),0)</f>
        <v>0.00281817304271233</v>
      </c>
      <c r="O1531" s="72" t="n">
        <f aca="false">IF((O1530+O1529)&gt;0,O1528/(O1530+O1529),0)</f>
        <v>0.0247650618411019</v>
      </c>
    </row>
    <row r="1532" customFormat="false" ht="15" hidden="false" customHeight="false" outlineLevel="0" collapsed="false">
      <c r="B1532" s="65" t="s">
        <v>1067</v>
      </c>
      <c r="C1532" s="72" t="n">
        <f aca="false">0</f>
        <v>0</v>
      </c>
      <c r="D1532" s="72" t="n">
        <f aca="false">IF(D1530&gt;0,D1497/D1530,0)</f>
        <v>0</v>
      </c>
      <c r="E1532" s="72" t="n">
        <f aca="false">IF(E1530&gt;0,E1497/E1530,0)</f>
        <v>0</v>
      </c>
      <c r="F1532" s="72" t="n">
        <f aca="false">IF(F1530&gt;0,F1497/F1530,0)</f>
        <v>0</v>
      </c>
      <c r="G1532" s="72" t="n">
        <f aca="false">IF(G1530&gt;0,G1497/G1530,0)</f>
        <v>0</v>
      </c>
      <c r="H1532" s="72" t="n">
        <f aca="false">IF(H1530&gt;0,H1497/H1530,0)</f>
        <v>0</v>
      </c>
      <c r="I1532" s="72" t="n">
        <f aca="false">IF(I1530&gt;0,I1497/I1530,0)</f>
        <v>0</v>
      </c>
      <c r="J1532" s="72" t="n">
        <f aca="false">IF(J1530&gt;0,J1497/J1530,0)</f>
        <v>0</v>
      </c>
      <c r="K1532" s="72" t="n">
        <f aca="false">IF(K1530&gt;0,K1497/K1530,0)</f>
        <v>0</v>
      </c>
      <c r="L1532" s="72" t="n">
        <f aca="false">IF(L1530&gt;0,L1497/L1530,0)</f>
        <v>0</v>
      </c>
      <c r="M1532" s="72" t="n">
        <f aca="false">IF(M1530&gt;0,M1497/M1530,0)</f>
        <v>0</v>
      </c>
      <c r="N1532" s="72" t="n">
        <f aca="false">IF(N1530&gt;0,N1497/N1530,0)</f>
        <v>0</v>
      </c>
      <c r="O1532" s="72" t="n">
        <f aca="false">IF(O1530&gt;0,O1497/O1530,0)</f>
        <v>0</v>
      </c>
    </row>
    <row r="1533" customFormat="false" ht="15" hidden="false" customHeight="false" outlineLevel="0" collapsed="false">
      <c r="B1533" s="65" t="s">
        <v>1068</v>
      </c>
      <c r="C1533" s="75" t="n">
        <f aca="false">IF((C1497+SUM(D1488:G1488)+SUM(D1518:G1518)+SUM(D1519:G1519)+SUM(D1517:G1517))&lt;=0,9.99,MIN(9.99,(C1528+SUM(D1516:G1516)+SUM(D1512:G1513)+MAX(0,MIN($Y$20*AN_cible,Emprunt_max*C1530)-C1529))/(C1497+SUM(D1488:G1488)+SUM(D1518:G1518)+SUM(D1519:G1519)+SUM(D1517:G1517))))</f>
        <v>0.990956086728033</v>
      </c>
      <c r="D1533" s="73" t="n">
        <f aca="false">IF((D1497+SUM(E1488:H1488)+SUM(E1518:H1518)+SUM(E1519:H1519)+SUM(E1517:H1517))&lt;=0,9.99,MIN(9.99,(D1528+SUM(E1516:H1516)+SUM(E1512:H1513)+MAX(0,MIN($Y$20*AN_cible,Emprunt_max*D1530)-D1529))/(D1497+SUM(E1488:H1488)+SUM(E1518:H1518)+SUM(E1519:H1519)+SUM(E1517:H1517))))</f>
        <v>0.886126479711421</v>
      </c>
      <c r="E1533" s="73" t="n">
        <f aca="false">IF((E1497+SUM(F1488:I1488)+SUM(F1518:I1518)+SUM(F1519:I1519)+SUM(F1517:I1517))&lt;=0,9.99,MIN(9.99,(E1528+SUM(F1516:I1516)+SUM(F1512:I1513)+MAX(0,MIN($Y$20*AN_cible,Emprunt_max*E1530)-E1529))/(E1497+SUM(F1488:I1488)+SUM(F1518:I1518)+SUM(F1519:I1519)+SUM(F1517:I1517))))</f>
        <v>0.841364536755909</v>
      </c>
      <c r="F1533" s="73" t="n">
        <f aca="false">IF((F1497+SUM(G1488:J1488)+SUM(G1518:J1518)+SUM(G1519:J1519)+SUM(G1517:J1517))&lt;=0,9.99,MIN(9.99,(F1528+SUM(G1516:J1516)+SUM(G1512:J1513)+MAX(0,MIN($Y$20*AN_cible,Emprunt_max*F1530)-F1529))/(F1497+SUM(G1488:J1488)+SUM(G1518:J1518)+SUM(G1519:J1519)+SUM(G1517:J1517))))</f>
        <v>0.696823592075879</v>
      </c>
      <c r="G1533" s="73" t="n">
        <f aca="false">IF((G1497+SUM(H1488:K1488)+SUM(H1518:K1518)+SUM(H1519:K1519)+SUM(H1517:K1517))&lt;=0,9.99,MIN(9.99,(G1528+SUM(H1516:K1516)+SUM(H1512:K1513)+MAX(0,MIN($Y$20*AN_cible,Emprunt_max*G1530)-G1529))/(G1497+SUM(H1488:K1488)+SUM(H1518:K1518)+SUM(H1519:K1519)+SUM(H1517:K1517))))</f>
        <v>0.618831261665552</v>
      </c>
      <c r="H1533" s="73" t="n">
        <f aca="false">IF((H1497+SUM(I1488:L1488)+SUM(I1518:L1518)+SUM(I1519:L1519)+SUM(I1517:L1517))&lt;=0,9.99,MIN(9.99,(H1528+SUM(I1516:L1516)+SUM(I1512:L1513)+MAX(0,MIN($Y$20*AN_cible,Emprunt_max*H1530)-H1529))/(H1497+SUM(I1488:L1488)+SUM(I1518:L1518)+SUM(I1519:L1519)+SUM(I1517:L1517))))</f>
        <v>0.600708201164493</v>
      </c>
      <c r="I1533" s="73" t="n">
        <f aca="false">IF((I1497+SUM(J1488:M1488)+SUM(J1518:M1518)+SUM(J1519:M1519)+SUM(J1517:M1517))&lt;=0,9.99,MIN(9.99,(I1528+SUM(J1516:M1516)+SUM(J1512:M1513)+MAX(0,MIN($Y$20*AN_cible,Emprunt_max*I1530)-I1529))/(I1497+SUM(J1488:M1488)+SUM(J1518:M1518)+SUM(J1519:M1519)+SUM(J1517:M1517))))</f>
        <v>0.584839301771826</v>
      </c>
      <c r="J1533" s="73" t="n">
        <f aca="false">IF((J1497+SUM(K1488:N1488)+SUM(K1518:N1518)+SUM(K1519:N1519)+SUM(K1517:N1517))&lt;=0,9.99,MIN(9.99,(J1528+SUM(K1516:N1516)+SUM(K1512:N1513)+MAX(0,MIN($Y$20*AN_cible,Emprunt_max*J1530)-J1529))/(J1497+SUM(K1488:N1488)+SUM(K1518:N1518)+SUM(K1519:N1519)+SUM(K1517:N1517))))</f>
        <v>0.690177470303207</v>
      </c>
      <c r="K1533" s="73" t="n">
        <f aca="false">IF((K1497+SUM(L1488:O1488)+SUM(L1518:O1518)+SUM(L1519:O1519)+SUM(L1517:O1517))&lt;=0,9.99,MIN(9.99,(K1528+SUM(L1516:O1516)+SUM(L1512:O1513)+MAX(0,MIN($Y$20*AN_cible,Emprunt_max*K1530)-K1529))/(K1497+SUM(L1488:O1488)+SUM(L1518:O1518)+SUM(L1519:O1519)+SUM(L1517:O1517))))</f>
        <v>0.859246195936532</v>
      </c>
      <c r="L1533" s="73" t="n">
        <f aca="false">IF((L1497+SUM(M1488:O1488)+SUM(M1518:O1518)+SUM(M1519:O1519)+SUM(M1517:O1517))&lt;=0,9.99,MIN(9.99,(L1528+SUM(M1516:O1516)+SUM(M1512:O1513)+MAX(0,MIN($Y$20*AN_cible,Emprunt_max*L1530)-L1529))/(L1497+SUM(M1488:O1488)+SUM(M1518:O1518)+SUM(M1519:O1519)+SUM(M1517:O1517))))</f>
        <v>1.18040308012989</v>
      </c>
      <c r="M1533" s="73" t="n">
        <f aca="false">IF((M1497+SUM(N1488:O1488)+SUM(N1518:O1518)+SUM(N1519:O1519)+SUM(N1517:O1517))&lt;=0,9.99,MIN(9.99,(M1528+SUM(N1516:O1516)+SUM(N1512:O1513)+MAX(0,MIN($Y$20*AN_cible,Emprunt_max*M1530)-M1529))/(M1497+SUM(N1488:O1488)+SUM(N1518:O1518)+SUM(N1519:O1519)+SUM(N1517:O1517))))</f>
        <v>1.83759908307189</v>
      </c>
      <c r="N1533" s="73" t="n">
        <f aca="false">IF((N1497+SUM(O1488:O1488)+SUM(O1518:O1518)+SUM(O1519:O1519)+SUM(O1517:O1517))&lt;=0,9.99,MIN(9.99,(N1528+SUM(O1516:O1516)+SUM(O1512:O1513)+MAX(0,MIN($Y$20*AN_cible,Emprunt_max*N1530)-N1529))/(N1497+SUM(O1488:O1488)+SUM(O1518:O1518)+SUM(O1519:O1519)+SUM(O1517:O1517))))</f>
        <v>6.03602492434479</v>
      </c>
      <c r="O1533" s="73" t="n">
        <f aca="false">9.99</f>
        <v>9.99</v>
      </c>
    </row>
    <row r="1534" customFormat="false" ht="15" hidden="false" customHeight="false" outlineLevel="0" collapsed="false">
      <c r="B1534" s="65" t="s">
        <v>1069</v>
      </c>
      <c r="C1534" s="72" t="n">
        <f aca="false">(C1500+C1501+C1502+C1503+C1508+C1509)/C1530</f>
        <v>1.3</v>
      </c>
      <c r="D1534" s="72" t="n">
        <f aca="false">(D1500+D1501+D1502+D1503+D1508+D1509)/D1530</f>
        <v>1.29506925502353</v>
      </c>
      <c r="E1534" s="72" t="n">
        <f aca="false">(E1500+E1501+E1502+E1503+E1508+E1509)/E1530</f>
        <v>1.26139506691128</v>
      </c>
      <c r="F1534" s="72" t="n">
        <f aca="false">(F1500+F1501+F1502+F1503+F1508+F1509)/F1530</f>
        <v>1.25352042786546</v>
      </c>
      <c r="G1534" s="72" t="n">
        <f aca="false">(G1500+G1501+G1502+G1503+G1508+G1509)/G1530</f>
        <v>1.22068471250818</v>
      </c>
      <c r="H1534" s="72" t="n">
        <f aca="false">(H1500+H1501+H1502+H1503+H1508+H1509)/H1530</f>
        <v>1.18493729302363</v>
      </c>
      <c r="I1534" s="72" t="n">
        <f aca="false">(I1500+I1501+I1502+I1503+I1508+I1509)/I1530</f>
        <v>1.14555043586988</v>
      </c>
      <c r="J1534" s="72" t="n">
        <f aca="false">(J1500+J1501+J1502+J1503+J1508+J1509)/J1530</f>
        <v>1.10979852731052</v>
      </c>
      <c r="K1534" s="72" t="n">
        <f aca="false">(K1500+K1501+K1502+K1503+K1508+K1509)/K1530</f>
        <v>1.0720254648854</v>
      </c>
      <c r="L1534" s="72" t="n">
        <f aca="false">(L1500+L1501+L1502+L1503+L1508+L1509)/L1530</f>
        <v>1.0362290767418</v>
      </c>
      <c r="M1534" s="72" t="n">
        <f aca="false">(M1500+M1501+M1502+M1503+M1508+M1509)/M1530</f>
        <v>1</v>
      </c>
      <c r="N1534" s="72" t="n">
        <f aca="false">(N1500+N1501+N1502+N1503+N1508+N1509)/N1530</f>
        <v>0.997181826957288</v>
      </c>
      <c r="O1534" s="72" t="n">
        <f aca="false">(O1500+O1501+O1502+O1503+O1508+O1509)/O1530</f>
        <v>0.975234938158898</v>
      </c>
    </row>
    <row r="1535" customFormat="false" ht="15" hidden="false" customHeight="false" outlineLevel="0" collapsed="false">
      <c r="B1535" s="65" t="s">
        <v>849</v>
      </c>
      <c r="C1535" s="72" t="n">
        <f aca="false">(C1530+C1529)/C1530</f>
        <v>1</v>
      </c>
      <c r="D1535" s="72" t="n">
        <f aca="false">(D1530+D1529)/D1530</f>
        <v>1</v>
      </c>
      <c r="E1535" s="72" t="n">
        <f aca="false">(E1530+E1529)/E1530</f>
        <v>1</v>
      </c>
      <c r="F1535" s="72" t="n">
        <f aca="false">(F1530+F1529)/F1530</f>
        <v>1</v>
      </c>
      <c r="G1535" s="72" t="n">
        <f aca="false">(G1530+G1529)/G1530</f>
        <v>1</v>
      </c>
      <c r="H1535" s="72" t="n">
        <f aca="false">(H1530+H1529)/H1530</f>
        <v>1</v>
      </c>
      <c r="I1535" s="72" t="n">
        <f aca="false">(I1530+I1529)/I1530</f>
        <v>1</v>
      </c>
      <c r="J1535" s="72" t="n">
        <f aca="false">(J1530+J1529)/J1530</f>
        <v>1</v>
      </c>
      <c r="K1535" s="72" t="n">
        <f aca="false">(K1530+K1529)/K1530</f>
        <v>1</v>
      </c>
      <c r="L1535" s="72" t="n">
        <f aca="false">(L1530+L1529)/L1530</f>
        <v>1</v>
      </c>
      <c r="M1535" s="72" t="n">
        <f aca="false">(M1530+M1529)/M1530</f>
        <v>1</v>
      </c>
      <c r="N1535" s="72" t="n">
        <f aca="false">(N1530+N1529)/N1530</f>
        <v>1</v>
      </c>
      <c r="O1535" s="72" t="n">
        <f aca="false">(O1530+O1529)/O1530</f>
        <v>1</v>
      </c>
    </row>
    <row r="1536" customFormat="false" ht="15" hidden="false" customHeight="false" outlineLevel="0" collapsed="false">
      <c r="B1536" s="65" t="s">
        <v>1070</v>
      </c>
      <c r="C1536" s="72" t="n">
        <f aca="false">(C1500+C1501*MSIG_USD)/C1530</f>
        <v>0.25</v>
      </c>
      <c r="D1536" s="72" t="n">
        <f aca="false">(D1500+D1501*MSIG_USD)/D1530</f>
        <v>0.287981393386653</v>
      </c>
      <c r="E1536" s="72" t="n">
        <f aca="false">(E1500+E1501*MSIG_USD)/E1530</f>
        <v>0.319337687865679</v>
      </c>
      <c r="F1536" s="72" t="n">
        <f aca="false">(F1500+F1501*MSIG_USD)/F1530</f>
        <v>0.356812057836242</v>
      </c>
      <c r="G1536" s="72" t="n">
        <f aca="false">(G1500+G1501*MSIG_USD)/G1530</f>
        <v>0.386663519220158</v>
      </c>
      <c r="H1536" s="72" t="n">
        <f aca="false">(H1500+H1501*MSIG_USD)/H1530</f>
        <v>0.401858779030314</v>
      </c>
      <c r="I1536" s="72" t="n">
        <f aca="false">(I1500+I1501*MSIG_USD)/I1530</f>
        <v>0.416059678074798</v>
      </c>
      <c r="J1536" s="72" t="n">
        <f aca="false">(J1500+J1501*MSIG_USD)/J1530</f>
        <v>0.429760798412741</v>
      </c>
      <c r="K1536" s="72" t="n">
        <f aca="false">(K1500+K1501*MSIG_USD)/K1530</f>
        <v>0.442513619882565</v>
      </c>
      <c r="L1536" s="72" t="n">
        <f aca="false">(L1500+L1501*MSIG_USD)/L1530</f>
        <v>0.454778624129551</v>
      </c>
      <c r="M1536" s="72" t="n">
        <f aca="false">(M1500+M1501*MSIG_USD)/M1530</f>
        <v>0.466153175484171</v>
      </c>
      <c r="N1536" s="72" t="n">
        <f aca="false">(N1500+N1501*MSIG_USD)/N1530</f>
        <v>0.4709241566721</v>
      </c>
      <c r="O1536" s="72" t="n">
        <f aca="false">(O1500+O1501*MSIG_USD)/O1530</f>
        <v>0.466413227903494</v>
      </c>
    </row>
    <row r="1537" customFormat="false" ht="15" hidden="false" customHeight="false" outlineLevel="0" collapsed="false">
      <c r="B1537" s="65" t="s">
        <v>1071</v>
      </c>
      <c r="C1537" s="25"/>
      <c r="D1537" s="65" t="n">
        <f aca="false">IF(AND($Y$9&lt;0.5*Collecte_norm,IF(D1481&lt;=$Y$11,0,$Y$10)&lt;0.5,IF(D1481&lt;=4,$Y$17,($Y$18+$Y$19)/2)&lt;0.7),1,0)</f>
        <v>0</v>
      </c>
      <c r="E1537" s="65" t="n">
        <f aca="false">IF(AND($Y$9&lt;0.5*Collecte_norm,IF(E1481&lt;=$Y$11,0,$Y$10)&lt;0.5,IF(E1481&lt;=4,$Y$17,($Y$18+$Y$19)/2)&lt;0.7),1,0)</f>
        <v>0</v>
      </c>
      <c r="F1537" s="65" t="n">
        <f aca="false">IF(AND($Y$9&lt;0.5*Collecte_norm,IF(F1481&lt;=$Y$11,0,$Y$10)&lt;0.5,IF(F1481&lt;=4,$Y$17,($Y$18+$Y$19)/2)&lt;0.7),1,0)</f>
        <v>0</v>
      </c>
      <c r="G1537" s="65" t="n">
        <f aca="false">IF(AND($Y$9&lt;0.5*Collecte_norm,IF(G1481&lt;=$Y$11,0,$Y$10)&lt;0.5,IF(G1481&lt;=4,$Y$17,($Y$18+$Y$19)/2)&lt;0.7),1,0)</f>
        <v>0</v>
      </c>
      <c r="H1537" s="65" t="n">
        <f aca="false">IF(AND($Y$9&lt;0.5*Collecte_norm,IF(H1481&lt;=$Y$11,0,$Y$10)&lt;0.5,IF(H1481&lt;=4,$Y$17,($Y$18+$Y$19)/2)&lt;0.7),1,0)</f>
        <v>0</v>
      </c>
      <c r="I1537" s="65" t="n">
        <f aca="false">IF(AND($Y$9&lt;0.5*Collecte_norm,IF(I1481&lt;=$Y$11,0,$Y$10)&lt;0.5,IF(I1481&lt;=4,$Y$17,($Y$18+$Y$19)/2)&lt;0.7),1,0)</f>
        <v>0</v>
      </c>
      <c r="J1537" s="65" t="n">
        <f aca="false">IF(AND($Y$9&lt;0.5*Collecte_norm,IF(J1481&lt;=$Y$11,0,$Y$10)&lt;0.5,IF(J1481&lt;=4,$Y$17,($Y$18+$Y$19)/2)&lt;0.7),1,0)</f>
        <v>0</v>
      </c>
      <c r="K1537" s="65" t="n">
        <f aca="false">IF(AND($Y$9&lt;0.5*Collecte_norm,IF(K1481&lt;=$Y$11,0,$Y$10)&lt;0.5,IF(K1481&lt;=4,$Y$17,($Y$18+$Y$19)/2)&lt;0.7),1,0)</f>
        <v>0</v>
      </c>
      <c r="L1537" s="65" t="n">
        <f aca="false">IF(AND($Y$9&lt;0.5*Collecte_norm,IF(L1481&lt;=$Y$11,0,$Y$10)&lt;0.5,IF(L1481&lt;=4,$Y$17,($Y$18+$Y$19)/2)&lt;0.7),1,0)</f>
        <v>0</v>
      </c>
      <c r="M1537" s="65" t="n">
        <f aca="false">IF(AND($Y$9&lt;0.5*Collecte_norm,IF(M1481&lt;=$Y$11,0,$Y$10)&lt;0.5,IF(M1481&lt;=4,$Y$17,($Y$18+$Y$19)/2)&lt;0.7),1,0)</f>
        <v>0</v>
      </c>
      <c r="N1537" s="65" t="n">
        <f aca="false">IF(AND($Y$9&lt;0.5*Collecte_norm,IF(N1481&lt;=$Y$11,0,$Y$10)&lt;0.5,IF(N1481&lt;=4,$Y$17,($Y$18+$Y$19)/2)&lt;0.7),1,0)</f>
        <v>0</v>
      </c>
      <c r="O1537" s="65" t="n">
        <f aca="false">IF(AND($Y$9&lt;0.5*Collecte_norm,IF(O1481&lt;=$Y$11,0,$Y$10)&lt;0.5,IF(O1481&lt;=4,$Y$17,($Y$18+$Y$19)/2)&lt;0.7),1,0)</f>
        <v>0</v>
      </c>
    </row>
    <row r="1538" customFormat="false" ht="15" hidden="false" customHeight="false" outlineLevel="0" collapsed="false">
      <c r="B1538" s="76" t="s">
        <v>1072</v>
      </c>
      <c r="C1538" s="76" t="n">
        <v>99</v>
      </c>
      <c r="D1538" s="76" t="n">
        <f aca="false">IF(D1498=1,D1484,99)</f>
        <v>99</v>
      </c>
      <c r="E1538" s="76" t="n">
        <f aca="false">IF(E1498=1,E1484,99)</f>
        <v>99</v>
      </c>
      <c r="F1538" s="76" t="n">
        <f aca="false">IF(F1498=1,F1484,99)</f>
        <v>99</v>
      </c>
      <c r="G1538" s="76" t="n">
        <f aca="false">IF(G1498=1,G1484,99)</f>
        <v>99</v>
      </c>
      <c r="H1538" s="76" t="n">
        <f aca="false">IF(H1498=1,H1484,99)</f>
        <v>99</v>
      </c>
      <c r="I1538" s="76" t="n">
        <f aca="false">IF(I1498=1,I1484,99)</f>
        <v>99</v>
      </c>
      <c r="J1538" s="76" t="n">
        <f aca="false">IF(J1498=1,J1484,99)</f>
        <v>99</v>
      </c>
      <c r="K1538" s="76" t="n">
        <f aca="false">IF(K1498=1,K1484,99)</f>
        <v>99</v>
      </c>
      <c r="L1538" s="76" t="n">
        <f aca="false">IF(L1498=1,L1484,99)</f>
        <v>99</v>
      </c>
      <c r="M1538" s="76" t="n">
        <f aca="false">IF(M1498=1,M1484,99)</f>
        <v>99</v>
      </c>
      <c r="N1538" s="76" t="n">
        <f aca="false">IF(N1498=1,N1484,99)</f>
        <v>99</v>
      </c>
      <c r="O1538" s="76" t="n">
        <f aca="false">IF(O1498=1,O1484,99)</f>
        <v>99</v>
      </c>
    </row>
    <row r="1539" customFormat="false" ht="15" hidden="false" customHeight="false" outlineLevel="0" collapsed="false">
      <c r="B1539" s="76" t="s">
        <v>1073</v>
      </c>
      <c r="C1539" s="76" t="n">
        <v>99</v>
      </c>
      <c r="D1539" s="76" t="n">
        <f aca="false">IF(AND(D1483=1,D1484&gt;MIN($D1538:$O1538),D1497&lt;=0.000001),D1484,99)</f>
        <v>99</v>
      </c>
      <c r="E1539" s="76" t="n">
        <f aca="false">IF(AND(E1483=1,E1484&gt;MIN($D1538:$O1538),E1497&lt;=0.000001),E1484,99)</f>
        <v>99</v>
      </c>
      <c r="F1539" s="76" t="n">
        <f aca="false">IF(AND(F1483=1,F1484&gt;MIN($D1538:$O1538),F1497&lt;=0.000001),F1484,99)</f>
        <v>99</v>
      </c>
      <c r="G1539" s="76" t="n">
        <f aca="false">IF(AND(G1483=1,G1484&gt;MIN($D1538:$O1538),G1497&lt;=0.000001),G1484,99)</f>
        <v>99</v>
      </c>
      <c r="H1539" s="76" t="n">
        <f aca="false">IF(AND(H1483=1,H1484&gt;MIN($D1538:$O1538),H1497&lt;=0.000001),H1484,99)</f>
        <v>99</v>
      </c>
      <c r="I1539" s="76" t="n">
        <f aca="false">IF(AND(I1483=1,I1484&gt;MIN($D1538:$O1538),I1497&lt;=0.000001),I1484,99)</f>
        <v>99</v>
      </c>
      <c r="J1539" s="76" t="n">
        <f aca="false">IF(AND(J1483=1,J1484&gt;MIN($D1538:$O1538),J1497&lt;=0.000001),J1484,99)</f>
        <v>99</v>
      </c>
      <c r="K1539" s="76" t="n">
        <f aca="false">IF(AND(K1483=1,K1484&gt;MIN($D1538:$O1538),K1497&lt;=0.000001),K1484,99)</f>
        <v>99</v>
      </c>
      <c r="L1539" s="76" t="n">
        <f aca="false">IF(AND(L1483=1,L1484&gt;MIN($D1538:$O1538),L1497&lt;=0.000001),L1484,99)</f>
        <v>99</v>
      </c>
      <c r="M1539" s="76" t="n">
        <f aca="false">IF(AND(M1483=1,M1484&gt;MIN($D1538:$O1538),M1497&lt;=0.000001),M1484,99)</f>
        <v>99</v>
      </c>
      <c r="N1539" s="76" t="n">
        <f aca="false">IF(AND(N1483=1,N1484&gt;MIN($D1538:$O1538),N1497&lt;=0.000001),N1484,99)</f>
        <v>99</v>
      </c>
      <c r="O1539" s="76" t="n">
        <f aca="false">IF(AND(O1483=1,O1484&gt;MIN($D1538:$O1538),O1497&lt;=0.000001),O1484,99)</f>
        <v>99</v>
      </c>
    </row>
    <row r="1540" customFormat="false" ht="15" hidden="false" customHeight="false" outlineLevel="0" collapsed="false">
      <c r="B1540" s="76" t="s">
        <v>1074</v>
      </c>
      <c r="C1540" s="76" t="n">
        <v>9999999</v>
      </c>
      <c r="D1540" s="76" t="n">
        <f aca="false">IF(D1495=1,D1482,9999999)</f>
        <v>9999999</v>
      </c>
      <c r="E1540" s="76" t="n">
        <f aca="false">IF(E1495=1,E1482,9999999)</f>
        <v>9999999</v>
      </c>
      <c r="F1540" s="76" t="n">
        <f aca="false">IF(F1495=1,F1482,9999999)</f>
        <v>9999999</v>
      </c>
      <c r="G1540" s="76" t="n">
        <f aca="false">IF(G1495=1,G1482,9999999)</f>
        <v>9999999</v>
      </c>
      <c r="H1540" s="76" t="n">
        <f aca="false">IF(H1495=1,H1482,9999999)</f>
        <v>9999999</v>
      </c>
      <c r="I1540" s="76" t="n">
        <f aca="false">IF(I1495=1,I1482,9999999)</f>
        <v>9999999</v>
      </c>
      <c r="J1540" s="76" t="n">
        <f aca="false">IF(J1495=1,J1482,9999999)</f>
        <v>9999999</v>
      </c>
      <c r="K1540" s="76" t="n">
        <f aca="false">IF(K1495=1,K1482,9999999)</f>
        <v>9999999</v>
      </c>
      <c r="L1540" s="76" t="n">
        <f aca="false">IF(L1495=1,L1482,9999999)</f>
        <v>9999999</v>
      </c>
      <c r="M1540" s="76" t="n">
        <f aca="false">IF(M1495=1,M1482,9999999)</f>
        <v>9999999</v>
      </c>
      <c r="N1540" s="76" t="n">
        <f aca="false">IF(N1495=1,N1482,9999999)</f>
        <v>9999999</v>
      </c>
      <c r="O1540" s="76" t="n">
        <f aca="false">IF(O1495=1,O1482,9999999)</f>
        <v>9999999</v>
      </c>
    </row>
    <row r="1541" customFormat="false" ht="15" hidden="false" customHeight="false" outlineLevel="0" collapsed="false">
      <c r="B1541" s="76" t="s">
        <v>1075</v>
      </c>
      <c r="C1541" s="76" t="n">
        <v>9999999</v>
      </c>
      <c r="D1541" s="76" t="n">
        <f aca="false">IF(D1537=1,D1482,9999999)</f>
        <v>9999999</v>
      </c>
      <c r="E1541" s="76" t="n">
        <f aca="false">IF(E1537=1,E1482,9999999)</f>
        <v>9999999</v>
      </c>
      <c r="F1541" s="76" t="n">
        <f aca="false">IF(F1537=1,F1482,9999999)</f>
        <v>9999999</v>
      </c>
      <c r="G1541" s="76" t="n">
        <f aca="false">IF(G1537=1,G1482,9999999)</f>
        <v>9999999</v>
      </c>
      <c r="H1541" s="76" t="n">
        <f aca="false">IF(H1537=1,H1482,9999999)</f>
        <v>9999999</v>
      </c>
      <c r="I1541" s="76" t="n">
        <f aca="false">IF(I1537=1,I1482,9999999)</f>
        <v>9999999</v>
      </c>
      <c r="J1541" s="76" t="n">
        <f aca="false">IF(J1537=1,J1482,9999999)</f>
        <v>9999999</v>
      </c>
      <c r="K1541" s="76" t="n">
        <f aca="false">IF(K1537=1,K1482,9999999)</f>
        <v>9999999</v>
      </c>
      <c r="L1541" s="76" t="n">
        <f aca="false">IF(L1537=1,L1482,9999999)</f>
        <v>9999999</v>
      </c>
      <c r="M1541" s="76" t="n">
        <f aca="false">IF(M1537=1,M1482,9999999)</f>
        <v>9999999</v>
      </c>
      <c r="N1541" s="76" t="n">
        <f aca="false">IF(N1537=1,N1482,9999999)</f>
        <v>9999999</v>
      </c>
      <c r="O1541" s="76" t="n">
        <f aca="false">IF(O1537=1,O1482,9999999)</f>
        <v>9999999</v>
      </c>
    </row>
    <row r="1546" customFormat="false" ht="15" hidden="false" customHeight="false" outlineLevel="0" collapsed="false">
      <c r="B1546" s="45" t="str">
        <f aca="false">Z$5</f>
        <v>Appels à douze mois 45 % de l'actif net</v>
      </c>
      <c r="C1546" s="45" t="s">
        <v>55</v>
      </c>
      <c r="D1546" s="45" t="n">
        <v>24</v>
      </c>
      <c r="E1546" s="2"/>
      <c r="F1546" s="2"/>
      <c r="G1546" s="2"/>
      <c r="H1546" s="2"/>
      <c r="I1546" s="2"/>
      <c r="J1546" s="2"/>
      <c r="K1546" s="2"/>
      <c r="L1546" s="2"/>
      <c r="M1546" s="2"/>
      <c r="N1546" s="2"/>
      <c r="O1546" s="2"/>
    </row>
    <row r="1547" customFormat="false" ht="15" hidden="false" customHeight="false" outlineLevel="0" collapsed="false">
      <c r="B1547" s="65" t="s">
        <v>1019</v>
      </c>
      <c r="C1547" s="65" t="n">
        <v>0</v>
      </c>
      <c r="D1547" s="65" t="n">
        <v>1</v>
      </c>
      <c r="E1547" s="65" t="n">
        <v>2</v>
      </c>
      <c r="F1547" s="65" t="n">
        <v>3</v>
      </c>
      <c r="G1547" s="65" t="n">
        <v>4</v>
      </c>
      <c r="H1547" s="65" t="n">
        <v>5</v>
      </c>
      <c r="I1547" s="65" t="n">
        <v>6</v>
      </c>
      <c r="J1547" s="65" t="n">
        <v>7</v>
      </c>
      <c r="K1547" s="65" t="n">
        <v>8</v>
      </c>
      <c r="L1547" s="65" t="n">
        <v>9</v>
      </c>
      <c r="M1547" s="65" t="n">
        <v>10</v>
      </c>
      <c r="N1547" s="65" t="n">
        <v>11</v>
      </c>
      <c r="O1547" s="65" t="n">
        <v>12</v>
      </c>
    </row>
    <row r="1548" customFormat="false" ht="15" hidden="false" customHeight="false" outlineLevel="0" collapsed="false">
      <c r="B1548" s="65" t="s">
        <v>209</v>
      </c>
      <c r="C1548" s="71" t="n">
        <f aca="false">Date_depart</f>
        <v>47026</v>
      </c>
      <c r="D1548" s="71" t="n">
        <f aca="false">EOMONTH(Date_depart,3*D1547)</f>
        <v>47118</v>
      </c>
      <c r="E1548" s="71" t="n">
        <f aca="false">EOMONTH(Date_depart,3*E1547)</f>
        <v>47208</v>
      </c>
      <c r="F1548" s="71" t="n">
        <f aca="false">EOMONTH(Date_depart,3*F1547)</f>
        <v>47299</v>
      </c>
      <c r="G1548" s="71" t="n">
        <f aca="false">EOMONTH(Date_depart,3*G1547)</f>
        <v>47391</v>
      </c>
      <c r="H1548" s="71" t="n">
        <f aca="false">EOMONTH(Date_depart,3*H1547)</f>
        <v>47483</v>
      </c>
      <c r="I1548" s="71" t="n">
        <f aca="false">EOMONTH(Date_depart,3*I1547)</f>
        <v>47573</v>
      </c>
      <c r="J1548" s="71" t="n">
        <f aca="false">EOMONTH(Date_depart,3*J1547)</f>
        <v>47664</v>
      </c>
      <c r="K1548" s="71" t="n">
        <f aca="false">EOMONTH(Date_depart,3*K1547)</f>
        <v>47756</v>
      </c>
      <c r="L1548" s="71" t="n">
        <f aca="false">EOMONTH(Date_depart,3*L1547)</f>
        <v>47848</v>
      </c>
      <c r="M1548" s="71" t="n">
        <f aca="false">EOMONTH(Date_depart,3*M1547)</f>
        <v>47938</v>
      </c>
      <c r="N1548" s="71" t="n">
        <f aca="false">EOMONTH(Date_depart,3*N1547)</f>
        <v>48029</v>
      </c>
      <c r="O1548" s="71" t="n">
        <f aca="false">EOMONTH(Date_depart,3*O1547)</f>
        <v>48121</v>
      </c>
    </row>
    <row r="1549" customFormat="false" ht="15" hidden="false" customHeight="false" outlineLevel="0" collapsed="false">
      <c r="B1549" s="65" t="s">
        <v>1020</v>
      </c>
      <c r="C1549" s="65" t="n">
        <v>0</v>
      </c>
      <c r="D1549" s="65" t="n">
        <f aca="false">IF(OR(MONTH(D1548)=6,MONTH(D1548)=12),1,0)</f>
        <v>1</v>
      </c>
      <c r="E1549" s="65" t="n">
        <f aca="false">IF(OR(MONTH(E1548)=6,MONTH(E1548)=12),1,0)</f>
        <v>0</v>
      </c>
      <c r="F1549" s="65" t="n">
        <f aca="false">IF(OR(MONTH(F1548)=6,MONTH(F1548)=12),1,0)</f>
        <v>1</v>
      </c>
      <c r="G1549" s="65" t="n">
        <f aca="false">IF(OR(MONTH(G1548)=6,MONTH(G1548)=12),1,0)</f>
        <v>0</v>
      </c>
      <c r="H1549" s="65" t="n">
        <f aca="false">IF(OR(MONTH(H1548)=6,MONTH(H1548)=12),1,0)</f>
        <v>1</v>
      </c>
      <c r="I1549" s="65" t="n">
        <f aca="false">IF(OR(MONTH(I1548)=6,MONTH(I1548)=12),1,0)</f>
        <v>0</v>
      </c>
      <c r="J1549" s="65" t="n">
        <f aca="false">IF(OR(MONTH(J1548)=6,MONTH(J1548)=12),1,0)</f>
        <v>1</v>
      </c>
      <c r="K1549" s="65" t="n">
        <f aca="false">IF(OR(MONTH(K1548)=6,MONTH(K1548)=12),1,0)</f>
        <v>0</v>
      </c>
      <c r="L1549" s="65" t="n">
        <f aca="false">IF(OR(MONTH(L1548)=6,MONTH(L1548)=12),1,0)</f>
        <v>1</v>
      </c>
      <c r="M1549" s="65" t="n">
        <f aca="false">IF(OR(MONTH(M1548)=6,MONTH(M1548)=12),1,0)</f>
        <v>0</v>
      </c>
      <c r="N1549" s="65" t="n">
        <f aca="false">IF(OR(MONTH(N1548)=6,MONTH(N1548)=12),1,0)</f>
        <v>1</v>
      </c>
      <c r="O1549" s="65" t="n">
        <f aca="false">IF(OR(MONTH(O1548)=6,MONTH(O1548)=12),1,0)</f>
        <v>0</v>
      </c>
    </row>
    <row r="1550" customFormat="false" ht="15" hidden="false" customHeight="false" outlineLevel="0" collapsed="false">
      <c r="B1550" s="65" t="s">
        <v>1021</v>
      </c>
      <c r="C1550" s="65" t="n">
        <v>0</v>
      </c>
      <c r="D1550" s="65" t="n">
        <f aca="false">C1550+D1549</f>
        <v>1</v>
      </c>
      <c r="E1550" s="65" t="n">
        <f aca="false">D1550+E1549</f>
        <v>1</v>
      </c>
      <c r="F1550" s="65" t="n">
        <f aca="false">E1550+F1549</f>
        <v>2</v>
      </c>
      <c r="G1550" s="65" t="n">
        <f aca="false">F1550+G1549</f>
        <v>2</v>
      </c>
      <c r="H1550" s="65" t="n">
        <f aca="false">G1550+H1549</f>
        <v>3</v>
      </c>
      <c r="I1550" s="65" t="n">
        <f aca="false">H1550+I1549</f>
        <v>3</v>
      </c>
      <c r="J1550" s="65" t="n">
        <f aca="false">I1550+J1549</f>
        <v>4</v>
      </c>
      <c r="K1550" s="65" t="n">
        <f aca="false">J1550+K1549</f>
        <v>4</v>
      </c>
      <c r="L1550" s="65" t="n">
        <f aca="false">K1550+L1549</f>
        <v>5</v>
      </c>
      <c r="M1550" s="65" t="n">
        <f aca="false">L1550+M1549</f>
        <v>5</v>
      </c>
      <c r="N1550" s="65" t="n">
        <f aca="false">M1550+N1549</f>
        <v>6</v>
      </c>
      <c r="O1550" s="65" t="n">
        <f aca="false">N1550+O1549</f>
        <v>6</v>
      </c>
    </row>
    <row r="1551" customFormat="false" ht="15" hidden="false" customHeight="false" outlineLevel="0" collapsed="false">
      <c r="B1551" s="65" t="s">
        <v>1022</v>
      </c>
      <c r="C1551" s="25"/>
      <c r="D1551" s="72" t="n">
        <f aca="false">IF(D1549=1,IF(C1561=1,0,IF(D1550=1,$Z$6,IF(D1550=2,$Z$7,$Z$8))),0)</f>
        <v>0.02</v>
      </c>
      <c r="E1551" s="72" t="n">
        <f aca="false">IF(E1549=1,IF(D1561=1,0,IF(E1550=1,$Z$6,IF(E1550=2,$Z$7,$Z$8))),0)</f>
        <v>0</v>
      </c>
      <c r="F1551" s="72" t="n">
        <f aca="false">IF(F1549=1,IF(E1561=1,0,IF(F1550=1,$Z$6,IF(F1550=2,$Z$7,$Z$8))),0)</f>
        <v>0.02</v>
      </c>
      <c r="G1551" s="72" t="n">
        <f aca="false">IF(G1549=1,IF(F1561=1,0,IF(G1550=1,$Z$6,IF(G1550=2,$Z$7,$Z$8))),0)</f>
        <v>0</v>
      </c>
      <c r="H1551" s="72" t="n">
        <f aca="false">IF(H1549=1,IF(G1561=1,0,IF(H1550=1,$Z$6,IF(H1550=2,$Z$7,$Z$8))),0)</f>
        <v>0.02</v>
      </c>
      <c r="I1551" s="72" t="n">
        <f aca="false">IF(I1549=1,IF(H1561=1,0,IF(I1550=1,$Z$6,IF(I1550=2,$Z$7,$Z$8))),0)</f>
        <v>0</v>
      </c>
      <c r="J1551" s="72" t="n">
        <f aca="false">IF(J1549=1,IF(I1561=1,0,IF(J1550=1,$Z$6,IF(J1550=2,$Z$7,$Z$8))),0)</f>
        <v>0.02</v>
      </c>
      <c r="K1551" s="72" t="n">
        <f aca="false">IF(K1549=1,IF(J1561=1,0,IF(K1550=1,$Z$6,IF(K1550=2,$Z$7,$Z$8))),0)</f>
        <v>0</v>
      </c>
      <c r="L1551" s="72" t="n">
        <f aca="false">IF(L1549=1,IF(K1561=1,0,IF(L1550=1,$Z$6,IF(L1550=2,$Z$7,$Z$8))),0)</f>
        <v>0.02</v>
      </c>
      <c r="M1551" s="72" t="n">
        <f aca="false">IF(M1549=1,IF(L1561=1,0,IF(M1550=1,$Z$6,IF(M1550=2,$Z$7,$Z$8))),0)</f>
        <v>0</v>
      </c>
      <c r="N1551" s="72" t="n">
        <f aca="false">IF(N1549=1,IF(M1561=1,0,IF(N1550=1,$Z$6,IF(N1550=2,$Z$7,$Z$8))),0)</f>
        <v>0.02</v>
      </c>
      <c r="O1551" s="72" t="n">
        <f aca="false">IF(O1549=1,IF(N1561=1,0,IF(O1550=1,$Z$6,IF(O1550=2,$Z$7,$Z$8))),0)</f>
        <v>0</v>
      </c>
    </row>
    <row r="1552" customFormat="false" ht="15" hidden="false" customHeight="false" outlineLevel="0" collapsed="false">
      <c r="B1552" s="65" t="s">
        <v>1023</v>
      </c>
      <c r="C1552" s="25"/>
      <c r="D1552" s="73" t="n">
        <f aca="false">C1596</f>
        <v>50000000</v>
      </c>
      <c r="E1552" s="73" t="n">
        <f aca="false">D1596</f>
        <v>49600643.75</v>
      </c>
      <c r="F1552" s="73" t="n">
        <f aca="false">E1596</f>
        <v>50195792.428559</v>
      </c>
      <c r="G1552" s="73" t="n">
        <f aca="false">F1596</f>
        <v>49469572.2284484</v>
      </c>
      <c r="H1552" s="73" t="n">
        <f aca="false">G1596</f>
        <v>49833416.7857512</v>
      </c>
      <c r="I1552" s="73" t="n">
        <f aca="false">H1596</f>
        <v>49708648.984023</v>
      </c>
      <c r="J1552" s="73" t="n">
        <f aca="false">I1596</f>
        <v>50574769.1695665</v>
      </c>
      <c r="K1552" s="73" t="n">
        <f aca="false">J1596</f>
        <v>50425206.8414297</v>
      </c>
      <c r="L1552" s="73" t="n">
        <f aca="false">K1596</f>
        <v>51282025.6959133</v>
      </c>
      <c r="M1552" s="73" t="n">
        <f aca="false">L1596</f>
        <v>51109678.7397895</v>
      </c>
      <c r="N1552" s="73" t="n">
        <f aca="false">M1596</f>
        <v>51958480.3182123</v>
      </c>
      <c r="O1552" s="73" t="n">
        <f aca="false">N1596</f>
        <v>51765205.8024784</v>
      </c>
    </row>
    <row r="1553" customFormat="false" ht="15" hidden="false" customHeight="false" outlineLevel="0" collapsed="false">
      <c r="B1553" s="65" t="s">
        <v>177</v>
      </c>
      <c r="C1553" s="25"/>
      <c r="D1553" s="73" t="n">
        <f aca="false">IF(C1561=1,0,$Z$9*D1552)</f>
        <v>0</v>
      </c>
      <c r="E1553" s="73" t="n">
        <f aca="false">IF(D1561=1,0,$Z$9*E1552)</f>
        <v>0</v>
      </c>
      <c r="F1553" s="73" t="n">
        <f aca="false">IF(E1561=1,0,$Z$9*F1552)</f>
        <v>0</v>
      </c>
      <c r="G1553" s="73" t="n">
        <f aca="false">IF(F1561=1,0,$Z$9*G1552)</f>
        <v>0</v>
      </c>
      <c r="H1553" s="73" t="n">
        <f aca="false">IF(G1561=1,0,$Z$9*H1552)</f>
        <v>0</v>
      </c>
      <c r="I1553" s="73" t="n">
        <f aca="false">IF(H1561=1,0,$Z$9*I1552)</f>
        <v>0</v>
      </c>
      <c r="J1553" s="73" t="n">
        <f aca="false">IF(I1561=1,0,$Z$9*J1552)</f>
        <v>0</v>
      </c>
      <c r="K1553" s="73" t="n">
        <f aca="false">IF(J1561=1,0,$Z$9*K1552)</f>
        <v>0</v>
      </c>
      <c r="L1553" s="73" t="n">
        <f aca="false">IF(K1561=1,0,$Z$9*L1552)</f>
        <v>0</v>
      </c>
      <c r="M1553" s="73" t="n">
        <f aca="false">IF(L1561=1,0,$Z$9*M1552)</f>
        <v>0</v>
      </c>
      <c r="N1553" s="73" t="n">
        <f aca="false">IF(M1561=1,0,$Z$9*N1552)</f>
        <v>0</v>
      </c>
      <c r="O1553" s="73" t="n">
        <f aca="false">IF(N1561=1,0,$Z$9*O1552)</f>
        <v>0</v>
      </c>
    </row>
    <row r="1554" customFormat="false" ht="15" hidden="false" customHeight="false" outlineLevel="0" collapsed="false">
      <c r="B1554" s="65" t="s">
        <v>1024</v>
      </c>
      <c r="C1554" s="25"/>
      <c r="D1554" s="73" t="n">
        <f aca="false">D1551*D1552</f>
        <v>1000000</v>
      </c>
      <c r="E1554" s="73" t="n">
        <f aca="false">E1551*E1552</f>
        <v>0</v>
      </c>
      <c r="F1554" s="73" t="n">
        <f aca="false">F1551*F1552</f>
        <v>1003915.84857118</v>
      </c>
      <c r="G1554" s="73" t="n">
        <f aca="false">G1551*G1552</f>
        <v>0</v>
      </c>
      <c r="H1554" s="73" t="n">
        <f aca="false">H1551*H1552</f>
        <v>996668.335715025</v>
      </c>
      <c r="I1554" s="73" t="n">
        <f aca="false">I1551*I1552</f>
        <v>0</v>
      </c>
      <c r="J1554" s="73" t="n">
        <f aca="false">J1551*J1552</f>
        <v>1011495.38339133</v>
      </c>
      <c r="K1554" s="73" t="n">
        <f aca="false">K1551*K1552</f>
        <v>0</v>
      </c>
      <c r="L1554" s="73" t="n">
        <f aca="false">L1551*L1552</f>
        <v>1025640.51391827</v>
      </c>
      <c r="M1554" s="73" t="n">
        <f aca="false">M1551*M1552</f>
        <v>0</v>
      </c>
      <c r="N1554" s="73" t="n">
        <f aca="false">N1551*N1552</f>
        <v>1039169.60636425</v>
      </c>
      <c r="O1554" s="73" t="n">
        <f aca="false">O1551*O1552</f>
        <v>0</v>
      </c>
    </row>
    <row r="1555" customFormat="false" ht="15" hidden="false" customHeight="false" outlineLevel="0" collapsed="false">
      <c r="B1555" s="65" t="s">
        <v>1025</v>
      </c>
      <c r="C1555" s="25"/>
      <c r="D1555" s="73" t="n">
        <f aca="false">C1563</f>
        <v>0</v>
      </c>
      <c r="E1555" s="73" t="n">
        <f aca="false">D1563</f>
        <v>0</v>
      </c>
      <c r="F1555" s="73" t="n">
        <f aca="false">E1563</f>
        <v>0</v>
      </c>
      <c r="G1555" s="73" t="n">
        <f aca="false">F1563</f>
        <v>0</v>
      </c>
      <c r="H1555" s="73" t="n">
        <f aca="false">G1563</f>
        <v>0</v>
      </c>
      <c r="I1555" s="73" t="n">
        <f aca="false">H1563</f>
        <v>0</v>
      </c>
      <c r="J1555" s="73" t="n">
        <f aca="false">I1563</f>
        <v>0</v>
      </c>
      <c r="K1555" s="73" t="n">
        <f aca="false">J1563</f>
        <v>0</v>
      </c>
      <c r="L1555" s="73" t="n">
        <f aca="false">K1563</f>
        <v>0</v>
      </c>
      <c r="M1555" s="73" t="n">
        <f aca="false">L1563</f>
        <v>0</v>
      </c>
      <c r="N1555" s="73" t="n">
        <f aca="false">M1563</f>
        <v>0</v>
      </c>
      <c r="O1555" s="73" t="n">
        <f aca="false">N1563</f>
        <v>0</v>
      </c>
    </row>
    <row r="1556" customFormat="false" ht="15" hidden="false" customHeight="false" outlineLevel="0" collapsed="false">
      <c r="B1556" s="65" t="s">
        <v>1026</v>
      </c>
      <c r="C1556" s="25"/>
      <c r="D1556" s="73" t="n">
        <f aca="false">D1554+D1555</f>
        <v>1000000</v>
      </c>
      <c r="E1556" s="73" t="n">
        <f aca="false">E1554+E1555</f>
        <v>0</v>
      </c>
      <c r="F1556" s="73" t="n">
        <f aca="false">F1554+F1555</f>
        <v>1003915.84857118</v>
      </c>
      <c r="G1556" s="73" t="n">
        <f aca="false">G1554+G1555</f>
        <v>0</v>
      </c>
      <c r="H1556" s="73" t="n">
        <f aca="false">H1554+H1555</f>
        <v>996668.335715025</v>
      </c>
      <c r="I1556" s="73" t="n">
        <f aca="false">I1554+I1555</f>
        <v>0</v>
      </c>
      <c r="J1556" s="73" t="n">
        <f aca="false">J1554+J1555</f>
        <v>1011495.38339133</v>
      </c>
      <c r="K1556" s="73" t="n">
        <f aca="false">K1554+K1555</f>
        <v>0</v>
      </c>
      <c r="L1556" s="73" t="n">
        <f aca="false">L1554+L1555</f>
        <v>1025640.51391827</v>
      </c>
      <c r="M1556" s="73" t="n">
        <f aca="false">M1554+M1555</f>
        <v>0</v>
      </c>
      <c r="N1556" s="73" t="n">
        <f aca="false">N1554+N1555</f>
        <v>1039169.60636425</v>
      </c>
      <c r="O1556" s="73" t="n">
        <f aca="false">O1554+O1555</f>
        <v>0</v>
      </c>
    </row>
    <row r="1557" customFormat="false" ht="15" hidden="false" customHeight="false" outlineLevel="0" collapsed="false">
      <c r="B1557" s="65" t="s">
        <v>1027</v>
      </c>
      <c r="C1557" s="25"/>
      <c r="D1557" s="73" t="n">
        <f aca="false">IF($Z$21=1,Gate*D1552+D1553,D1556)</f>
        <v>2500000</v>
      </c>
      <c r="E1557" s="73" t="n">
        <f aca="false">IF($Z$21=1,Gate*E1552+E1553,E1556)</f>
        <v>2480032.1875</v>
      </c>
      <c r="F1557" s="73" t="n">
        <f aca="false">IF($Z$21=1,Gate*F1552+F1553,F1556)</f>
        <v>2509789.62142795</v>
      </c>
      <c r="G1557" s="73" t="n">
        <f aca="false">IF($Z$21=1,Gate*G1552+G1553,G1556)</f>
        <v>2473478.61142242</v>
      </c>
      <c r="H1557" s="73" t="n">
        <f aca="false">IF($Z$21=1,Gate*H1552+H1553,H1556)</f>
        <v>2491670.83928756</v>
      </c>
      <c r="I1557" s="73" t="n">
        <f aca="false">IF($Z$21=1,Gate*I1552+I1553,I1556)</f>
        <v>2485432.44920115</v>
      </c>
      <c r="J1557" s="73" t="n">
        <f aca="false">IF($Z$21=1,Gate*J1552+J1553,J1556)</f>
        <v>2528738.45847833</v>
      </c>
      <c r="K1557" s="73" t="n">
        <f aca="false">IF($Z$21=1,Gate*K1552+K1553,K1556)</f>
        <v>2521260.34207149</v>
      </c>
      <c r="L1557" s="73" t="n">
        <f aca="false">IF($Z$21=1,Gate*L1552+L1553,L1556)</f>
        <v>2564101.28479566</v>
      </c>
      <c r="M1557" s="73" t="n">
        <f aca="false">IF($Z$21=1,Gate*M1552+M1553,M1556)</f>
        <v>2555483.93698947</v>
      </c>
      <c r="N1557" s="73" t="n">
        <f aca="false">IF($Z$21=1,Gate*N1552+N1553,N1556)</f>
        <v>2597924.01591062</v>
      </c>
      <c r="O1557" s="73" t="n">
        <f aca="false">IF($Z$21=1,Gate*O1552+O1553,O1556)</f>
        <v>2588260.29012392</v>
      </c>
    </row>
    <row r="1558" customFormat="false" ht="15" hidden="false" customHeight="false" outlineLevel="0" collapsed="false">
      <c r="B1558" s="65" t="s">
        <v>1028</v>
      </c>
      <c r="C1558" s="25"/>
      <c r="D1558" s="73" t="n">
        <f aca="false">IF(D1549=1,MIN(D1556,D1557),0)</f>
        <v>1000000</v>
      </c>
      <c r="E1558" s="73" t="n">
        <f aca="false">IF(E1549=1,MIN(E1556,E1557),0)</f>
        <v>0</v>
      </c>
      <c r="F1558" s="73" t="n">
        <f aca="false">IF(F1549=1,MIN(F1556,F1557),0)</f>
        <v>1003915.84857118</v>
      </c>
      <c r="G1558" s="73" t="n">
        <f aca="false">IF(G1549=1,MIN(G1556,G1557),0)</f>
        <v>0</v>
      </c>
      <c r="H1558" s="73" t="n">
        <f aca="false">IF(H1549=1,MIN(H1556,H1557),0)</f>
        <v>996668.335715025</v>
      </c>
      <c r="I1558" s="73" t="n">
        <f aca="false">IF(I1549=1,MIN(I1556,I1557),0)</f>
        <v>0</v>
      </c>
      <c r="J1558" s="73" t="n">
        <f aca="false">IF(J1549=1,MIN(J1556,J1557),0)</f>
        <v>1011495.38339133</v>
      </c>
      <c r="K1558" s="73" t="n">
        <f aca="false">IF(K1549=1,MIN(K1556,K1557),0)</f>
        <v>0</v>
      </c>
      <c r="L1558" s="73" t="n">
        <f aca="false">IF(L1549=1,MIN(L1556,L1557),0)</f>
        <v>1025640.51391827</v>
      </c>
      <c r="M1558" s="73" t="n">
        <f aca="false">IF(M1549=1,MIN(M1556,M1557),0)</f>
        <v>0</v>
      </c>
      <c r="N1558" s="73" t="n">
        <f aca="false">IF(N1549=1,MIN(N1556,N1557),0)</f>
        <v>1039169.60636425</v>
      </c>
      <c r="O1558" s="73" t="n">
        <f aca="false">IF(O1549=1,MIN(O1556,O1557),0)</f>
        <v>0</v>
      </c>
    </row>
    <row r="1559" customFormat="false" ht="15" hidden="false" customHeight="false" outlineLevel="0" collapsed="false">
      <c r="B1559" s="65" t="s">
        <v>1029</v>
      </c>
      <c r="C1559" s="25"/>
      <c r="D1559" s="73" t="n">
        <f aca="false">MAX(0,D1587+D1578+D1579-Poche_min_exec*D1552-D1558-SUM(E1584:F1584)+MAX(0,MIN($Z$20*AN_cible,Emprunt_max*D1552)-C1595))</f>
        <v>0</v>
      </c>
      <c r="E1559" s="73" t="n">
        <f aca="false">MAX(0,E1587+E1578+E1579-Poche_min_exec*E1552-E1558-SUM(F1584:G1584)+MAX(0,MIN($Z$20*AN_cible,Emprunt_max*E1552)-D1595))</f>
        <v>0</v>
      </c>
      <c r="F1559" s="73" t="n">
        <f aca="false">MAX(0,F1587+F1578+F1579-Poche_min_exec*F1552-F1558-SUM(G1584:H1584)+MAX(0,MIN($Z$20*AN_cible,Emprunt_max*F1552)-E1595))</f>
        <v>0</v>
      </c>
      <c r="G1559" s="73" t="n">
        <f aca="false">MAX(0,G1587+G1578+G1579-Poche_min_exec*G1552-G1558-SUM(H1584:I1584)+MAX(0,MIN($Z$20*AN_cible,Emprunt_max*G1552)-F1595))</f>
        <v>0</v>
      </c>
      <c r="H1559" s="73" t="n">
        <f aca="false">MAX(0,H1587+H1578+H1579-Poche_min_exec*H1552-H1558-SUM(I1584:J1584)+MAX(0,MIN($Z$20*AN_cible,Emprunt_max*H1552)-G1595))</f>
        <v>0</v>
      </c>
      <c r="I1559" s="73" t="n">
        <f aca="false">MAX(0,I1587+I1578+I1579-Poche_min_exec*I1552-I1558-SUM(J1584:K1584)+MAX(0,MIN($Z$20*AN_cible,Emprunt_max*I1552)-H1595))</f>
        <v>0</v>
      </c>
      <c r="J1559" s="73" t="n">
        <f aca="false">MAX(0,J1587+J1578+J1579-Poche_min_exec*J1552-J1558-SUM(K1584:L1584)+MAX(0,MIN($Z$20*AN_cible,Emprunt_max*J1552)-I1595))</f>
        <v>0</v>
      </c>
      <c r="K1559" s="73" t="n">
        <f aca="false">MAX(0,K1587+K1578+K1579-Poche_min_exec*K1552-K1558-SUM(L1584:M1584)+MAX(0,MIN($Z$20*AN_cible,Emprunt_max*K1552)-J1595))</f>
        <v>0</v>
      </c>
      <c r="L1559" s="73" t="n">
        <f aca="false">MAX(0,L1587+L1578+L1579-Poche_min_exec*L1552-L1558-SUM(M1584:N1584)+MAX(0,MIN($Z$20*AN_cible,Emprunt_max*L1552)-K1595))</f>
        <v>0</v>
      </c>
      <c r="M1559" s="73" t="n">
        <f aca="false">MAX(0,M1587+M1578+M1579-Poche_min_exec*M1552-M1558-SUM(N1584:O1584)+MAX(0,MIN($Z$20*AN_cible,Emprunt_max*M1552)-L1595))</f>
        <v>0</v>
      </c>
      <c r="N1559" s="73" t="n">
        <f aca="false">MAX(0,N1587+N1578+N1579-Poche_min_exec*N1552-N1558-SUM(O1584:O1584)+MAX(0,MIN($Z$20*AN_cible,Emprunt_max*N1552)-M1595))</f>
        <v>0</v>
      </c>
      <c r="O1559" s="73" t="n">
        <f aca="false">MAX(0,O1587+O1578+O1579-Poche_min_exec*O1552-O1558-0+MAX(0,MIN($Z$20*AN_cible,Emprunt_max*O1552)-N1595))</f>
        <v>0</v>
      </c>
    </row>
    <row r="1560" customFormat="false" ht="15" hidden="false" customHeight="false" outlineLevel="0" collapsed="false">
      <c r="B1560" s="65" t="s">
        <v>1030</v>
      </c>
      <c r="C1560" s="25"/>
      <c r="D1560" s="73" t="n">
        <f aca="false">IF(AND(D1549=1,$Z$21=1,$Z$22=1),MIN(D1556-D1558,D1559),0)</f>
        <v>0</v>
      </c>
      <c r="E1560" s="73" t="n">
        <f aca="false">IF(AND(E1549=1,$Z$21=1,$Z$22=1),MIN(E1556-E1558,E1559),0)</f>
        <v>0</v>
      </c>
      <c r="F1560" s="73" t="n">
        <f aca="false">IF(AND(F1549=1,$Z$21=1,$Z$22=1),MIN(F1556-F1558,F1559),0)</f>
        <v>0</v>
      </c>
      <c r="G1560" s="73" t="n">
        <f aca="false">IF(AND(G1549=1,$Z$21=1,$Z$22=1),MIN(G1556-G1558,G1559),0)</f>
        <v>0</v>
      </c>
      <c r="H1560" s="73" t="n">
        <f aca="false">IF(AND(H1549=1,$Z$21=1,$Z$22=1),MIN(H1556-H1558,H1559),0)</f>
        <v>0</v>
      </c>
      <c r="I1560" s="73" t="n">
        <f aca="false">IF(AND(I1549=1,$Z$21=1,$Z$22=1),MIN(I1556-I1558,I1559),0)</f>
        <v>0</v>
      </c>
      <c r="J1560" s="73" t="n">
        <f aca="false">IF(AND(J1549=1,$Z$21=1,$Z$22=1),MIN(J1556-J1558,J1559),0)</f>
        <v>0</v>
      </c>
      <c r="K1560" s="73" t="n">
        <f aca="false">IF(AND(K1549=1,$Z$21=1,$Z$22=1),MIN(K1556-K1558,K1559),0)</f>
        <v>0</v>
      </c>
      <c r="L1560" s="73" t="n">
        <f aca="false">IF(AND(L1549=1,$Z$21=1,$Z$22=1),MIN(L1556-L1558,L1559),0)</f>
        <v>0</v>
      </c>
      <c r="M1560" s="73" t="n">
        <f aca="false">IF(AND(M1549=1,$Z$21=1,$Z$22=1),MIN(M1556-M1558,M1559),0)</f>
        <v>0</v>
      </c>
      <c r="N1560" s="73" t="n">
        <f aca="false">IF(AND(N1549=1,$Z$21=1,$Z$22=1),MIN(N1556-N1558,N1559),0)</f>
        <v>0</v>
      </c>
      <c r="O1560" s="73" t="n">
        <f aca="false">IF(AND(O1549=1,$Z$21=1,$Z$22=1),MIN(O1556-O1558,O1559),0)</f>
        <v>0</v>
      </c>
    </row>
    <row r="1561" customFormat="false" ht="15" hidden="false" customHeight="false" outlineLevel="0" collapsed="false">
      <c r="B1561" s="65" t="s">
        <v>1031</v>
      </c>
      <c r="C1561" s="65" t="n">
        <v>0</v>
      </c>
      <c r="D1561" s="65" t="n">
        <f aca="false">IF(C1561=1,1,IF(AND(D1549=1,$Z$21=1,C1565&gt;=Gate_dates,D1556-D1558-D1560&gt;0.000001),1,0))</f>
        <v>0</v>
      </c>
      <c r="E1561" s="65" t="n">
        <f aca="false">IF(D1561=1,1,IF(AND(E1549=1,$Z$21=1,D1565&gt;=Gate_dates,E1556-E1558-E1560&gt;0.000001),1,0))</f>
        <v>0</v>
      </c>
      <c r="F1561" s="65" t="n">
        <f aca="false">IF(E1561=1,1,IF(AND(F1549=1,$Z$21=1,E1565&gt;=Gate_dates,F1556-F1558-F1560&gt;0.000001),1,0))</f>
        <v>0</v>
      </c>
      <c r="G1561" s="65" t="n">
        <f aca="false">IF(F1561=1,1,IF(AND(G1549=1,$Z$21=1,F1565&gt;=Gate_dates,G1556-G1558-G1560&gt;0.000001),1,0))</f>
        <v>0</v>
      </c>
      <c r="H1561" s="65" t="n">
        <f aca="false">IF(G1561=1,1,IF(AND(H1549=1,$Z$21=1,G1565&gt;=Gate_dates,H1556-H1558-H1560&gt;0.000001),1,0))</f>
        <v>0</v>
      </c>
      <c r="I1561" s="65" t="n">
        <f aca="false">IF(H1561=1,1,IF(AND(I1549=1,$Z$21=1,H1565&gt;=Gate_dates,I1556-I1558-I1560&gt;0.000001),1,0))</f>
        <v>0</v>
      </c>
      <c r="J1561" s="65" t="n">
        <f aca="false">IF(I1561=1,1,IF(AND(J1549=1,$Z$21=1,I1565&gt;=Gate_dates,J1556-J1558-J1560&gt;0.000001),1,0))</f>
        <v>0</v>
      </c>
      <c r="K1561" s="65" t="n">
        <f aca="false">IF(J1561=1,1,IF(AND(K1549=1,$Z$21=1,J1565&gt;=Gate_dates,K1556-K1558-K1560&gt;0.000001),1,0))</f>
        <v>0</v>
      </c>
      <c r="L1561" s="65" t="n">
        <f aca="false">IF(K1561=1,1,IF(AND(L1549=1,$Z$21=1,K1565&gt;=Gate_dates,L1556-L1558-L1560&gt;0.000001),1,0))</f>
        <v>0</v>
      </c>
      <c r="M1561" s="65" t="n">
        <f aca="false">IF(L1561=1,1,IF(AND(M1549=1,$Z$21=1,L1565&gt;=Gate_dates,M1556-M1558-M1560&gt;0.000001),1,0))</f>
        <v>0</v>
      </c>
      <c r="N1561" s="65" t="n">
        <f aca="false">IF(M1561=1,1,IF(AND(N1549=1,$Z$21=1,M1565&gt;=Gate_dates,N1556-N1558-N1560&gt;0.000001),1,0))</f>
        <v>0</v>
      </c>
      <c r="O1561" s="65" t="n">
        <f aca="false">IF(N1561=1,1,IF(AND(O1549=1,$Z$21=1,N1565&gt;=Gate_dates,O1556-O1558-O1560&gt;0.000001),1,0))</f>
        <v>0</v>
      </c>
    </row>
    <row r="1562" customFormat="false" ht="15" hidden="false" customHeight="false" outlineLevel="0" collapsed="false">
      <c r="B1562" s="65" t="s">
        <v>1032</v>
      </c>
      <c r="C1562" s="25"/>
      <c r="D1562" s="73" t="n">
        <f aca="false">IF(D1561=1,0,D1558+D1560)</f>
        <v>1000000</v>
      </c>
      <c r="E1562" s="73" t="n">
        <f aca="false">IF(E1561=1,0,E1558+E1560)</f>
        <v>0</v>
      </c>
      <c r="F1562" s="73" t="n">
        <f aca="false">IF(F1561=1,0,F1558+F1560)</f>
        <v>1003915.84857118</v>
      </c>
      <c r="G1562" s="73" t="n">
        <f aca="false">IF(G1561=1,0,G1558+G1560)</f>
        <v>0</v>
      </c>
      <c r="H1562" s="73" t="n">
        <f aca="false">IF(H1561=1,0,H1558+H1560)</f>
        <v>996668.335715025</v>
      </c>
      <c r="I1562" s="73" t="n">
        <f aca="false">IF(I1561=1,0,I1558+I1560)</f>
        <v>0</v>
      </c>
      <c r="J1562" s="73" t="n">
        <f aca="false">IF(J1561=1,0,J1558+J1560)</f>
        <v>1011495.38339133</v>
      </c>
      <c r="K1562" s="73" t="n">
        <f aca="false">IF(K1561=1,0,K1558+K1560)</f>
        <v>0</v>
      </c>
      <c r="L1562" s="73" t="n">
        <f aca="false">IF(L1561=1,0,L1558+L1560)</f>
        <v>1025640.51391827</v>
      </c>
      <c r="M1562" s="73" t="n">
        <f aca="false">IF(M1561=1,0,M1558+M1560)</f>
        <v>0</v>
      </c>
      <c r="N1562" s="73" t="n">
        <f aca="false">IF(N1561=1,0,N1558+N1560)</f>
        <v>1039169.60636425</v>
      </c>
      <c r="O1562" s="73" t="n">
        <f aca="false">IF(O1561=1,0,O1558+O1560)</f>
        <v>0</v>
      </c>
    </row>
    <row r="1563" customFormat="false" ht="15" hidden="false" customHeight="false" outlineLevel="0" collapsed="false">
      <c r="B1563" s="65" t="s">
        <v>1033</v>
      </c>
      <c r="C1563" s="73" t="n">
        <v>0</v>
      </c>
      <c r="D1563" s="73" t="n">
        <f aca="false">D1556-D1562</f>
        <v>0</v>
      </c>
      <c r="E1563" s="73" t="n">
        <f aca="false">E1556-E1562</f>
        <v>0</v>
      </c>
      <c r="F1563" s="73" t="n">
        <f aca="false">F1556-F1562</f>
        <v>0</v>
      </c>
      <c r="G1563" s="73" t="n">
        <f aca="false">G1556-G1562</f>
        <v>0</v>
      </c>
      <c r="H1563" s="73" t="n">
        <f aca="false">H1556-H1562</f>
        <v>0</v>
      </c>
      <c r="I1563" s="73" t="n">
        <f aca="false">I1556-I1562</f>
        <v>0</v>
      </c>
      <c r="J1563" s="73" t="n">
        <f aca="false">J1556-J1562</f>
        <v>0</v>
      </c>
      <c r="K1563" s="73" t="n">
        <f aca="false">K1556-K1562</f>
        <v>0</v>
      </c>
      <c r="L1563" s="73" t="n">
        <f aca="false">L1556-L1562</f>
        <v>0</v>
      </c>
      <c r="M1563" s="73" t="n">
        <f aca="false">M1556-M1562</f>
        <v>0</v>
      </c>
      <c r="N1563" s="73" t="n">
        <f aca="false">N1556-N1562</f>
        <v>0</v>
      </c>
      <c r="O1563" s="73" t="n">
        <f aca="false">O1556-O1562</f>
        <v>0</v>
      </c>
    </row>
    <row r="1564" customFormat="false" ht="15" hidden="false" customHeight="false" outlineLevel="0" collapsed="false">
      <c r="B1564" s="65" t="s">
        <v>1034</v>
      </c>
      <c r="C1564" s="25"/>
      <c r="D1564" s="65" t="n">
        <f aca="false">IF(AND(D1549=1,D1561=0,D1563&gt;0.000001),1,0)</f>
        <v>0</v>
      </c>
      <c r="E1564" s="65" t="n">
        <f aca="false">IF(AND(E1549=1,E1561=0,E1563&gt;0.000001),1,0)</f>
        <v>0</v>
      </c>
      <c r="F1564" s="65" t="n">
        <f aca="false">IF(AND(F1549=1,F1561=0,F1563&gt;0.000001),1,0)</f>
        <v>0</v>
      </c>
      <c r="G1564" s="65" t="n">
        <f aca="false">IF(AND(G1549=1,G1561=0,G1563&gt;0.000001),1,0)</f>
        <v>0</v>
      </c>
      <c r="H1564" s="65" t="n">
        <f aca="false">IF(AND(H1549=1,H1561=0,H1563&gt;0.000001),1,0)</f>
        <v>0</v>
      </c>
      <c r="I1564" s="65" t="n">
        <f aca="false">IF(AND(I1549=1,I1561=0,I1563&gt;0.000001),1,0)</f>
        <v>0</v>
      </c>
      <c r="J1564" s="65" t="n">
        <f aca="false">IF(AND(J1549=1,J1561=0,J1563&gt;0.000001),1,0)</f>
        <v>0</v>
      </c>
      <c r="K1564" s="65" t="n">
        <f aca="false">IF(AND(K1549=1,K1561=0,K1563&gt;0.000001),1,0)</f>
        <v>0</v>
      </c>
      <c r="L1564" s="65" t="n">
        <f aca="false">IF(AND(L1549=1,L1561=0,L1563&gt;0.000001),1,0)</f>
        <v>0</v>
      </c>
      <c r="M1564" s="65" t="n">
        <f aca="false">IF(AND(M1549=1,M1561=0,M1563&gt;0.000001),1,0)</f>
        <v>0</v>
      </c>
      <c r="N1564" s="65" t="n">
        <f aca="false">IF(AND(N1549=1,N1561=0,N1563&gt;0.000001),1,0)</f>
        <v>0</v>
      </c>
      <c r="O1564" s="65" t="n">
        <f aca="false">IF(AND(O1549=1,O1561=0,O1563&gt;0.000001),1,0)</f>
        <v>0</v>
      </c>
    </row>
    <row r="1565" customFormat="false" ht="15" hidden="false" customHeight="false" outlineLevel="0" collapsed="false">
      <c r="B1565" s="65" t="s">
        <v>843</v>
      </c>
      <c r="C1565" s="65" t="n">
        <v>0</v>
      </c>
      <c r="D1565" s="65" t="n">
        <f aca="false">IF(D1549=1,IF(D1564=1,C1565+1,0),C1565)</f>
        <v>0</v>
      </c>
      <c r="E1565" s="65" t="n">
        <f aca="false">IF(E1549=1,IF(E1564=1,D1565+1,0),D1565)</f>
        <v>0</v>
      </c>
      <c r="F1565" s="65" t="n">
        <f aca="false">IF(F1549=1,IF(F1564=1,E1565+1,0),E1565)</f>
        <v>0</v>
      </c>
      <c r="G1565" s="65" t="n">
        <f aca="false">IF(G1549=1,IF(G1564=1,F1565+1,0),F1565)</f>
        <v>0</v>
      </c>
      <c r="H1565" s="65" t="n">
        <f aca="false">IF(H1549=1,IF(H1564=1,G1565+1,0),G1565)</f>
        <v>0</v>
      </c>
      <c r="I1565" s="65" t="n">
        <f aca="false">IF(I1549=1,IF(I1564=1,H1565+1,0),H1565)</f>
        <v>0</v>
      </c>
      <c r="J1565" s="65" t="n">
        <f aca="false">IF(J1549=1,IF(J1564=1,I1565+1,0),I1565)</f>
        <v>0</v>
      </c>
      <c r="K1565" s="65" t="n">
        <f aca="false">IF(K1549=1,IF(K1564=1,J1565+1,0),J1565)</f>
        <v>0</v>
      </c>
      <c r="L1565" s="65" t="n">
        <f aca="false">IF(L1549=1,IF(L1564=1,K1565+1,0),K1565)</f>
        <v>0</v>
      </c>
      <c r="M1565" s="65" t="n">
        <f aca="false">IF(M1549=1,IF(M1564=1,L1565+1,0),L1565)</f>
        <v>0</v>
      </c>
      <c r="N1565" s="65" t="n">
        <f aca="false">IF(N1549=1,IF(N1564=1,M1565+1,0),M1565)</f>
        <v>0</v>
      </c>
      <c r="O1565" s="65" t="n">
        <f aca="false">IF(O1549=1,IF(O1564=1,N1565+1,0),N1565)</f>
        <v>0</v>
      </c>
    </row>
    <row r="1566" customFormat="false" ht="15" hidden="false" customHeight="false" outlineLevel="0" collapsed="false">
      <c r="B1566" s="65" t="s">
        <v>1035</v>
      </c>
      <c r="C1566" s="73" t="n">
        <f aca="false">AN_cible*Ws_MAPIF</f>
        <v>12500000</v>
      </c>
      <c r="D1566" s="73" t="n">
        <f aca="false">C1566*(1+Rend_MAPIF/4)*IF(D1547=1,(1-(Cap_MAPIF*$Z$15+(1-Cap_MAPIF)*$Z$16))*(1+1*$Z$14),1)+D1576-D1570-D1591*IF((C1566+C1567+C1568+C1569)&gt;0,C1566/(C1566+C1567+C1568+C1569),0)</f>
        <v>15971562.5</v>
      </c>
      <c r="E1566" s="73" t="n">
        <f aca="false">D1566*(1+Rend_MAPIF/4)*IF(E1547=1,(1-(Cap_MAPIF*$Z$15+(1-Cap_MAPIF)*$Z$16))*(1+1*$Z$14),1)+E1576-E1570-E1591*IF((D1566+D1567+D1568+D1569)&gt;0,D1566/(D1566+D1567+D1568+D1569),0)</f>
        <v>18763080.8886373</v>
      </c>
      <c r="F1566" s="73" t="n">
        <f aca="false">E1566*(1+Rend_MAPIF/4)*IF(F1547=1,(1-(Cap_MAPIF*$Z$15+(1-Cap_MAPIF)*$Z$16))*(1+1*$Z$14),1)+F1576-F1570-F1591*IF((E1566+E1567+E1568+E1569)&gt;0,E1566/(E1566+E1567+E1568+E1569),0)</f>
        <v>20131482.5021765</v>
      </c>
      <c r="G1566" s="73" t="n">
        <f aca="false">F1566*(1+Rend_MAPIF/4)*IF(G1547=1,(1-(Cap_MAPIF*$Z$15+(1-Cap_MAPIF)*$Z$16))*(1+1*$Z$14),1)+G1576-G1570-G1591*IF((F1566+F1567+F1568+F1569)&gt;0,F1566/(F1566+F1567+F1568+F1569),0)</f>
        <v>21708646.7954699</v>
      </c>
      <c r="H1566" s="73" t="n">
        <f aca="false">G1566*(1+Rend_MAPIF/4)*IF(H1547=1,(1-(Cap_MAPIF*$Z$15+(1-Cap_MAPIF)*$Z$16))*(1+1*$Z$14),1)+H1576-H1570-H1591*IF((G1566+G1567+G1568+G1569)&gt;0,G1566/(G1566+G1567+G1568+G1569),0)</f>
        <v>21876346.0919649</v>
      </c>
      <c r="I1566" s="73" t="n">
        <f aca="false">H1566*(1+Rend_MAPIF/4)*IF(I1547=1,(1-(Cap_MAPIF*$Z$15+(1-Cap_MAPIF)*$Z$16))*(1+1*$Z$14),1)+I1576-I1570-I1591*IF((H1566+H1567+H1568+H1569)&gt;0,H1566/(H1566+H1567+H1568+H1569),0)</f>
        <v>22045340.8655253</v>
      </c>
      <c r="J1566" s="73" t="n">
        <f aca="false">I1566*(1+Rend_MAPIF/4)*IF(J1547=1,(1-(Cap_MAPIF*$Z$15+(1-Cap_MAPIF)*$Z$16))*(1+1*$Z$14),1)+J1576-J1570-J1591*IF((I1566+I1567+I1568+I1569)&gt;0,I1566/(I1566+I1567+I1568+I1569),0)</f>
        <v>22215641.1237115</v>
      </c>
      <c r="K1566" s="73" t="n">
        <f aca="false">J1566*(1+Rend_MAPIF/4)*IF(K1547=1,(1-(Cap_MAPIF*$Z$15+(1-Cap_MAPIF)*$Z$16))*(1+1*$Z$14),1)+K1576-K1570-K1591*IF((J1566+J1567+J1568+J1569)&gt;0,J1566/(J1566+J1567+J1568+J1569),0)</f>
        <v>22387256.9513922</v>
      </c>
      <c r="L1566" s="73" t="n">
        <f aca="false">K1566*(1+Rend_MAPIF/4)*IF(L1547=1,(1-(Cap_MAPIF*$Z$15+(1-Cap_MAPIF)*$Z$16))*(1+1*$Z$14),1)+L1576-L1570-L1591*IF((K1566+K1567+K1568+K1569)&gt;0,K1566/(K1566+K1567+K1568+K1569),0)</f>
        <v>22560198.5113417</v>
      </c>
      <c r="M1566" s="73" t="n">
        <f aca="false">L1566*(1+Rend_MAPIF/4)*IF(M1547=1,(1-(Cap_MAPIF*$Z$15+(1-Cap_MAPIF)*$Z$16))*(1+1*$Z$14),1)+M1576-M1570-M1591*IF((L1566+L1567+L1568+L1569)&gt;0,L1566/(L1566+L1567+L1568+L1569),0)</f>
        <v>22734476.0448418</v>
      </c>
      <c r="N1566" s="73" t="n">
        <f aca="false">M1566*(1+Rend_MAPIF/4)*IF(N1547=1,(1-(Cap_MAPIF*$Z$15+(1-Cap_MAPIF)*$Z$16))*(1+1*$Z$14),1)+N1576-N1570-N1591*IF((M1566+M1567+M1568+M1569)&gt;0,M1566/(M1566+M1567+M1568+M1569),0)</f>
        <v>22910099.8722882</v>
      </c>
      <c r="O1566" s="73" t="n">
        <f aca="false">N1566*(1+Rend_MAPIF/4)*IF(O1547=1,(1-(Cap_MAPIF*$Z$15+(1-Cap_MAPIF)*$Z$16))*(1+1*$Z$14),1)+O1576-O1570-O1591*IF((N1566+N1567+N1568+N1569)&gt;0,N1566/(N1566+N1567+N1568+N1569),0)</f>
        <v>23087080.3938017</v>
      </c>
    </row>
    <row r="1567" customFormat="false" ht="15" hidden="false" customHeight="false" outlineLevel="0" collapsed="false">
      <c r="B1567" s="65" t="s">
        <v>1036</v>
      </c>
      <c r="C1567" s="73" t="n">
        <f aca="false">AN_cible*Ws_MSIG</f>
        <v>5500000</v>
      </c>
      <c r="D1567" s="73" t="n">
        <f aca="false">C1567*(1+Rend_MSIG/4)*IF(D1547=1,(1-(Cap_MSIG*$Z$15+(1-Cap_MSIG)*$Z$16))*(1+MSIG_USD*$Z$14),1)+D1577-D1571-D1591*IF((C1566+C1567+C1568+C1569)&gt;0,C1567/(C1566+C1567+C1568+C1569),0)</f>
        <v>7773237.5</v>
      </c>
      <c r="E1567" s="73" t="n">
        <f aca="false">D1567*(1+Rend_MSIG/4)*IF(E1547=1,(1-(Cap_MSIG*$Z$15+(1-Cap_MSIG)*$Z$16))*(1+MSIG_USD*$Z$14),1)+E1577-E1571-E1591*IF((D1566+D1567+D1568+D1569)&gt;0,D1567/(D1566+D1567+D1568+D1569),0)</f>
        <v>9712055.12432699</v>
      </c>
      <c r="F1567" s="73" t="n">
        <f aca="false">E1567*(1+Rend_MSIG/4)*IF(F1547=1,(1-(Cap_MSIG*$Z$15+(1-Cap_MSIG)*$Z$16))*(1+MSIG_USD*$Z$14),1)+F1577-F1571-F1591*IF((E1566+E1567+E1568+E1569)&gt;0,E1567/(E1566+E1567+E1568+E1569),0)</f>
        <v>10889417.185666</v>
      </c>
      <c r="G1567" s="73" t="n">
        <f aca="false">F1567*(1+Rend_MSIG/4)*IF(G1547=1,(1-(Cap_MSIG*$Z$15+(1-Cap_MSIG)*$Z$16))*(1+MSIG_USD*$Z$14),1)+G1577-G1571-G1591*IF((F1566+F1567+F1568+F1569)&gt;0,F1567/(F1566+F1567+F1568+F1569),0)</f>
        <v>12128828.2521497</v>
      </c>
      <c r="H1567" s="73" t="n">
        <f aca="false">G1567*(1+Rend_MSIG/4)*IF(H1547=1,(1-(Cap_MSIG*$Z$15+(1-Cap_MSIG)*$Z$16))*(1+MSIG_USD*$Z$14),1)+H1577-H1571-H1591*IF((G1566+G1567+G1568+G1569)&gt;0,G1567/(G1566+G1567+G1568+G1569),0)</f>
        <v>12180072.551515</v>
      </c>
      <c r="I1567" s="73" t="n">
        <f aca="false">H1567*(1+Rend_MSIG/4)*IF(I1547=1,(1-(Cap_MSIG*$Z$15+(1-Cap_MSIG)*$Z$16))*(1+MSIG_USD*$Z$14),1)+I1577-I1571-I1591*IF((H1566+H1567+H1568+H1569)&gt;0,H1567/(H1566+H1567+H1568+H1569),0)</f>
        <v>12231533.3580452</v>
      </c>
      <c r="J1567" s="73" t="n">
        <f aca="false">I1567*(1+Rend_MSIG/4)*IF(J1547=1,(1-(Cap_MSIG*$Z$15+(1-Cap_MSIG)*$Z$16))*(1+MSIG_USD*$Z$14),1)+J1577-J1571-J1591*IF((I1566+I1567+I1568+I1569)&gt;0,I1567/(I1566+I1567+I1568+I1569),0)</f>
        <v>12283211.5864829</v>
      </c>
      <c r="K1567" s="73" t="n">
        <f aca="false">J1567*(1+Rend_MSIG/4)*IF(K1547=1,(1-(Cap_MSIG*$Z$15+(1-Cap_MSIG)*$Z$16))*(1+MSIG_USD*$Z$14),1)+K1577-K1571-K1591*IF((J1566+J1567+J1568+J1569)&gt;0,J1567/(J1566+J1567+J1568+J1569),0)</f>
        <v>12335108.1554358</v>
      </c>
      <c r="L1567" s="73" t="n">
        <f aca="false">K1567*(1+Rend_MSIG/4)*IF(L1547=1,(1-(Cap_MSIG*$Z$15+(1-Cap_MSIG)*$Z$16))*(1+MSIG_USD*$Z$14),1)+L1577-L1571-L1591*IF((K1566+K1567+K1568+K1569)&gt;0,K1567/(K1566+K1567+K1568+K1569),0)</f>
        <v>12387223.9873925</v>
      </c>
      <c r="M1567" s="73" t="n">
        <f aca="false">L1567*(1+Rend_MSIG/4)*IF(M1547=1,(1-(Cap_MSIG*$Z$15+(1-Cap_MSIG)*$Z$16))*(1+MSIG_USD*$Z$14),1)+M1577-M1571-M1591*IF((L1566+L1567+L1568+L1569)&gt;0,L1567/(L1566+L1567+L1568+L1569),0)</f>
        <v>12439560.0087392</v>
      </c>
      <c r="N1567" s="73" t="n">
        <f aca="false">M1567*(1+Rend_MSIG/4)*IF(N1547=1,(1-(Cap_MSIG*$Z$15+(1-Cap_MSIG)*$Z$16))*(1+MSIG_USD*$Z$14),1)+N1577-N1571-N1591*IF((M1566+M1567+M1568+M1569)&gt;0,M1567/(M1566+M1567+M1568+M1569),0)</f>
        <v>12492117.1497762</v>
      </c>
      <c r="O1567" s="73" t="n">
        <f aca="false">N1567*(1+Rend_MSIG/4)*IF(O1547=1,(1-(Cap_MSIG*$Z$15+(1-Cap_MSIG)*$Z$16))*(1+MSIG_USD*$Z$14),1)+O1577-O1571-O1591*IF((N1566+N1567+N1568+N1569)&gt;0,N1567/(N1566+N1567+N1568+N1569),0)</f>
        <v>12544896.344734</v>
      </c>
    </row>
    <row r="1568" customFormat="false" ht="15" hidden="false" customHeight="false" outlineLevel="0" collapsed="false">
      <c r="B1568" s="65" t="s">
        <v>1037</v>
      </c>
      <c r="C1568" s="73" t="n">
        <f aca="false">AN_cible*Ws_PG</f>
        <v>12250000</v>
      </c>
      <c r="D1568" s="73" t="n">
        <f aca="false">C1568*(1+Rend_PG/4)*IF(D1547=1,(1-(Cap_PG*$Z$15+(1-Cap_PG)*$Z$16))*(1+0*$Z$14),1)-D1572-D1588*IF((D1578+D1579)&gt;0,D1578/(D1578+D1579),0)+D1593/2-D1591*IF((C1566+C1567+C1568+C1569)&gt;0,C1568/(C1566+C1567+C1568+C1569),0)</f>
        <v>11888931.25</v>
      </c>
      <c r="E1568" s="73" t="n">
        <f aca="false">D1568*(1+Rend_PG/4)*IF(E1547=1,(1-(Cap_PG*$Z$15+(1-Cap_PG)*$Z$16))*(1+0*$Z$14),1)-E1572-E1588*IF((E1578+E1579)&gt;0,E1578/(E1578+E1579),0)+E1593/2-E1591*IF((D1566+D1567+D1568+D1569)&gt;0,D1568/(D1566+D1567+D1568+D1569),0)</f>
        <v>11012330.2511945</v>
      </c>
      <c r="F1568" s="73" t="n">
        <f aca="false">E1568*(1+Rend_PG/4)*IF(F1547=1,(1-(Cap_PG*$Z$15+(1-Cap_PG)*$Z$16))*(1+0*$Z$14),1)-F1572-F1588*IF((F1578+F1579)&gt;0,F1578/(F1578+F1579),0)+F1593/2-F1591*IF((E1566+E1567+E1568+E1569)&gt;0,E1568/(E1566+E1567+E1568+E1569),0)</f>
        <v>9424969.23410763</v>
      </c>
      <c r="G1568" s="73" t="n">
        <f aca="false">F1568*(1+Rend_PG/4)*IF(G1547=1,(1-(Cap_PG*$Z$15+(1-Cap_PG)*$Z$16))*(1+0*$Z$14),1)-G1572-G1588*IF((G1578+G1579)&gt;0,G1578/(G1578+G1579),0)+G1593/2-G1591*IF((F1566+F1567+F1568+F1569)&gt;0,F1568/(F1566+F1567+F1568+F1569),0)</f>
        <v>8232666.46848277</v>
      </c>
      <c r="H1568" s="73" t="n">
        <f aca="false">G1568*(1+Rend_PG/4)*IF(H1547=1,(1-(Cap_PG*$Z$15+(1-Cap_PG)*$Z$16))*(1+0*$Z$14),1)-H1572-H1588*IF((H1578+H1579)&gt;0,H1578/(H1578+H1579),0)+H1593/2-H1591*IF((G1566+G1567+G1568+G1569)&gt;0,G1568/(G1566+G1567+G1568+G1569),0)</f>
        <v>7990008.62432424</v>
      </c>
      <c r="I1568" s="73" t="n">
        <f aca="false">H1568*(1+Rend_PG/4)*IF(I1547=1,(1-(Cap_PG*$Z$15+(1-Cap_PG)*$Z$16))*(1+0*$Z$14),1)-I1572-I1588*IF((I1578+I1579)&gt;0,I1578/(I1578+I1579),0)+I1593/2-I1591*IF((H1566+H1567+H1568+H1569)&gt;0,H1568/(H1566+H1567+H1568+H1569),0)</f>
        <v>7754503.12012229</v>
      </c>
      <c r="J1568" s="73" t="n">
        <f aca="false">I1568*(1+Rend_PG/4)*IF(J1547=1,(1-(Cap_PG*$Z$15+(1-Cap_PG)*$Z$16))*(1+0*$Z$14),1)-J1572-J1588*IF((J1578+J1579)&gt;0,J1578/(J1578+J1579),0)+J1593/2-J1591*IF((I1566+I1567+I1568+I1569)&gt;0,I1568/(I1566+I1567+I1568+I1569),0)</f>
        <v>7525939.14065668</v>
      </c>
      <c r="K1568" s="73" t="n">
        <f aca="false">J1568*(1+Rend_PG/4)*IF(K1547=1,(1-(Cap_PG*$Z$15+(1-Cap_PG)*$Z$16))*(1+0*$Z$14),1)-K1572-K1588*IF((K1578+K1579)&gt;0,K1578/(K1578+K1579),0)+K1593/2-K1591*IF((J1566+J1567+J1568+J1569)&gt;0,J1568/(J1566+J1567+J1568+J1569),0)</f>
        <v>7304112.08448583</v>
      </c>
      <c r="L1568" s="73" t="n">
        <f aca="false">K1568*(1+Rend_PG/4)*IF(L1547=1,(1-(Cap_PG*$Z$15+(1-Cap_PG)*$Z$16))*(1+0*$Z$14),1)-L1572-L1588*IF((L1578+L1579)&gt;0,L1578/(L1578+L1579),0)+L1593/2-L1591*IF((K1566+K1567+K1568+K1569)&gt;0,K1568/(K1566+K1567+K1568+K1569),0)</f>
        <v>7088823.38079561</v>
      </c>
      <c r="M1568" s="73" t="n">
        <f aca="false">L1568*(1+Rend_PG/4)*IF(M1547=1,(1-(Cap_PG*$Z$15+(1-Cap_PG)*$Z$16))*(1+0*$Z$14),1)-M1572-M1588*IF((M1578+M1579)&gt;0,M1578/(M1578+M1579),0)+M1593/2-M1591*IF((L1566+L1567+L1568+L1569)&gt;0,L1568/(L1566+L1567+L1568+L1569),0)</f>
        <v>6879880.31164666</v>
      </c>
      <c r="N1568" s="73" t="n">
        <f aca="false">M1568*(1+Rend_PG/4)*IF(N1547=1,(1-(Cap_PG*$Z$15+(1-Cap_PG)*$Z$16))*(1+0*$Z$14),1)-N1572-N1588*IF((N1578+N1579)&gt;0,N1578/(N1578+N1579),0)+N1593/2-N1591*IF((M1566+M1567+M1568+M1569)&gt;0,M1568/(M1566+M1567+M1568+M1569),0)</f>
        <v>6677095.83946087</v>
      </c>
      <c r="O1568" s="73" t="n">
        <f aca="false">N1568*(1+Rend_PG/4)*IF(O1547=1,(1-(Cap_PG*$Z$15+(1-Cap_PG)*$Z$16))*(1+0*$Z$14),1)-O1572-O1588*IF((O1578+O1579)&gt;0,O1578/(O1578+O1579),0)+O1593/2-O1591*IF((N1566+N1567+N1568+N1569)&gt;0,N1568/(N1566+N1567+N1568+N1569),0)</f>
        <v>6480288.43959276</v>
      </c>
    </row>
    <row r="1569" customFormat="false" ht="15" hidden="false" customHeight="false" outlineLevel="0" collapsed="false">
      <c r="B1569" s="65" t="s">
        <v>1038</v>
      </c>
      <c r="C1569" s="73" t="n">
        <f aca="false">AN_cible*Ws_ARES</f>
        <v>12250000</v>
      </c>
      <c r="D1569" s="73" t="n">
        <f aca="false">C1569*(1+Rend_ARES/4)*IF(D1547=1,(1-(Cap_ARES*$Z$15+(1-Cap_ARES)*$Z$16))*(1+0*$Z$14),1)-D1573-D1588*IF((D1578+D1579)&gt;0,D1579/(D1578+D1579),0)/(1-IF(D1547&lt;=Deduc_trim,Deduc_ares,0))+D1593/2-D1591*IF((C1566+C1567+C1568+C1569)&gt;0,C1569/(C1566+C1567+C1568+C1569),0)</f>
        <v>11727537.5</v>
      </c>
      <c r="E1569" s="73" t="n">
        <f aca="false">D1569*(1+Rend_ARES/4)*IF(E1547=1,(1-(Cap_ARES*$Z$15+(1-Cap_ARES)*$Z$16))*(1+0*$Z$14),1)-E1573-E1588*IF((E1578+E1579)&gt;0,E1579/(E1578+E1579),0)/(1-IF(E1547&lt;=Deduc_trim,Deduc_ares,0))+E1593/2-E1591*IF((D1566+D1567+D1568+D1569)&gt;0,D1569/(D1566+D1567+D1568+D1569),0)</f>
        <v>10708326.1644002</v>
      </c>
      <c r="F1569" s="73" t="n">
        <f aca="false">E1569*(1+Rend_ARES/4)*IF(F1547=1,(1-(Cap_ARES*$Z$15+(1-Cap_ARES)*$Z$16))*(1+0*$Z$14),1)-F1573-F1588*IF((F1578+F1579)&gt;0,F1579/(F1578+F1579),0)/(1-IF(F1547&lt;=Deduc_trim,Deduc_ares,0))+F1593/2-F1591*IF((E1566+E1567+E1568+E1569)&gt;0,E1569/(E1566+E1567+E1568+E1569),0)</f>
        <v>9023703.30649829</v>
      </c>
      <c r="G1569" s="73" t="n">
        <f aca="false">F1569*(1+Rend_ARES/4)*IF(G1547=1,(1-(Cap_ARES*$Z$15+(1-Cap_ARES)*$Z$16))*(1+0*$Z$14),1)-G1573-G1588*IF((G1578+G1579)&gt;0,G1579/(G1578+G1579),0)/(1-IF(G1547&lt;=Deduc_trim,Deduc_ares,0))+G1593/2-G1591*IF((F1566+F1567+F1568+F1569)&gt;0,F1569/(F1566+F1567+F1568+F1569),0)</f>
        <v>7763275.26964888</v>
      </c>
      <c r="H1569" s="73" t="n">
        <f aca="false">G1569*(1+Rend_ARES/4)*IF(H1547=1,(1-(Cap_ARES*$Z$15+(1-Cap_ARES)*$Z$16))*(1+0*$Z$14),1)-H1573-H1588*IF((H1578+H1579)&gt;0,H1579/(H1578+H1579),0)/(1-IF(H1547&lt;=Deduc_trim,Deduc_ares,0))+H1593/2-H1591*IF((G1566+G1567+G1568+G1569)&gt;0,G1569/(G1566+G1567+G1568+G1569),0)</f>
        <v>7432171.57939836</v>
      </c>
      <c r="I1569" s="73" t="n">
        <f aca="false">H1569*(1+Rend_ARES/4)*IF(I1547=1,(1-(Cap_ARES*$Z$15+(1-Cap_ARES)*$Z$16))*(1+0*$Z$14),1)-I1573-I1588*IF((I1578+I1579)&gt;0,I1579/(I1578+I1579),0)/(1-IF(I1547&lt;=Deduc_trim,Deduc_ares,0))+I1593/2-I1591*IF((H1566+H1567+H1568+H1569)&gt;0,H1569/(H1566+H1567+H1568+H1569),0)</f>
        <v>7115189.46153702</v>
      </c>
      <c r="J1569" s="73" t="n">
        <f aca="false">I1569*(1+Rend_ARES/4)*IF(J1547=1,(1-(Cap_ARES*$Z$15+(1-Cap_ARES)*$Z$16))*(1+0*$Z$14),1)-J1573-J1588*IF((J1578+J1579)&gt;0,J1579/(J1578+J1579),0)/(1-IF(J1547&lt;=Deduc_trim,Deduc_ares,0))+J1593/2-J1591*IF((I1566+I1567+I1568+I1569)&gt;0,I1569/(I1566+I1567+I1568+I1569),0)</f>
        <v>6811726.63100246</v>
      </c>
      <c r="K1569" s="73" t="n">
        <f aca="false">J1569*(1+Rend_ARES/4)*IF(K1547=1,(1-(Cap_ARES*$Z$15+(1-Cap_ARES)*$Z$16))*(1+0*$Z$14),1)-K1573-K1588*IF((K1578+K1579)&gt;0,K1579/(K1578+K1579),0)/(1-IF(K1547&lt;=Deduc_trim,Deduc_ares,0))+K1593/2-K1591*IF((J1566+J1567+J1568+J1569)&gt;0,J1569/(J1566+J1567+J1568+J1569),0)</f>
        <v>6521206.49019021</v>
      </c>
      <c r="L1569" s="73" t="n">
        <f aca="false">K1569*(1+Rend_ARES/4)*IF(L1547=1,(1-(Cap_ARES*$Z$15+(1-Cap_ARES)*$Z$16))*(1+0*$Z$14),1)-L1573-L1588*IF((L1578+L1579)&gt;0,L1579/(L1578+L1579),0)/(1-IF(L1547&lt;=Deduc_trim,Deduc_ares,0))+L1593/2-L1591*IF((K1566+K1567+K1568+K1569)&gt;0,K1569/(K1566+K1567+K1568+K1569),0)</f>
        <v>6243077.0333836</v>
      </c>
      <c r="M1569" s="73" t="n">
        <f aca="false">L1569*(1+Rend_ARES/4)*IF(M1547=1,(1-(Cap_ARES*$Z$15+(1-Cap_ARES)*$Z$16))*(1+0*$Z$14),1)-M1573-M1588*IF((M1578+M1579)&gt;0,M1579/(M1578+M1579),0)/(1-IF(M1547&lt;=Deduc_trim,Deduc_ares,0))+M1593/2-M1591*IF((L1566+L1567+L1568+L1569)&gt;0,L1569/(L1566+L1567+L1568+L1569),0)</f>
        <v>5976809.79790978</v>
      </c>
      <c r="N1569" s="73" t="n">
        <f aca="false">M1569*(1+Rend_ARES/4)*IF(N1547=1,(1-(Cap_ARES*$Z$15+(1-Cap_ARES)*$Z$16))*(1+0*$Z$14),1)-N1573-N1588*IF((N1578+N1579)&gt;0,N1579/(N1578+N1579),0)/(1-IF(N1547&lt;=Deduc_trim,Deduc_ares,0))+N1593/2-N1591*IF((M1566+M1567+M1568+M1569)&gt;0,M1569/(M1566+M1567+M1568+M1569),0)</f>
        <v>5721898.86002893</v>
      </c>
      <c r="O1569" s="73" t="n">
        <f aca="false">N1569*(1+Rend_ARES/4)*IF(O1547=1,(1-(Cap_ARES*$Z$15+(1-Cap_ARES)*$Z$16))*(1+0*$Z$14),1)-O1573-O1588*IF((O1578+O1579)&gt;0,O1579/(O1578+O1579),0)/(1-IF(O1547&lt;=Deduc_trim,Deduc_ares,0))+O1593/2-O1591*IF((N1566+N1567+N1568+N1569)&gt;0,N1569/(N1566+N1567+N1568+N1569),0)</f>
        <v>5477859.8736487</v>
      </c>
    </row>
    <row r="1570" customFormat="false" ht="15" hidden="false" customHeight="false" outlineLevel="0" collapsed="false">
      <c r="B1570" s="65" t="s">
        <v>1039</v>
      </c>
      <c r="C1570" s="25"/>
      <c r="D1570" s="73" t="n">
        <f aca="false">C1566*Dist_MAPIF/4*IF(D1547&lt;=$Z$11,0,$Z$10)</f>
        <v>187500</v>
      </c>
      <c r="E1570" s="73" t="n">
        <f aca="false">D1566*Dist_MAPIF/4*IF(E1547&lt;=$Z$11,0,$Z$10)</f>
        <v>239573.4375</v>
      </c>
      <c r="F1570" s="73" t="n">
        <f aca="false">E1566*Dist_MAPIF/4*IF(F1547&lt;=$Z$11,0,$Z$10)</f>
        <v>281446.21332956</v>
      </c>
      <c r="G1570" s="73" t="n">
        <f aca="false">F1566*Dist_MAPIF/4*IF(G1547&lt;=$Z$11,0,$Z$10)</f>
        <v>301972.237532648</v>
      </c>
      <c r="H1570" s="73" t="n">
        <f aca="false">G1566*Dist_MAPIF/4*IF(H1547&lt;=$Z$11,0,$Z$10)</f>
        <v>325629.701932049</v>
      </c>
      <c r="I1570" s="73" t="n">
        <f aca="false">H1566*Dist_MAPIF/4*IF(I1547&lt;=$Z$11,0,$Z$10)</f>
        <v>328145.191379474</v>
      </c>
      <c r="J1570" s="73" t="n">
        <f aca="false">I1566*Dist_MAPIF/4*IF(J1547&lt;=$Z$11,0,$Z$10)</f>
        <v>330680.11298288</v>
      </c>
      <c r="K1570" s="73" t="n">
        <f aca="false">J1566*Dist_MAPIF/4*IF(K1547&lt;=$Z$11,0,$Z$10)</f>
        <v>333234.616855673</v>
      </c>
      <c r="L1570" s="73" t="n">
        <f aca="false">K1566*Dist_MAPIF/4*IF(L1547&lt;=$Z$11,0,$Z$10)</f>
        <v>335808.854270883</v>
      </c>
      <c r="M1570" s="73" t="n">
        <f aca="false">L1566*Dist_MAPIF/4*IF(M1547&lt;=$Z$11,0,$Z$10)</f>
        <v>338402.977670126</v>
      </c>
      <c r="N1570" s="73" t="n">
        <f aca="false">M1566*Dist_MAPIF/4*IF(N1547&lt;=$Z$11,0,$Z$10)</f>
        <v>341017.140672627</v>
      </c>
      <c r="O1570" s="73" t="n">
        <f aca="false">N1566*Dist_MAPIF/4*IF(O1547&lt;=$Z$11,0,$Z$10)</f>
        <v>343651.498084323</v>
      </c>
    </row>
    <row r="1571" customFormat="false" ht="15" hidden="false" customHeight="false" outlineLevel="0" collapsed="false">
      <c r="B1571" s="65" t="s">
        <v>1040</v>
      </c>
      <c r="C1571" s="25"/>
      <c r="D1571" s="73" t="n">
        <f aca="false">C1567*Dist_MSIG/4*IF(D1547&lt;=$Z$11,0,$Z$10)</f>
        <v>96250</v>
      </c>
      <c r="E1571" s="73" t="n">
        <f aca="false">D1567*Dist_MSIG/4*IF(E1547&lt;=$Z$11,0,$Z$10)</f>
        <v>136031.65625</v>
      </c>
      <c r="F1571" s="73" t="n">
        <f aca="false">E1567*Dist_MSIG/4*IF(F1547&lt;=$Z$11,0,$Z$10)</f>
        <v>169960.964675722</v>
      </c>
      <c r="G1571" s="73" t="n">
        <f aca="false">F1567*Dist_MSIG/4*IF(G1547&lt;=$Z$11,0,$Z$10)</f>
        <v>190564.800749155</v>
      </c>
      <c r="H1571" s="73" t="n">
        <f aca="false">G1567*Dist_MSIG/4*IF(H1547&lt;=$Z$11,0,$Z$10)</f>
        <v>212254.494412619</v>
      </c>
      <c r="I1571" s="73" t="n">
        <f aca="false">H1567*Dist_MSIG/4*IF(I1547&lt;=$Z$11,0,$Z$10)</f>
        <v>213151.269651513</v>
      </c>
      <c r="J1571" s="73" t="n">
        <f aca="false">I1567*Dist_MSIG/4*IF(J1547&lt;=$Z$11,0,$Z$10)</f>
        <v>214051.83376579</v>
      </c>
      <c r="K1571" s="73" t="n">
        <f aca="false">J1567*Dist_MSIG/4*IF(K1547&lt;=$Z$11,0,$Z$10)</f>
        <v>214956.202763451</v>
      </c>
      <c r="L1571" s="73" t="n">
        <f aca="false">K1567*Dist_MSIG/4*IF(L1547&lt;=$Z$11,0,$Z$10)</f>
        <v>215864.392720126</v>
      </c>
      <c r="M1571" s="73" t="n">
        <f aca="false">L1567*Dist_MSIG/4*IF(M1547&lt;=$Z$11,0,$Z$10)</f>
        <v>216776.419779369</v>
      </c>
      <c r="N1571" s="73" t="n">
        <f aca="false">M1567*Dist_MSIG/4*IF(N1547&lt;=$Z$11,0,$Z$10)</f>
        <v>217692.300152937</v>
      </c>
      <c r="O1571" s="73" t="n">
        <f aca="false">N1567*Dist_MSIG/4*IF(O1547&lt;=$Z$11,0,$Z$10)</f>
        <v>218612.050121083</v>
      </c>
    </row>
    <row r="1572" customFormat="false" ht="15" hidden="false" customHeight="false" outlineLevel="0" collapsed="false">
      <c r="B1572" s="65" t="s">
        <v>1041</v>
      </c>
      <c r="C1572" s="25"/>
      <c r="D1572" s="73" t="n">
        <f aca="false">C1568*Dist_PG/4*IF(D1547&lt;=$Z$11,0,$Z$10)</f>
        <v>61250</v>
      </c>
      <c r="E1572" s="73" t="n">
        <f aca="false">D1568*Dist_PG/4*IF(E1547&lt;=$Z$11,0,$Z$10)</f>
        <v>59444.65625</v>
      </c>
      <c r="F1572" s="73" t="n">
        <f aca="false">E1568*Dist_PG/4*IF(F1547&lt;=$Z$11,0,$Z$10)</f>
        <v>55061.6512559726</v>
      </c>
      <c r="G1572" s="73" t="n">
        <f aca="false">F1568*Dist_PG/4*IF(G1547&lt;=$Z$11,0,$Z$10)</f>
        <v>47124.8461705381</v>
      </c>
      <c r="H1572" s="73" t="n">
        <f aca="false">G1568*Dist_PG/4*IF(H1547&lt;=$Z$11,0,$Z$10)</f>
        <v>41163.3323424139</v>
      </c>
      <c r="I1572" s="73" t="n">
        <f aca="false">H1568*Dist_PG/4*IF(I1547&lt;=$Z$11,0,$Z$10)</f>
        <v>39950.0431216212</v>
      </c>
      <c r="J1572" s="73" t="n">
        <f aca="false">I1568*Dist_PG/4*IF(J1547&lt;=$Z$11,0,$Z$10)</f>
        <v>38772.5156006114</v>
      </c>
      <c r="K1572" s="73" t="n">
        <f aca="false">J1568*Dist_PG/4*IF(K1547&lt;=$Z$11,0,$Z$10)</f>
        <v>37629.6957032834</v>
      </c>
      <c r="L1572" s="73" t="n">
        <f aca="false">K1568*Dist_PG/4*IF(L1547&lt;=$Z$11,0,$Z$10)</f>
        <v>36520.5604224291</v>
      </c>
      <c r="M1572" s="73" t="n">
        <f aca="false">L1568*Dist_PG/4*IF(M1547&lt;=$Z$11,0,$Z$10)</f>
        <v>35444.116903978</v>
      </c>
      <c r="N1572" s="73" t="n">
        <f aca="false">M1568*Dist_PG/4*IF(N1547&lt;=$Z$11,0,$Z$10)</f>
        <v>34399.4015582333</v>
      </c>
      <c r="O1572" s="73" t="n">
        <f aca="false">N1568*Dist_PG/4*IF(O1547&lt;=$Z$11,0,$Z$10)</f>
        <v>33385.4791973044</v>
      </c>
    </row>
    <row r="1573" customFormat="false" ht="15" hidden="false" customHeight="false" outlineLevel="0" collapsed="false">
      <c r="B1573" s="65" t="s">
        <v>1042</v>
      </c>
      <c r="C1573" s="25"/>
      <c r="D1573" s="73" t="n">
        <f aca="false">C1569*Dist_ARES/4*IF(D1547&lt;=$Z$11,0,$Z$10)</f>
        <v>153125</v>
      </c>
      <c r="E1573" s="73" t="n">
        <f aca="false">D1569*Dist_ARES/4*IF(E1547&lt;=$Z$11,0,$Z$10)</f>
        <v>146594.21875</v>
      </c>
      <c r="F1573" s="73" t="n">
        <f aca="false">E1569*Dist_ARES/4*IF(F1547&lt;=$Z$11,0,$Z$10)</f>
        <v>133854.077055003</v>
      </c>
      <c r="G1573" s="73" t="n">
        <f aca="false">F1569*Dist_ARES/4*IF(G1547&lt;=$Z$11,0,$Z$10)</f>
        <v>112796.291331229</v>
      </c>
      <c r="H1573" s="73" t="n">
        <f aca="false">G1569*Dist_ARES/4*IF(H1547&lt;=$Z$11,0,$Z$10)</f>
        <v>97040.9408706111</v>
      </c>
      <c r="I1573" s="73" t="n">
        <f aca="false">H1569*Dist_ARES/4*IF(I1547&lt;=$Z$11,0,$Z$10)</f>
        <v>92902.1447424795</v>
      </c>
      <c r="J1573" s="73" t="n">
        <f aca="false">I1569*Dist_ARES/4*IF(J1547&lt;=$Z$11,0,$Z$10)</f>
        <v>88939.8682692127</v>
      </c>
      <c r="K1573" s="73" t="n">
        <f aca="false">J1569*Dist_ARES/4*IF(K1547&lt;=$Z$11,0,$Z$10)</f>
        <v>85146.5828875308</v>
      </c>
      <c r="L1573" s="73" t="n">
        <f aca="false">K1569*Dist_ARES/4*IF(L1547&lt;=$Z$11,0,$Z$10)</f>
        <v>81515.0811273776</v>
      </c>
      <c r="M1573" s="73" t="n">
        <f aca="false">L1569*Dist_ARES/4*IF(M1547&lt;=$Z$11,0,$Z$10)</f>
        <v>78038.4629172949</v>
      </c>
      <c r="N1573" s="73" t="n">
        <f aca="false">M1569*Dist_ARES/4*IF(N1547&lt;=$Z$11,0,$Z$10)</f>
        <v>74710.1224738723</v>
      </c>
      <c r="O1573" s="73" t="n">
        <f aca="false">N1569*Dist_ARES/4*IF(O1547&lt;=$Z$11,0,$Z$10)</f>
        <v>71523.7357503616</v>
      </c>
    </row>
    <row r="1574" customFormat="false" ht="15" hidden="false" customHeight="false" outlineLevel="0" collapsed="false">
      <c r="B1574" s="65" t="s">
        <v>1043</v>
      </c>
      <c r="C1574" s="73" t="n">
        <f aca="false">AN_cible*$Z$12*Part_MAPIF_NA</f>
        <v>13500000</v>
      </c>
      <c r="D1574" s="73" t="n">
        <f aca="false">C1574*IF(D1547=1,1+$Z$14,1)-D1576</f>
        <v>10125000</v>
      </c>
      <c r="E1574" s="73" t="n">
        <f aca="false">D1574*IF(E1547=1,1+$Z$14,1)-E1576</f>
        <v>6750000</v>
      </c>
      <c r="F1574" s="73" t="n">
        <f aca="false">E1574*IF(F1547=1,1+$Z$14,1)-F1576</f>
        <v>3375000</v>
      </c>
      <c r="G1574" s="73" t="n">
        <f aca="false">F1574*IF(G1547=1,1+$Z$14,1)-G1576</f>
        <v>0</v>
      </c>
      <c r="H1574" s="73" t="n">
        <f aca="false">G1574*IF(H1547=1,1+$Z$14,1)-H1576</f>
        <v>0</v>
      </c>
      <c r="I1574" s="73" t="n">
        <f aca="false">H1574*IF(I1547=1,1+$Z$14,1)-I1576</f>
        <v>0</v>
      </c>
      <c r="J1574" s="73" t="n">
        <f aca="false">I1574*IF(J1547=1,1+$Z$14,1)-J1576</f>
        <v>0</v>
      </c>
      <c r="K1574" s="73" t="n">
        <f aca="false">J1574*IF(K1547=1,1+$Z$14,1)-K1576</f>
        <v>0</v>
      </c>
      <c r="L1574" s="73" t="n">
        <f aca="false">K1574*IF(L1547=1,1+$Z$14,1)-L1576</f>
        <v>0</v>
      </c>
      <c r="M1574" s="73" t="n">
        <f aca="false">L1574*IF(M1547=1,1+$Z$14,1)-M1576</f>
        <v>0</v>
      </c>
      <c r="N1574" s="73" t="n">
        <f aca="false">M1574*IF(N1547=1,1+$Z$14,1)-N1576</f>
        <v>0</v>
      </c>
      <c r="O1574" s="73" t="n">
        <f aca="false">N1574*IF(O1547=1,1+$Z$14,1)-O1576</f>
        <v>0</v>
      </c>
    </row>
    <row r="1575" customFormat="false" ht="15" hidden="false" customHeight="false" outlineLevel="0" collapsed="false">
      <c r="B1575" s="65" t="s">
        <v>1044</v>
      </c>
      <c r="C1575" s="73" t="n">
        <f aca="false">AN_cible*$Z$12*(1-Part_MAPIF_NA)</f>
        <v>9000000</v>
      </c>
      <c r="D1575" s="73" t="n">
        <f aca="false">C1575*IF(D1547=1,1+MSIG_USD*$Z$14,1)-D1577</f>
        <v>6750000</v>
      </c>
      <c r="E1575" s="73" t="n">
        <f aca="false">D1575*IF(E1547=1,1+MSIG_USD*$Z$14,1)-E1577</f>
        <v>4500000</v>
      </c>
      <c r="F1575" s="73" t="n">
        <f aca="false">E1575*IF(F1547=1,1+MSIG_USD*$Z$14,1)-F1577</f>
        <v>2250000</v>
      </c>
      <c r="G1575" s="73" t="n">
        <f aca="false">F1575*IF(G1547=1,1+MSIG_USD*$Z$14,1)-G1577</f>
        <v>0</v>
      </c>
      <c r="H1575" s="73" t="n">
        <f aca="false">G1575*IF(H1547=1,1+MSIG_USD*$Z$14,1)-H1577</f>
        <v>0</v>
      </c>
      <c r="I1575" s="73" t="n">
        <f aca="false">H1575*IF(I1547=1,1+MSIG_USD*$Z$14,1)-I1577</f>
        <v>0</v>
      </c>
      <c r="J1575" s="73" t="n">
        <f aca="false">I1575*IF(J1547=1,1+MSIG_USD*$Z$14,1)-J1577</f>
        <v>0</v>
      </c>
      <c r="K1575" s="73" t="n">
        <f aca="false">J1575*IF(K1547=1,1+MSIG_USD*$Z$14,1)-K1577</f>
        <v>0</v>
      </c>
      <c r="L1575" s="73" t="n">
        <f aca="false">K1575*IF(L1547=1,1+MSIG_USD*$Z$14,1)-L1577</f>
        <v>0</v>
      </c>
      <c r="M1575" s="73" t="n">
        <f aca="false">L1575*IF(M1547=1,1+MSIG_USD*$Z$14,1)-M1577</f>
        <v>0</v>
      </c>
      <c r="N1575" s="73" t="n">
        <f aca="false">M1575*IF(N1547=1,1+MSIG_USD*$Z$14,1)-N1577</f>
        <v>0</v>
      </c>
      <c r="O1575" s="73" t="n">
        <f aca="false">N1575*IF(O1547=1,1+MSIG_USD*$Z$14,1)-O1577</f>
        <v>0</v>
      </c>
    </row>
    <row r="1576" customFormat="false" ht="15" hidden="false" customHeight="false" outlineLevel="0" collapsed="false">
      <c r="B1576" s="65" t="s">
        <v>1045</v>
      </c>
      <c r="C1576" s="25"/>
      <c r="D1576" s="73" t="n">
        <f aca="false">MIN(C1574*IF(D1547=1,1+$Z$14,1),$C1574*(1+$Z$14)*IF(D1547&lt;=4,$Z$13/4,Appels_base))</f>
        <v>3375000</v>
      </c>
      <c r="E1576" s="73" t="n">
        <f aca="false">MIN(D1574*IF(E1547=1,1+$Z$14,1),$C1574*(1+$Z$14)*IF(E1547&lt;=4,$Z$13/4,Appels_base))</f>
        <v>3375000</v>
      </c>
      <c r="F1576" s="73" t="n">
        <f aca="false">MIN(E1574*IF(F1547=1,1+$Z$14,1),$C1574*(1+$Z$14)*IF(F1547&lt;=4,$Z$13/4,Appels_base))</f>
        <v>3375000</v>
      </c>
      <c r="G1576" s="73" t="n">
        <f aca="false">MIN(F1574*IF(G1547=1,1+$Z$14,1),$C1574*(1+$Z$14)*IF(G1547&lt;=4,$Z$13/4,Appels_base))</f>
        <v>3375000</v>
      </c>
      <c r="H1576" s="73" t="n">
        <f aca="false">MIN(G1574*IF(H1547=1,1+$Z$14,1),$C1574*(1+$Z$14)*IF(H1547&lt;=4,$Z$13/4,Appels_base))</f>
        <v>0</v>
      </c>
      <c r="I1576" s="73" t="n">
        <f aca="false">MIN(H1574*IF(I1547=1,1+$Z$14,1),$C1574*(1+$Z$14)*IF(I1547&lt;=4,$Z$13/4,Appels_base))</f>
        <v>0</v>
      </c>
      <c r="J1576" s="73" t="n">
        <f aca="false">MIN(I1574*IF(J1547=1,1+$Z$14,1),$C1574*(1+$Z$14)*IF(J1547&lt;=4,$Z$13/4,Appels_base))</f>
        <v>0</v>
      </c>
      <c r="K1576" s="73" t="n">
        <f aca="false">MIN(J1574*IF(K1547=1,1+$Z$14,1),$C1574*(1+$Z$14)*IF(K1547&lt;=4,$Z$13/4,Appels_base))</f>
        <v>0</v>
      </c>
      <c r="L1576" s="73" t="n">
        <f aca="false">MIN(K1574*IF(L1547=1,1+$Z$14,1),$C1574*(1+$Z$14)*IF(L1547&lt;=4,$Z$13/4,Appels_base))</f>
        <v>0</v>
      </c>
      <c r="M1576" s="73" t="n">
        <f aca="false">MIN(L1574*IF(M1547=1,1+$Z$14,1),$C1574*(1+$Z$14)*IF(M1547&lt;=4,$Z$13/4,Appels_base))</f>
        <v>0</v>
      </c>
      <c r="N1576" s="73" t="n">
        <f aca="false">MIN(M1574*IF(N1547=1,1+$Z$14,1),$C1574*(1+$Z$14)*IF(N1547&lt;=4,$Z$13/4,Appels_base))</f>
        <v>0</v>
      </c>
      <c r="O1576" s="73" t="n">
        <f aca="false">MIN(N1574*IF(O1547=1,1+$Z$14,1),$C1574*(1+$Z$14)*IF(O1547&lt;=4,$Z$13/4,Appels_base))</f>
        <v>0</v>
      </c>
    </row>
    <row r="1577" customFormat="false" ht="15" hidden="false" customHeight="false" outlineLevel="0" collapsed="false">
      <c r="B1577" s="65" t="s">
        <v>1046</v>
      </c>
      <c r="C1577" s="25"/>
      <c r="D1577" s="73" t="n">
        <f aca="false">MIN(C1575*IF(D1547=1,1+MSIG_USD*$Z$14,1),$C1575*(1+MSIG_USD*$Z$14)*IF(D1547&lt;=4,$Z$13/4,Appels_base))</f>
        <v>2250000</v>
      </c>
      <c r="E1577" s="73" t="n">
        <f aca="false">MIN(D1575*IF(E1547=1,1+MSIG_USD*$Z$14,1),$C1575*(1+MSIG_USD*$Z$14)*IF(E1547&lt;=4,$Z$13/4,Appels_base))</f>
        <v>2250000</v>
      </c>
      <c r="F1577" s="73" t="n">
        <f aca="false">MIN(E1575*IF(F1547=1,1+MSIG_USD*$Z$14,1),$C1575*(1+MSIG_USD*$Z$14)*IF(F1547&lt;=4,$Z$13/4,Appels_base))</f>
        <v>2250000</v>
      </c>
      <c r="G1577" s="73" t="n">
        <f aca="false">MIN(F1575*IF(G1547=1,1+MSIG_USD*$Z$14,1),$C1575*(1+MSIG_USD*$Z$14)*IF(G1547&lt;=4,$Z$13/4,Appels_base))</f>
        <v>2250000</v>
      </c>
      <c r="H1577" s="73" t="n">
        <f aca="false">MIN(G1575*IF(H1547=1,1+MSIG_USD*$Z$14,1),$C1575*(1+MSIG_USD*$Z$14)*IF(H1547&lt;=4,$Z$13/4,Appels_base))</f>
        <v>0</v>
      </c>
      <c r="I1577" s="73" t="n">
        <f aca="false">MIN(H1575*IF(I1547=1,1+MSIG_USD*$Z$14,1),$C1575*(1+MSIG_USD*$Z$14)*IF(I1547&lt;=4,$Z$13/4,Appels_base))</f>
        <v>0</v>
      </c>
      <c r="J1577" s="73" t="n">
        <f aca="false">MIN(I1575*IF(J1547=1,1+MSIG_USD*$Z$14,1),$C1575*(1+MSIG_USD*$Z$14)*IF(J1547&lt;=4,$Z$13/4,Appels_base))</f>
        <v>0</v>
      </c>
      <c r="K1577" s="73" t="n">
        <f aca="false">MIN(J1575*IF(K1547=1,1+MSIG_USD*$Z$14,1),$C1575*(1+MSIG_USD*$Z$14)*IF(K1547&lt;=4,$Z$13/4,Appels_base))</f>
        <v>0</v>
      </c>
      <c r="L1577" s="73" t="n">
        <f aca="false">MIN(K1575*IF(L1547=1,1+MSIG_USD*$Z$14,1),$C1575*(1+MSIG_USD*$Z$14)*IF(L1547&lt;=4,$Z$13/4,Appels_base))</f>
        <v>0</v>
      </c>
      <c r="M1577" s="73" t="n">
        <f aca="false">MIN(L1575*IF(M1547=1,1+MSIG_USD*$Z$14,1),$C1575*(1+MSIG_USD*$Z$14)*IF(M1547&lt;=4,$Z$13/4,Appels_base))</f>
        <v>0</v>
      </c>
      <c r="N1577" s="73" t="n">
        <f aca="false">MIN(M1575*IF(N1547=1,1+MSIG_USD*$Z$14,1),$C1575*(1+MSIG_USD*$Z$14)*IF(N1547&lt;=4,$Z$13/4,Appels_base))</f>
        <v>0</v>
      </c>
      <c r="O1577" s="73" t="n">
        <f aca="false">MIN(N1575*IF(O1547=1,1+MSIG_USD*$Z$14,1),$C1575*(1+MSIG_USD*$Z$14)*IF(O1547&lt;=4,$Z$13/4,Appels_base))</f>
        <v>0</v>
      </c>
    </row>
    <row r="1578" customFormat="false" ht="15" hidden="false" customHeight="false" outlineLevel="0" collapsed="false">
      <c r="B1578" s="65" t="s">
        <v>1047</v>
      </c>
      <c r="C1578" s="25"/>
      <c r="D1578" s="73" t="n">
        <f aca="false">C1568*Capacite_evg*IF(D1547&lt;=4,$Z$17,$Z$18)</f>
        <v>612500</v>
      </c>
      <c r="E1578" s="73" t="n">
        <f aca="false">D1568*Capacite_evg*IF(E1547&lt;=4,$Z$17,$Z$18)</f>
        <v>594446.5625</v>
      </c>
      <c r="F1578" s="73" t="n">
        <f aca="false">E1568*Capacite_evg*IF(F1547&lt;=4,$Z$17,$Z$18)</f>
        <v>550616.512559726</v>
      </c>
      <c r="G1578" s="73" t="n">
        <f aca="false">F1568*Capacite_evg*IF(G1547&lt;=4,$Z$17,$Z$18)</f>
        <v>471248.461705381</v>
      </c>
      <c r="H1578" s="73" t="n">
        <f aca="false">G1568*Capacite_evg*IF(H1547&lt;=4,$Z$17,$Z$18)</f>
        <v>411633.323424139</v>
      </c>
      <c r="I1578" s="73" t="n">
        <f aca="false">H1568*Capacite_evg*IF(I1547&lt;=4,$Z$17,$Z$18)</f>
        <v>399500.431216212</v>
      </c>
      <c r="J1578" s="73" t="n">
        <f aca="false">I1568*Capacite_evg*IF(J1547&lt;=4,$Z$17,$Z$18)</f>
        <v>387725.156006114</v>
      </c>
      <c r="K1578" s="73" t="n">
        <f aca="false">J1568*Capacite_evg*IF(K1547&lt;=4,$Z$17,$Z$18)</f>
        <v>376296.957032834</v>
      </c>
      <c r="L1578" s="73" t="n">
        <f aca="false">K1568*Capacite_evg*IF(L1547&lt;=4,$Z$17,$Z$18)</f>
        <v>365205.604224291</v>
      </c>
      <c r="M1578" s="73" t="n">
        <f aca="false">L1568*Capacite_evg*IF(M1547&lt;=4,$Z$17,$Z$18)</f>
        <v>354441.16903978</v>
      </c>
      <c r="N1578" s="73" t="n">
        <f aca="false">M1568*Capacite_evg*IF(N1547&lt;=4,$Z$17,$Z$18)</f>
        <v>343994.015582333</v>
      </c>
      <c r="O1578" s="73" t="n">
        <f aca="false">N1568*Capacite_evg*IF(O1547&lt;=4,$Z$17,$Z$18)</f>
        <v>333854.791973044</v>
      </c>
    </row>
    <row r="1579" customFormat="false" ht="15" hidden="false" customHeight="false" outlineLevel="0" collapsed="false">
      <c r="B1579" s="65" t="s">
        <v>1048</v>
      </c>
      <c r="C1579" s="25"/>
      <c r="D1579" s="73" t="n">
        <f aca="false">C1569*Capacite_evg*IF(D1547&lt;=4,$Z$17,$Z$19)*(1-IF(D1547&lt;=Deduc_trim,Deduc_ares,0))</f>
        <v>581875</v>
      </c>
      <c r="E1579" s="73" t="n">
        <f aca="false">D1569*Capacite_evg*IF(E1547&lt;=4,$Z$17,$Z$19)*(1-IF(E1547&lt;=Deduc_trim,Deduc_ares,0))</f>
        <v>557058.03125</v>
      </c>
      <c r="F1579" s="73" t="n">
        <f aca="false">E1569*Capacite_evg*IF(F1547&lt;=4,$Z$17,$Z$19)*(1-IF(F1547&lt;=Deduc_trim,Deduc_ares,0))</f>
        <v>508645.49280901</v>
      </c>
      <c r="G1579" s="73" t="n">
        <f aca="false">F1569*Capacite_evg*IF(G1547&lt;=4,$Z$17,$Z$19)*(1-IF(G1547&lt;=Deduc_trim,Deduc_ares,0))</f>
        <v>428625.907058669</v>
      </c>
      <c r="H1579" s="73" t="n">
        <f aca="false">G1569*Capacite_evg*IF(H1547&lt;=4,$Z$17,$Z$19)*(1-IF(H1547&lt;=Deduc_trim,Deduc_ares,0))</f>
        <v>388163.763482444</v>
      </c>
      <c r="I1579" s="73" t="n">
        <f aca="false">H1569*Capacite_evg*IF(I1547&lt;=4,$Z$17,$Z$19)*(1-IF(I1547&lt;=Deduc_trim,Deduc_ares,0))</f>
        <v>371608.578969918</v>
      </c>
      <c r="J1579" s="73" t="n">
        <f aca="false">I1569*Capacite_evg*IF(J1547&lt;=4,$Z$17,$Z$19)*(1-IF(J1547&lt;=Deduc_trim,Deduc_ares,0))</f>
        <v>355759.473076851</v>
      </c>
      <c r="K1579" s="73" t="n">
        <f aca="false">J1569*Capacite_evg*IF(K1547&lt;=4,$Z$17,$Z$19)*(1-IF(K1547&lt;=Deduc_trim,Deduc_ares,0))</f>
        <v>340586.331550123</v>
      </c>
      <c r="L1579" s="73" t="n">
        <f aca="false">K1569*Capacite_evg*IF(L1547&lt;=4,$Z$17,$Z$19)*(1-IF(L1547&lt;=Deduc_trim,Deduc_ares,0))</f>
        <v>326060.32450951</v>
      </c>
      <c r="M1579" s="73" t="n">
        <f aca="false">L1569*Capacite_evg*IF(M1547&lt;=4,$Z$17,$Z$19)*(1-IF(M1547&lt;=Deduc_trim,Deduc_ares,0))</f>
        <v>312153.85166918</v>
      </c>
      <c r="N1579" s="73" t="n">
        <f aca="false">M1569*Capacite_evg*IF(N1547&lt;=4,$Z$17,$Z$19)*(1-IF(N1547&lt;=Deduc_trim,Deduc_ares,0))</f>
        <v>298840.489895489</v>
      </c>
      <c r="O1579" s="73" t="n">
        <f aca="false">N1569*Capacite_evg*IF(O1547&lt;=4,$Z$17,$Z$19)*(1-IF(O1547&lt;=Deduc_trim,Deduc_ares,0))</f>
        <v>286094.943001447</v>
      </c>
    </row>
    <row r="1580" customFormat="false" ht="15" hidden="false" customHeight="false" outlineLevel="0" collapsed="false">
      <c r="B1580" s="65" t="s">
        <v>1049</v>
      </c>
      <c r="C1580" s="25"/>
      <c r="D1580" s="73" t="n">
        <f aca="false">C1594</f>
        <v>7500000</v>
      </c>
      <c r="E1580" s="73" t="n">
        <f aca="false">D1594</f>
        <v>2239375</v>
      </c>
      <c r="F1580" s="73" t="n">
        <f aca="false">E1594</f>
        <v>0</v>
      </c>
      <c r="G1580" s="73" t="n">
        <f aca="false">F1594</f>
        <v>0</v>
      </c>
      <c r="H1580" s="73" t="n">
        <f aca="false">G1594</f>
        <v>0</v>
      </c>
      <c r="I1580" s="73" t="n">
        <f aca="false">H1594</f>
        <v>230050.136820495</v>
      </c>
      <c r="J1580" s="73" t="n">
        <f aca="false">I1594</f>
        <v>1428202.36433672</v>
      </c>
      <c r="K1580" s="73" t="n">
        <f aca="false">J1594</f>
        <v>1588688.35957613</v>
      </c>
      <c r="L1580" s="73" t="n">
        <f aca="false">K1594</f>
        <v>2734342.01440922</v>
      </c>
      <c r="M1580" s="73" t="n">
        <f aca="false">L1594</f>
        <v>2830355.82687607</v>
      </c>
      <c r="N1580" s="73" t="n">
        <f aca="false">M1594</f>
        <v>3927754.15507482</v>
      </c>
      <c r="O1580" s="73" t="n">
        <f aca="false">N1594</f>
        <v>3963994.08092422</v>
      </c>
    </row>
    <row r="1581" customFormat="false" ht="15" hidden="false" customHeight="false" outlineLevel="0" collapsed="false">
      <c r="B1581" s="65" t="s">
        <v>1050</v>
      </c>
      <c r="C1581" s="25"/>
      <c r="D1581" s="73" t="n">
        <f aca="false">D1580*Taux_treso/4</f>
        <v>46875</v>
      </c>
      <c r="E1581" s="73" t="n">
        <f aca="false">E1580*Taux_treso/4</f>
        <v>13996.09375</v>
      </c>
      <c r="F1581" s="73" t="n">
        <f aca="false">F1580*Taux_treso/4</f>
        <v>0</v>
      </c>
      <c r="G1581" s="73" t="n">
        <f aca="false">G1580*Taux_treso/4</f>
        <v>0</v>
      </c>
      <c r="H1581" s="73" t="n">
        <f aca="false">H1580*Taux_treso/4</f>
        <v>0</v>
      </c>
      <c r="I1581" s="73" t="n">
        <f aca="false">I1580*Taux_treso/4</f>
        <v>1437.81335512809</v>
      </c>
      <c r="J1581" s="73" t="n">
        <f aca="false">J1580*Taux_treso/4</f>
        <v>8926.26477710453</v>
      </c>
      <c r="K1581" s="73" t="n">
        <f aca="false">K1580*Taux_treso/4</f>
        <v>9929.30224735079</v>
      </c>
      <c r="L1581" s="73" t="n">
        <f aca="false">L1580*Taux_treso/4</f>
        <v>17089.6375900576</v>
      </c>
      <c r="M1581" s="73" t="n">
        <f aca="false">M1580*Taux_treso/4</f>
        <v>17689.7239179754</v>
      </c>
      <c r="N1581" s="73" t="n">
        <f aca="false">N1580*Taux_treso/4</f>
        <v>24548.4634692176</v>
      </c>
      <c r="O1581" s="73" t="n">
        <f aca="false">O1580*Taux_treso/4</f>
        <v>24774.9630057764</v>
      </c>
    </row>
    <row r="1582" customFormat="false" ht="15" hidden="false" customHeight="false" outlineLevel="0" collapsed="false">
      <c r="B1582" s="65" t="s">
        <v>1051</v>
      </c>
      <c r="C1582" s="25"/>
      <c r="D1582" s="73" t="n">
        <f aca="false">SUM(D1570:D1573)</f>
        <v>498125</v>
      </c>
      <c r="E1582" s="73" t="n">
        <f aca="false">SUM(E1570:E1573)</f>
        <v>581643.96875</v>
      </c>
      <c r="F1582" s="73" t="n">
        <f aca="false">SUM(F1570:F1573)</f>
        <v>640322.906316257</v>
      </c>
      <c r="G1582" s="73" t="n">
        <f aca="false">SUM(G1570:G1573)</f>
        <v>652458.17578357</v>
      </c>
      <c r="H1582" s="73" t="n">
        <f aca="false">SUM(H1570:H1573)</f>
        <v>676088.469557693</v>
      </c>
      <c r="I1582" s="73" t="n">
        <f aca="false">SUM(I1570:I1573)</f>
        <v>674148.648895087</v>
      </c>
      <c r="J1582" s="73" t="n">
        <f aca="false">SUM(J1570:J1573)</f>
        <v>672444.330618495</v>
      </c>
      <c r="K1582" s="73" t="n">
        <f aca="false">SUM(K1570:K1573)</f>
        <v>670967.098209938</v>
      </c>
      <c r="L1582" s="73" t="n">
        <f aca="false">SUM(L1570:L1573)</f>
        <v>669708.888540816</v>
      </c>
      <c r="M1582" s="73" t="n">
        <f aca="false">SUM(M1570:M1573)</f>
        <v>668661.977270767</v>
      </c>
      <c r="N1582" s="73" t="n">
        <f aca="false">SUM(N1570:N1573)</f>
        <v>667818.96485767</v>
      </c>
      <c r="O1582" s="73" t="n">
        <f aca="false">SUM(O1570:O1573)</f>
        <v>667172.763153072</v>
      </c>
    </row>
    <row r="1583" customFormat="false" ht="15" hidden="false" customHeight="false" outlineLevel="0" collapsed="false">
      <c r="B1583" s="65" t="s">
        <v>1052</v>
      </c>
      <c r="C1583" s="25"/>
      <c r="D1583" s="73" t="n">
        <f aca="false">IF(AND(Distrib_tension=1,OR(D1555&gt;0.000001,C1597&lt;Liq_min,C1561=1)),0,MIN(Dist_porteurs/4*Part_d*D1552,D1582))</f>
        <v>125000</v>
      </c>
      <c r="E1583" s="73" t="n">
        <f aca="false">IF(AND(Distrib_tension=1,OR(E1555&gt;0.000001,D1597&lt;Liq_min,D1561=1)),0,MIN(Dist_porteurs/4*Part_d*E1552,E1582))</f>
        <v>0</v>
      </c>
      <c r="F1583" s="73" t="n">
        <f aca="false">IF(AND(Distrib_tension=1,OR(F1555&gt;0.000001,E1597&lt;Liq_min,E1561=1)),0,MIN(Dist_porteurs/4*Part_d*F1552,F1582))</f>
        <v>0</v>
      </c>
      <c r="G1583" s="73" t="n">
        <f aca="false">IF(AND(Distrib_tension=1,OR(G1555&gt;0.000001,F1597&lt;Liq_min,F1561=1)),0,MIN(Dist_porteurs/4*Part_d*G1552,G1582))</f>
        <v>0</v>
      </c>
      <c r="H1583" s="73" t="n">
        <f aca="false">IF(AND(Distrib_tension=1,OR(H1555&gt;0.000001,G1597&lt;Liq_min,G1561=1)),0,MIN(Dist_porteurs/4*Part_d*H1552,H1582))</f>
        <v>0</v>
      </c>
      <c r="I1583" s="73" t="n">
        <f aca="false">IF(AND(Distrib_tension=1,OR(I1555&gt;0.000001,H1597&lt;Liq_min,H1561=1)),0,MIN(Dist_porteurs/4*Part_d*I1552,I1582))</f>
        <v>0</v>
      </c>
      <c r="J1583" s="73" t="n">
        <f aca="false">IF(AND(Distrib_tension=1,OR(J1555&gt;0.000001,I1597&lt;Liq_min,I1561=1)),0,MIN(Dist_porteurs/4*Part_d*J1552,J1582))</f>
        <v>0</v>
      </c>
      <c r="K1583" s="73" t="n">
        <f aca="false">IF(AND(Distrib_tension=1,OR(K1555&gt;0.000001,J1597&lt;Liq_min,J1561=1)),0,MIN(Dist_porteurs/4*Part_d*K1552,K1582))</f>
        <v>0</v>
      </c>
      <c r="L1583" s="73" t="n">
        <f aca="false">IF(AND(Distrib_tension=1,OR(L1555&gt;0.000001,K1597&lt;Liq_min,K1561=1)),0,MIN(Dist_porteurs/4*Part_d*L1552,L1582))</f>
        <v>0</v>
      </c>
      <c r="M1583" s="73" t="n">
        <f aca="false">IF(AND(Distrib_tension=1,OR(M1555&gt;0.000001,L1597&lt;Liq_min,L1561=1)),0,MIN(Dist_porteurs/4*Part_d*M1552,M1582))</f>
        <v>0</v>
      </c>
      <c r="N1583" s="73" t="n">
        <f aca="false">IF(AND(Distrib_tension=1,OR(N1555&gt;0.000001,M1597&lt;Liq_min,M1561=1)),0,MIN(Dist_porteurs/4*Part_d*N1552,N1582))</f>
        <v>0</v>
      </c>
      <c r="O1583" s="73" t="n">
        <f aca="false">IF(AND(Distrib_tension=1,OR(O1555&gt;0.000001,N1597&lt;Liq_min,N1561=1)),0,MIN(Dist_porteurs/4*Part_d*O1552,O1582))</f>
        <v>0</v>
      </c>
    </row>
    <row r="1584" customFormat="false" ht="15" hidden="false" customHeight="false" outlineLevel="0" collapsed="false">
      <c r="B1584" s="65" t="s">
        <v>1053</v>
      </c>
      <c r="C1584" s="25"/>
      <c r="D1584" s="73" t="n">
        <f aca="false">D1576+D1577</f>
        <v>5625000</v>
      </c>
      <c r="E1584" s="73" t="n">
        <f aca="false">E1576+E1577</f>
        <v>5625000</v>
      </c>
      <c r="F1584" s="73" t="n">
        <f aca="false">F1576+F1577</f>
        <v>5625000</v>
      </c>
      <c r="G1584" s="73" t="n">
        <f aca="false">G1576+G1577</f>
        <v>5625000</v>
      </c>
      <c r="H1584" s="73" t="n">
        <f aca="false">H1576+H1577</f>
        <v>0</v>
      </c>
      <c r="I1584" s="73" t="n">
        <f aca="false">I1576+I1577</f>
        <v>0</v>
      </c>
      <c r="J1584" s="73" t="n">
        <f aca="false">J1576+J1577</f>
        <v>0</v>
      </c>
      <c r="K1584" s="73" t="n">
        <f aca="false">K1576+K1577</f>
        <v>0</v>
      </c>
      <c r="L1584" s="73" t="n">
        <f aca="false">L1576+L1577</f>
        <v>0</v>
      </c>
      <c r="M1584" s="73" t="n">
        <f aca="false">M1576+M1577</f>
        <v>0</v>
      </c>
      <c r="N1584" s="73" t="n">
        <f aca="false">N1576+N1577</f>
        <v>0</v>
      </c>
      <c r="O1584" s="73" t="n">
        <f aca="false">O1576+O1577</f>
        <v>0</v>
      </c>
    </row>
    <row r="1585" customFormat="false" ht="15" hidden="false" customHeight="false" outlineLevel="0" collapsed="false">
      <c r="B1585" s="65" t="s">
        <v>1054</v>
      </c>
      <c r="C1585" s="25"/>
      <c r="D1585" s="73" t="n">
        <f aca="false">D1552*Frais_an/4</f>
        <v>250000</v>
      </c>
      <c r="E1585" s="73" t="n">
        <f aca="false">E1552*Frais_an/4</f>
        <v>248003.21875</v>
      </c>
      <c r="F1585" s="73" t="n">
        <f aca="false">F1552*Frais_an/4</f>
        <v>250978.962142795</v>
      </c>
      <c r="G1585" s="73" t="n">
        <f aca="false">G1552*Frais_an/4</f>
        <v>247347.861142242</v>
      </c>
      <c r="H1585" s="73" t="n">
        <f aca="false">H1552*Frais_an/4</f>
        <v>249167.083928756</v>
      </c>
      <c r="I1585" s="73" t="n">
        <f aca="false">I1552*Frais_an/4</f>
        <v>248543.244920115</v>
      </c>
      <c r="J1585" s="73" t="n">
        <f aca="false">J1552*Frais_an/4</f>
        <v>252873.845847833</v>
      </c>
      <c r="K1585" s="73" t="n">
        <f aca="false">K1552*Frais_an/4</f>
        <v>252126.034207148</v>
      </c>
      <c r="L1585" s="73" t="n">
        <f aca="false">L1552*Frais_an/4</f>
        <v>256410.128479566</v>
      </c>
      <c r="M1585" s="73" t="n">
        <f aca="false">M1552*Frais_an/4</f>
        <v>255548.393698947</v>
      </c>
      <c r="N1585" s="73" t="n">
        <f aca="false">N1552*Frais_an/4</f>
        <v>259792.401591062</v>
      </c>
      <c r="O1585" s="73" t="n">
        <f aca="false">O1552*Frais_an/4</f>
        <v>258826.029012392</v>
      </c>
    </row>
    <row r="1586" customFormat="false" ht="15" hidden="false" customHeight="false" outlineLevel="0" collapsed="false">
      <c r="B1586" s="65" t="s">
        <v>1055</v>
      </c>
      <c r="C1586" s="25"/>
      <c r="D1586" s="73" t="n">
        <f aca="false">C1595*Taux_emprunt/4</f>
        <v>0</v>
      </c>
      <c r="E1586" s="73" t="n">
        <f aca="false">D1595*Taux_emprunt/4</f>
        <v>0</v>
      </c>
      <c r="F1586" s="73" t="n">
        <f aca="false">E1595*Taux_emprunt/4</f>
        <v>0</v>
      </c>
      <c r="G1586" s="73" t="n">
        <f aca="false">F1595*Taux_emprunt/4</f>
        <v>0</v>
      </c>
      <c r="H1586" s="73" t="n">
        <f aca="false">G1595*Taux_emprunt/4</f>
        <v>0</v>
      </c>
      <c r="I1586" s="73" t="n">
        <f aca="false">H1595*Taux_emprunt/4</f>
        <v>0</v>
      </c>
      <c r="J1586" s="73" t="n">
        <f aca="false">I1595*Taux_emprunt/4</f>
        <v>0</v>
      </c>
      <c r="K1586" s="73" t="n">
        <f aca="false">J1595*Taux_emprunt/4</f>
        <v>0</v>
      </c>
      <c r="L1586" s="73" t="n">
        <f aca="false">K1595*Taux_emprunt/4</f>
        <v>0</v>
      </c>
      <c r="M1586" s="73" t="n">
        <f aca="false">L1595*Taux_emprunt/4</f>
        <v>0</v>
      </c>
      <c r="N1586" s="73" t="n">
        <f aca="false">M1595*Taux_emprunt/4</f>
        <v>0</v>
      </c>
      <c r="O1586" s="73" t="n">
        <f aca="false">N1595*Taux_emprunt/4</f>
        <v>0</v>
      </c>
    </row>
    <row r="1587" customFormat="false" ht="15" hidden="false" customHeight="false" outlineLevel="0" collapsed="false">
      <c r="B1587" s="65" t="s">
        <v>1056</v>
      </c>
      <c r="C1587" s="25"/>
      <c r="D1587" s="73" t="n">
        <f aca="false">D1580+D1581+D1582-D1583+D1553-D1584-D1585-D1586</f>
        <v>2045000</v>
      </c>
      <c r="E1587" s="73" t="n">
        <f aca="false">E1580+E1581+E1582-E1583+E1553-E1584-E1585-E1586</f>
        <v>-3037988.15625</v>
      </c>
      <c r="F1587" s="73" t="n">
        <f aca="false">F1580+F1581+F1582-F1583+F1553-F1584-F1585-F1586</f>
        <v>-5235656.05582654</v>
      </c>
      <c r="G1587" s="73" t="n">
        <f aca="false">G1580+G1581+G1582-G1583+G1553-G1584-G1585-G1586</f>
        <v>-5219889.68535867</v>
      </c>
      <c r="H1587" s="73" t="n">
        <f aca="false">H1580+H1581+H1582-H1583+H1553-H1584-H1585-H1586</f>
        <v>426921.385628937</v>
      </c>
      <c r="I1587" s="73" t="n">
        <f aca="false">I1580+I1581+I1582-I1583+I1553-I1584-I1585-I1586</f>
        <v>657093.354150595</v>
      </c>
      <c r="J1587" s="73" t="n">
        <f aca="false">J1580+J1581+J1582-J1583+J1553-J1584-J1585-J1586</f>
        <v>1856699.11388449</v>
      </c>
      <c r="K1587" s="73" t="n">
        <f aca="false">K1580+K1581+K1582-K1583+K1553-K1584-K1585-K1586</f>
        <v>2017458.72582627</v>
      </c>
      <c r="L1587" s="73" t="n">
        <f aca="false">L1580+L1581+L1582-L1583+L1553-L1584-L1585-L1586</f>
        <v>3164730.41206053</v>
      </c>
      <c r="M1587" s="73" t="n">
        <f aca="false">M1580+M1581+M1582-M1583+M1553-M1584-M1585-M1586</f>
        <v>3261159.13436586</v>
      </c>
      <c r="N1587" s="73" t="n">
        <f aca="false">N1580+N1581+N1582-N1583+N1553-N1584-N1585-N1586</f>
        <v>4360329.18181065</v>
      </c>
      <c r="O1587" s="73" t="n">
        <f aca="false">O1580+O1581+O1582-O1583+O1553-O1584-O1585-O1586</f>
        <v>4397115.77807068</v>
      </c>
    </row>
    <row r="1588" customFormat="false" ht="15" hidden="false" customHeight="false" outlineLevel="0" collapsed="false">
      <c r="B1588" s="65" t="s">
        <v>1057</v>
      </c>
      <c r="C1588" s="25"/>
      <c r="D1588" s="73" t="n">
        <f aca="false">MIN(D1578+D1579,MAX(0,Liq_cible*D1552-(D1587-D1562)))</f>
        <v>1194375</v>
      </c>
      <c r="E1588" s="73" t="n">
        <f aca="false">MIN(E1578+E1579,MAX(0,Liq_cible*E1552-(E1587-E1562)))</f>
        <v>1151504.59375</v>
      </c>
      <c r="F1588" s="73" t="n">
        <f aca="false">MIN(F1578+F1579,MAX(0,Liq_cible*F1552-(F1587-F1562)))</f>
        <v>1059262.00536874</v>
      </c>
      <c r="G1588" s="73" t="n">
        <f aca="false">MIN(G1578+G1579,MAX(0,Liq_cible*G1552-(G1587-G1562)))</f>
        <v>899874.36876405</v>
      </c>
      <c r="H1588" s="73" t="n">
        <f aca="false">MIN(H1578+H1579,MAX(0,Liq_cible*H1552-(H1587-H1562)))</f>
        <v>799797.086906583</v>
      </c>
      <c r="I1588" s="73" t="n">
        <f aca="false">MIN(I1578+I1579,MAX(0,Liq_cible*I1552-(I1587-I1562)))</f>
        <v>771109.01018613</v>
      </c>
      <c r="J1588" s="73" t="n">
        <f aca="false">MIN(J1578+J1579,MAX(0,Liq_cible*J1552-(J1587-J1562)))</f>
        <v>743484.629082965</v>
      </c>
      <c r="K1588" s="73" t="n">
        <f aca="false">MIN(K1578+K1579,MAX(0,Liq_cible*K1552-(K1587-K1562)))</f>
        <v>716883.288582957</v>
      </c>
      <c r="L1588" s="73" t="n">
        <f aca="false">MIN(L1578+L1579,MAX(0,Liq_cible*L1552-(L1587-L1562)))</f>
        <v>691265.928733802</v>
      </c>
      <c r="M1588" s="73" t="n">
        <f aca="false">MIN(M1578+M1579,MAX(0,Liq_cible*M1552-(M1587-M1562)))</f>
        <v>666595.02070896</v>
      </c>
      <c r="N1588" s="73" t="n">
        <f aca="false">MIN(N1578+N1579,MAX(0,Liq_cible*N1552-(N1587-N1562)))</f>
        <v>642834.505477822</v>
      </c>
      <c r="O1588" s="73" t="n">
        <f aca="false">MIN(O1578+O1579,MAX(0,Liq_cible*O1552-(O1587-O1562)))</f>
        <v>619949.73497449</v>
      </c>
    </row>
    <row r="1589" customFormat="false" ht="15" hidden="false" customHeight="false" outlineLevel="0" collapsed="false">
      <c r="B1589" s="65" t="s">
        <v>1058</v>
      </c>
      <c r="C1589" s="25"/>
      <c r="D1589" s="73" t="n">
        <f aca="false">D1587-D1562+D1588</f>
        <v>2239375</v>
      </c>
      <c r="E1589" s="73" t="n">
        <f aca="false">E1587-E1562+E1588</f>
        <v>-1886483.5625</v>
      </c>
      <c r="F1589" s="73" t="n">
        <f aca="false">F1587-F1562+F1588</f>
        <v>-5180309.89902898</v>
      </c>
      <c r="G1589" s="73" t="n">
        <f aca="false">G1587-G1562+G1588</f>
        <v>-4320015.31659462</v>
      </c>
      <c r="H1589" s="73" t="n">
        <f aca="false">H1587-H1562+H1588</f>
        <v>230050.136820495</v>
      </c>
      <c r="I1589" s="73" t="n">
        <f aca="false">I1587-I1562+I1588</f>
        <v>1428202.36433672</v>
      </c>
      <c r="J1589" s="73" t="n">
        <f aca="false">J1587-J1562+J1588</f>
        <v>1588688.35957613</v>
      </c>
      <c r="K1589" s="73" t="n">
        <f aca="false">K1587-K1562+K1588</f>
        <v>2734342.01440922</v>
      </c>
      <c r="L1589" s="73" t="n">
        <f aca="false">L1587-L1562+L1588</f>
        <v>2830355.82687607</v>
      </c>
      <c r="M1589" s="73" t="n">
        <f aca="false">M1587-M1562+M1588</f>
        <v>3927754.15507482</v>
      </c>
      <c r="N1589" s="73" t="n">
        <f aca="false">N1587-N1562+N1588</f>
        <v>3963994.08092422</v>
      </c>
      <c r="O1589" s="73" t="n">
        <f aca="false">O1587-O1562+O1588</f>
        <v>5017065.51304517</v>
      </c>
    </row>
    <row r="1590" customFormat="false" ht="15" hidden="false" customHeight="false" outlineLevel="0" collapsed="false">
      <c r="B1590" s="65" t="s">
        <v>1059</v>
      </c>
      <c r="C1590" s="25"/>
      <c r="D1590" s="73" t="n">
        <f aca="false">MIN(MAX(0,MIN($Z$20*AN_cible,Emprunt_max*D1552)-C1595),MAX(0,IF($Z$20&gt;0,Poche_min_exec*D1552,0)-D1589))-IF(D1589&gt;Liq_cible*D1552,MIN(C1595,D1589-Liq_cible*D1552),0)</f>
        <v>0</v>
      </c>
      <c r="E1590" s="73" t="n">
        <f aca="false">MIN(MAX(0,MIN($Z$20*AN_cible,Emprunt_max*E1552)-D1595),MAX(0,IF($Z$20&gt;0,Poche_min_exec*E1552,0)-E1589))-IF(E1589&gt;Liq_cible*E1552,MIN(D1595,E1589-Liq_cible*E1552),0)</f>
        <v>0</v>
      </c>
      <c r="F1590" s="73" t="n">
        <f aca="false">MIN(MAX(0,MIN($Z$20*AN_cible,Emprunt_max*F1552)-E1595),MAX(0,IF($Z$20&gt;0,Poche_min_exec*F1552,0)-F1589))-IF(F1589&gt;Liq_cible*F1552,MIN(E1595,F1589-Liq_cible*F1552),0)</f>
        <v>0</v>
      </c>
      <c r="G1590" s="73" t="n">
        <f aca="false">MIN(MAX(0,MIN($Z$20*AN_cible,Emprunt_max*G1552)-F1595),MAX(0,IF($Z$20&gt;0,Poche_min_exec*G1552,0)-G1589))-IF(G1589&gt;Liq_cible*G1552,MIN(F1595,G1589-Liq_cible*G1552),0)</f>
        <v>0</v>
      </c>
      <c r="H1590" s="73" t="n">
        <f aca="false">MIN(MAX(0,MIN($Z$20*AN_cible,Emprunt_max*H1552)-G1595),MAX(0,IF($Z$20&gt;0,Poche_min_exec*H1552,0)-H1589))-IF(H1589&gt;Liq_cible*H1552,MIN(G1595,H1589-Liq_cible*H1552),0)</f>
        <v>0</v>
      </c>
      <c r="I1590" s="73" t="n">
        <f aca="false">MIN(MAX(0,MIN($Z$20*AN_cible,Emprunt_max*I1552)-H1595),MAX(0,IF($Z$20&gt;0,Poche_min_exec*I1552,0)-I1589))-IF(I1589&gt;Liq_cible*I1552,MIN(H1595,I1589-Liq_cible*I1552),0)</f>
        <v>0</v>
      </c>
      <c r="J1590" s="73" t="n">
        <f aca="false">MIN(MAX(0,MIN($Z$20*AN_cible,Emprunt_max*J1552)-I1595),MAX(0,IF($Z$20&gt;0,Poche_min_exec*J1552,0)-J1589))-IF(J1589&gt;Liq_cible*J1552,MIN(I1595,J1589-Liq_cible*J1552),0)</f>
        <v>0</v>
      </c>
      <c r="K1590" s="73" t="n">
        <f aca="false">MIN(MAX(0,MIN($Z$20*AN_cible,Emprunt_max*K1552)-J1595),MAX(0,IF($Z$20&gt;0,Poche_min_exec*K1552,0)-K1589))-IF(K1589&gt;Liq_cible*K1552,MIN(J1595,K1589-Liq_cible*K1552),0)</f>
        <v>0</v>
      </c>
      <c r="L1590" s="73" t="n">
        <f aca="false">MIN(MAX(0,MIN($Z$20*AN_cible,Emprunt_max*L1552)-K1595),MAX(0,IF($Z$20&gt;0,Poche_min_exec*L1552,0)-L1589))-IF(L1589&gt;Liq_cible*L1552,MIN(K1595,L1589-Liq_cible*L1552),0)</f>
        <v>0</v>
      </c>
      <c r="M1590" s="73" t="n">
        <f aca="false">MIN(MAX(0,MIN($Z$20*AN_cible,Emprunt_max*M1552)-L1595),MAX(0,IF($Z$20&gt;0,Poche_min_exec*M1552,0)-M1589))-IF(M1589&gt;Liq_cible*M1552,MIN(L1595,M1589-Liq_cible*M1552),0)</f>
        <v>0</v>
      </c>
      <c r="N1590" s="73" t="n">
        <f aca="false">MIN(MAX(0,MIN($Z$20*AN_cible,Emprunt_max*N1552)-M1595),MAX(0,IF($Z$20&gt;0,Poche_min_exec*N1552,0)-N1589))-IF(N1589&gt;Liq_cible*N1552,MIN(M1595,N1589-Liq_cible*N1552),0)</f>
        <v>0</v>
      </c>
      <c r="O1590" s="73" t="n">
        <f aca="false">MIN(MAX(0,MIN($Z$20*AN_cible,Emprunt_max*O1552)-N1595),MAX(0,IF($Z$20&gt;0,Poche_min_exec*O1552,0)-O1589))-IF(O1589&gt;Liq_cible*O1552,MIN(N1595,O1589-Liq_cible*O1552),0)</f>
        <v>0</v>
      </c>
    </row>
    <row r="1591" customFormat="false" ht="15" hidden="false" customHeight="false" outlineLevel="0" collapsed="false">
      <c r="B1591" s="65" t="s">
        <v>1060</v>
      </c>
      <c r="C1591" s="25"/>
      <c r="D1591" s="73" t="n">
        <f aca="false">MIN((C1566+C1567+C1568+C1569),MAX(0,-(D1589+D1590))/(1-Decote))</f>
        <v>0</v>
      </c>
      <c r="E1591" s="73" t="n">
        <f aca="false">MIN((D1566+D1567+D1568+D1569),MAX(0,-(E1589+E1590))/(1-Decote))</f>
        <v>2096092.84722222</v>
      </c>
      <c r="F1591" s="73" t="n">
        <f aca="false">MIN((E1566+E1567+E1568+E1569),MAX(0,-(F1589+F1590))/(1-Decote))</f>
        <v>5755899.88780998</v>
      </c>
      <c r="G1591" s="73" t="n">
        <f aca="false">MIN((F1566+F1567+F1568+F1569),MAX(0,-(G1589+G1590))/(1-Decote))</f>
        <v>4800017.01843847</v>
      </c>
      <c r="H1591" s="73" t="n">
        <f aca="false">MIN((G1566+G1567+G1568+G1569),MAX(0,-(H1589+H1590))/(1-Decote))</f>
        <v>0</v>
      </c>
      <c r="I1591" s="73" t="n">
        <f aca="false">MIN((H1566+H1567+H1568+H1569),MAX(0,-(I1589+I1590))/(1-Decote))</f>
        <v>0</v>
      </c>
      <c r="J1591" s="73" t="n">
        <f aca="false">MIN((I1566+I1567+I1568+I1569),MAX(0,-(J1589+J1590))/(1-Decote))</f>
        <v>0</v>
      </c>
      <c r="K1591" s="73" t="n">
        <f aca="false">MIN((J1566+J1567+J1568+J1569),MAX(0,-(K1589+K1590))/(1-Decote))</f>
        <v>0</v>
      </c>
      <c r="L1591" s="73" t="n">
        <f aca="false">MIN((K1566+K1567+K1568+K1569),MAX(0,-(L1589+L1590))/(1-Decote))</f>
        <v>0</v>
      </c>
      <c r="M1591" s="73" t="n">
        <f aca="false">MIN((L1566+L1567+L1568+L1569),MAX(0,-(M1589+M1590))/(1-Decote))</f>
        <v>0</v>
      </c>
      <c r="N1591" s="73" t="n">
        <f aca="false">MIN((M1566+M1567+M1568+M1569),MAX(0,-(N1589+N1590))/(1-Decote))</f>
        <v>0</v>
      </c>
      <c r="O1591" s="73" t="n">
        <f aca="false">MIN((N1566+N1567+N1568+N1569),MAX(0,-(O1589+O1590))/(1-Decote))</f>
        <v>0</v>
      </c>
    </row>
    <row r="1592" customFormat="false" ht="15" hidden="false" customHeight="false" outlineLevel="0" collapsed="false">
      <c r="B1592" s="65" t="s">
        <v>1061</v>
      </c>
      <c r="C1592" s="25"/>
      <c r="D1592" s="73" t="n">
        <f aca="false">D1591*Decote</f>
        <v>0</v>
      </c>
      <c r="E1592" s="73" t="n">
        <f aca="false">E1591*Decote</f>
        <v>209609.284722222</v>
      </c>
      <c r="F1592" s="73" t="n">
        <f aca="false">F1591*Decote</f>
        <v>575589.988780998</v>
      </c>
      <c r="G1592" s="73" t="n">
        <f aca="false">G1591*Decote</f>
        <v>480001.701843847</v>
      </c>
      <c r="H1592" s="73" t="n">
        <f aca="false">H1591*Decote</f>
        <v>0</v>
      </c>
      <c r="I1592" s="73" t="n">
        <f aca="false">I1591*Decote</f>
        <v>0</v>
      </c>
      <c r="J1592" s="73" t="n">
        <f aca="false">J1591*Decote</f>
        <v>0</v>
      </c>
      <c r="K1592" s="73" t="n">
        <f aca="false">K1591*Decote</f>
        <v>0</v>
      </c>
      <c r="L1592" s="73" t="n">
        <f aca="false">L1591*Decote</f>
        <v>0</v>
      </c>
      <c r="M1592" s="73" t="n">
        <f aca="false">M1591*Decote</f>
        <v>0</v>
      </c>
      <c r="N1592" s="73" t="n">
        <f aca="false">N1591*Decote</f>
        <v>0</v>
      </c>
      <c r="O1592" s="73" t="n">
        <f aca="false">O1591*Decote</f>
        <v>0</v>
      </c>
    </row>
    <row r="1593" customFormat="false" ht="15" hidden="false" customHeight="false" outlineLevel="0" collapsed="false">
      <c r="B1593" s="65" t="s">
        <v>1062</v>
      </c>
      <c r="C1593" s="25"/>
      <c r="D1593" s="73" t="n">
        <f aca="false">IF(AND(D1563&lt;0.000001,C1595+D1590&lt;0.000001),MAX(0,D1589+D1590-Seuil_reinv*D1552),0)</f>
        <v>0</v>
      </c>
      <c r="E1593" s="73" t="n">
        <f aca="false">IF(AND(E1563&lt;0.000001,D1595+E1590&lt;0.000001),MAX(0,E1589+E1590-Seuil_reinv*E1552),0)</f>
        <v>0</v>
      </c>
      <c r="F1593" s="73" t="n">
        <f aca="false">IF(AND(F1563&lt;0.000001,E1595+F1590&lt;0.000001),MAX(0,F1589+F1590-Seuil_reinv*F1552),0)</f>
        <v>0</v>
      </c>
      <c r="G1593" s="73" t="n">
        <f aca="false">IF(AND(G1563&lt;0.000001,F1595+G1590&lt;0.000001),MAX(0,G1589+G1590-Seuil_reinv*G1552),0)</f>
        <v>0</v>
      </c>
      <c r="H1593" s="73" t="n">
        <f aca="false">IF(AND(H1563&lt;0.000001,G1595+H1590&lt;0.000001),MAX(0,H1589+H1590-Seuil_reinv*H1552),0)</f>
        <v>0</v>
      </c>
      <c r="I1593" s="73" t="n">
        <f aca="false">IF(AND(I1563&lt;0.000001,H1595+I1590&lt;0.000001),MAX(0,I1589+I1590-Seuil_reinv*I1552),0)</f>
        <v>0</v>
      </c>
      <c r="J1593" s="73" t="n">
        <f aca="false">IF(AND(J1563&lt;0.000001,I1595+J1590&lt;0.000001),MAX(0,J1589+J1590-Seuil_reinv*J1552),0)</f>
        <v>0</v>
      </c>
      <c r="K1593" s="73" t="n">
        <f aca="false">IF(AND(K1563&lt;0.000001,J1595+K1590&lt;0.000001),MAX(0,K1589+K1590-Seuil_reinv*K1552),0)</f>
        <v>0</v>
      </c>
      <c r="L1593" s="73" t="n">
        <f aca="false">IF(AND(L1563&lt;0.000001,K1595+L1590&lt;0.000001),MAX(0,L1589+L1590-Seuil_reinv*L1552),0)</f>
        <v>0</v>
      </c>
      <c r="M1593" s="73" t="n">
        <f aca="false">IF(AND(M1563&lt;0.000001,L1595+M1590&lt;0.000001),MAX(0,M1589+M1590-Seuil_reinv*M1552),0)</f>
        <v>0</v>
      </c>
      <c r="N1593" s="73" t="n">
        <f aca="false">IF(AND(N1563&lt;0.000001,M1595+N1590&lt;0.000001),MAX(0,N1589+N1590-Seuil_reinv*N1552),0)</f>
        <v>0</v>
      </c>
      <c r="O1593" s="73" t="n">
        <f aca="false">IF(AND(O1563&lt;0.000001,N1595+O1590&lt;0.000001),MAX(0,O1589+O1590-Seuil_reinv*O1552),0)</f>
        <v>0</v>
      </c>
    </row>
    <row r="1594" customFormat="false" ht="15" hidden="false" customHeight="false" outlineLevel="0" collapsed="false">
      <c r="B1594" s="65" t="s">
        <v>1063</v>
      </c>
      <c r="C1594" s="73" t="n">
        <f aca="false">AN_cible*Ws_LIQ</f>
        <v>7500000</v>
      </c>
      <c r="D1594" s="73" t="n">
        <f aca="false">D1589+D1590+D1591-D1592-D1593</f>
        <v>2239375</v>
      </c>
      <c r="E1594" s="73" t="n">
        <f aca="false">E1589+E1590+E1591-E1592-E1593</f>
        <v>0</v>
      </c>
      <c r="F1594" s="73" t="n">
        <f aca="false">F1589+F1590+F1591-F1592-F1593</f>
        <v>0</v>
      </c>
      <c r="G1594" s="73" t="n">
        <f aca="false">G1589+G1590+G1591-G1592-G1593</f>
        <v>0</v>
      </c>
      <c r="H1594" s="73" t="n">
        <f aca="false">H1589+H1590+H1591-H1592-H1593</f>
        <v>230050.136820495</v>
      </c>
      <c r="I1594" s="73" t="n">
        <f aca="false">I1589+I1590+I1591-I1592-I1593</f>
        <v>1428202.36433672</v>
      </c>
      <c r="J1594" s="73" t="n">
        <f aca="false">J1589+J1590+J1591-J1592-J1593</f>
        <v>1588688.35957613</v>
      </c>
      <c r="K1594" s="73" t="n">
        <f aca="false">K1589+K1590+K1591-K1592-K1593</f>
        <v>2734342.01440922</v>
      </c>
      <c r="L1594" s="73" t="n">
        <f aca="false">L1589+L1590+L1591-L1592-L1593</f>
        <v>2830355.82687607</v>
      </c>
      <c r="M1594" s="73" t="n">
        <f aca="false">M1589+M1590+M1591-M1592-M1593</f>
        <v>3927754.15507482</v>
      </c>
      <c r="N1594" s="73" t="n">
        <f aca="false">N1589+N1590+N1591-N1592-N1593</f>
        <v>3963994.08092422</v>
      </c>
      <c r="O1594" s="73" t="n">
        <f aca="false">O1589+O1590+O1591-O1592-O1593</f>
        <v>5017065.51304517</v>
      </c>
    </row>
    <row r="1595" customFormat="false" ht="15" hidden="false" customHeight="false" outlineLevel="0" collapsed="false">
      <c r="B1595" s="65" t="s">
        <v>1064</v>
      </c>
      <c r="C1595" s="73" t="n">
        <v>0</v>
      </c>
      <c r="D1595" s="73" t="n">
        <f aca="false">C1595+D1590</f>
        <v>0</v>
      </c>
      <c r="E1595" s="73" t="n">
        <f aca="false">D1595+E1590</f>
        <v>0</v>
      </c>
      <c r="F1595" s="73" t="n">
        <f aca="false">E1595+F1590</f>
        <v>0</v>
      </c>
      <c r="G1595" s="73" t="n">
        <f aca="false">F1595+G1590</f>
        <v>0</v>
      </c>
      <c r="H1595" s="73" t="n">
        <f aca="false">G1595+H1590</f>
        <v>0</v>
      </c>
      <c r="I1595" s="73" t="n">
        <f aca="false">H1595+I1590</f>
        <v>0</v>
      </c>
      <c r="J1595" s="73" t="n">
        <f aca="false">I1595+J1590</f>
        <v>0</v>
      </c>
      <c r="K1595" s="73" t="n">
        <f aca="false">J1595+K1590</f>
        <v>0</v>
      </c>
      <c r="L1595" s="73" t="n">
        <f aca="false">K1595+L1590</f>
        <v>0</v>
      </c>
      <c r="M1595" s="73" t="n">
        <f aca="false">L1595+M1590</f>
        <v>0</v>
      </c>
      <c r="N1595" s="73" t="n">
        <f aca="false">M1595+N1590</f>
        <v>0</v>
      </c>
      <c r="O1595" s="73" t="n">
        <f aca="false">N1595+O1590</f>
        <v>0</v>
      </c>
    </row>
    <row r="1596" customFormat="false" ht="15" hidden="false" customHeight="false" outlineLevel="0" collapsed="false">
      <c r="B1596" s="74" t="s">
        <v>1065</v>
      </c>
      <c r="C1596" s="73" t="n">
        <f aca="false">C1566+C1567+C1568+C1569+C1594-C1595</f>
        <v>50000000</v>
      </c>
      <c r="D1596" s="73" t="n">
        <f aca="false">D1566+D1567+D1568+D1569+D1594-D1595</f>
        <v>49600643.75</v>
      </c>
      <c r="E1596" s="73" t="n">
        <f aca="false">E1566+E1567+E1568+E1569+E1594-E1595</f>
        <v>50195792.428559</v>
      </c>
      <c r="F1596" s="73" t="n">
        <f aca="false">F1566+F1567+F1568+F1569+F1594-F1595</f>
        <v>49469572.2284484</v>
      </c>
      <c r="G1596" s="73" t="n">
        <f aca="false">G1566+G1567+G1568+G1569+G1594-G1595</f>
        <v>49833416.7857512</v>
      </c>
      <c r="H1596" s="73" t="n">
        <f aca="false">H1566+H1567+H1568+H1569+H1594-H1595</f>
        <v>49708648.984023</v>
      </c>
      <c r="I1596" s="73" t="n">
        <f aca="false">I1566+I1567+I1568+I1569+I1594-I1595</f>
        <v>50574769.1695665</v>
      </c>
      <c r="J1596" s="73" t="n">
        <f aca="false">J1566+J1567+J1568+J1569+J1594-J1595</f>
        <v>50425206.8414297</v>
      </c>
      <c r="K1596" s="73" t="n">
        <f aca="false">K1566+K1567+K1568+K1569+K1594-K1595</f>
        <v>51282025.6959133</v>
      </c>
      <c r="L1596" s="73" t="n">
        <f aca="false">L1566+L1567+L1568+L1569+L1594-L1595</f>
        <v>51109678.7397895</v>
      </c>
      <c r="M1596" s="73" t="n">
        <f aca="false">M1566+M1567+M1568+M1569+M1594-M1595</f>
        <v>51958480.3182123</v>
      </c>
      <c r="N1596" s="73" t="n">
        <f aca="false">N1566+N1567+N1568+N1569+N1594-N1595</f>
        <v>51765205.8024784</v>
      </c>
      <c r="O1596" s="73" t="n">
        <f aca="false">O1566+O1567+O1568+O1569+O1594-O1595</f>
        <v>52607190.5648223</v>
      </c>
    </row>
    <row r="1597" customFormat="false" ht="15" hidden="false" customHeight="false" outlineLevel="0" collapsed="false">
      <c r="B1597" s="65" t="s">
        <v>1066</v>
      </c>
      <c r="C1597" s="72" t="n">
        <f aca="false">IF((C1596+C1595)&gt;0,C1594/(C1596+C1595),0)</f>
        <v>0.15</v>
      </c>
      <c r="D1597" s="72" t="n">
        <f aca="false">IF((D1596+D1595)&gt;0,D1594/(D1596+D1595),0)</f>
        <v>0.0451481035465392</v>
      </c>
      <c r="E1597" s="72" t="n">
        <f aca="false">IF((E1596+E1595)&gt;0,E1594/(E1596+E1595),0)</f>
        <v>0</v>
      </c>
      <c r="F1597" s="72" t="n">
        <f aca="false">IF((F1596+F1595)&gt;0,F1594/(F1596+F1595),0)</f>
        <v>0</v>
      </c>
      <c r="G1597" s="72" t="n">
        <f aca="false">IF((G1596+G1595)&gt;0,G1594/(G1596+G1595),0)</f>
        <v>0</v>
      </c>
      <c r="H1597" s="72" t="n">
        <f aca="false">IF((H1596+H1595)&gt;0,H1594/(H1596+H1595),0)</f>
        <v>0.00462797001170633</v>
      </c>
      <c r="I1597" s="72" t="n">
        <f aca="false">IF((I1596+I1595)&gt;0,I1594/(I1596+I1595),0)</f>
        <v>0.0282394242779095</v>
      </c>
      <c r="J1597" s="72" t="n">
        <f aca="false">IF((J1596+J1595)&gt;0,J1594/(J1596+J1595),0)</f>
        <v>0.031505837240728</v>
      </c>
      <c r="K1597" s="72" t="n">
        <f aca="false">IF((K1596+K1595)&gt;0,K1594/(K1596+K1595),0)</f>
        <v>0.0533196958837593</v>
      </c>
      <c r="L1597" s="72" t="n">
        <f aca="false">IF((L1596+L1595)&gt;0,L1594/(L1596+L1595),0)</f>
        <v>0.0553780789992053</v>
      </c>
      <c r="M1597" s="72" t="n">
        <f aca="false">IF((M1596+M1595)&gt;0,M1594/(M1596+M1595),0)</f>
        <v>0.0755940922640511</v>
      </c>
      <c r="N1597" s="72" t="n">
        <f aca="false">IF((N1596+N1595)&gt;0,N1594/(N1596+N1595),0)</f>
        <v>0.0765764188410594</v>
      </c>
      <c r="O1597" s="72" t="n">
        <f aca="false">IF((O1596+O1595)&gt;0,O1594/(O1596+O1595),0)</f>
        <v>0.0953684365041918</v>
      </c>
    </row>
    <row r="1598" customFormat="false" ht="15" hidden="false" customHeight="false" outlineLevel="0" collapsed="false">
      <c r="B1598" s="65" t="s">
        <v>1067</v>
      </c>
      <c r="C1598" s="72" t="n">
        <f aca="false">0</f>
        <v>0</v>
      </c>
      <c r="D1598" s="72" t="n">
        <f aca="false">IF(D1596&gt;0,D1563/D1596,0)</f>
        <v>0</v>
      </c>
      <c r="E1598" s="72" t="n">
        <f aca="false">IF(E1596&gt;0,E1563/E1596,0)</f>
        <v>0</v>
      </c>
      <c r="F1598" s="72" t="n">
        <f aca="false">IF(F1596&gt;0,F1563/F1596,0)</f>
        <v>0</v>
      </c>
      <c r="G1598" s="72" t="n">
        <f aca="false">IF(G1596&gt;0,G1563/G1596,0)</f>
        <v>0</v>
      </c>
      <c r="H1598" s="72" t="n">
        <f aca="false">IF(H1596&gt;0,H1563/H1596,0)</f>
        <v>0</v>
      </c>
      <c r="I1598" s="72" t="n">
        <f aca="false">IF(I1596&gt;0,I1563/I1596,0)</f>
        <v>0</v>
      </c>
      <c r="J1598" s="72" t="n">
        <f aca="false">IF(J1596&gt;0,J1563/J1596,0)</f>
        <v>0</v>
      </c>
      <c r="K1598" s="72" t="n">
        <f aca="false">IF(K1596&gt;0,K1563/K1596,0)</f>
        <v>0</v>
      </c>
      <c r="L1598" s="72" t="n">
        <f aca="false">IF(L1596&gt;0,L1563/L1596,0)</f>
        <v>0</v>
      </c>
      <c r="M1598" s="72" t="n">
        <f aca="false">IF(M1596&gt;0,M1563/M1596,0)</f>
        <v>0</v>
      </c>
      <c r="N1598" s="72" t="n">
        <f aca="false">IF(N1596&gt;0,N1563/N1596,0)</f>
        <v>0</v>
      </c>
      <c r="O1598" s="72" t="n">
        <f aca="false">IF(O1596&gt;0,O1563/O1596,0)</f>
        <v>0</v>
      </c>
    </row>
    <row r="1599" customFormat="false" ht="15" hidden="false" customHeight="false" outlineLevel="0" collapsed="false">
      <c r="B1599" s="65" t="s">
        <v>1068</v>
      </c>
      <c r="C1599" s="75" t="n">
        <f aca="false">IF((C1563+SUM(D1554:G1554)+SUM(D1584:G1584)+SUM(D1585:G1585)+SUM(D1583:G1583))&lt;=0,9.99,MIN(9.99,(C1594+SUM(D1582:G1582)+SUM(D1578:G1579)+MAX(0,MIN($Z$20*AN_cible,Emprunt_max*C1596)-C1595))/(C1563+SUM(D1554:G1554)+SUM(D1584:G1584)+SUM(D1585:G1585)+SUM(D1583:G1583))))</f>
        <v>0.55326556003624</v>
      </c>
      <c r="D1599" s="73" t="n">
        <f aca="false">IF((D1563+SUM(E1554:H1554)+SUM(E1584:H1584)+SUM(E1585:H1585)+SUM(E1583:H1583))&lt;=0,9.99,MIN(9.99,(D1594+SUM(E1582:H1582)+SUM(E1578:H1579)+MAX(0,MIN($Z$20*AN_cible,Emprunt_max*D1596)-D1595))/(D1563+SUM(E1554:H1554)+SUM(E1584:H1584)+SUM(E1585:H1585)+SUM(E1583:H1583))))</f>
        <v>0.437838607741444</v>
      </c>
      <c r="E1599" s="73" t="n">
        <f aca="false">IF((E1563+SUM(F1554:I1554)+SUM(F1584:I1584)+SUM(F1585:I1585)+SUM(F1583:I1583))&lt;=0,9.99,MIN(9.99,(E1594+SUM(F1582:I1582)+SUM(F1578:I1579)+MAX(0,MIN($Z$20*AN_cible,Emprunt_max*E1596)-E1595))/(E1563+SUM(F1554:I1554)+SUM(F1584:I1584)+SUM(F1585:I1585)+SUM(F1583:I1583))))</f>
        <v>0.433299975201648</v>
      </c>
      <c r="F1599" s="73" t="n">
        <f aca="false">IF((F1563+SUM(G1554:J1554)+SUM(G1584:J1584)+SUM(G1585:J1585)+SUM(G1583:J1583))&lt;=0,9.99,MIN(9.99,(F1594+SUM(G1582:J1582)+SUM(G1578:J1579)+MAX(0,MIN($Z$20*AN_cible,Emprunt_max*F1596)-F1595))/(F1563+SUM(G1554:J1554)+SUM(G1584:J1584)+SUM(G1585:J1585)+SUM(G1583:J1583))))</f>
        <v>0.682347280925502</v>
      </c>
      <c r="G1599" s="73" t="n">
        <f aca="false">IF((G1563+SUM(H1554:K1554)+SUM(H1584:K1584)+SUM(H1585:K1585)+SUM(H1583:K1583))&lt;=0,9.99,MIN(9.99,(G1594+SUM(H1582:K1582)+SUM(H1578:K1579)+MAX(0,MIN($Z$20*AN_cible,Emprunt_max*G1596)-G1595))/(G1563+SUM(H1554:K1554)+SUM(H1584:K1584)+SUM(H1585:K1585)+SUM(H1583:K1583))))</f>
        <v>1.90141556867619</v>
      </c>
      <c r="H1599" s="73" t="n">
        <f aca="false">IF((H1563+SUM(I1554:L1554)+SUM(I1584:L1584)+SUM(I1585:L1585)+SUM(I1583:L1583))&lt;=0,9.99,MIN(9.99,(H1594+SUM(I1582:L1582)+SUM(I1578:L1579)+MAX(0,MIN($Z$20*AN_cible,Emprunt_max*H1596)-H1595))/(H1563+SUM(I1554:L1554)+SUM(I1584:L1584)+SUM(I1585:L1585)+SUM(I1583:L1583))))</f>
        <v>1.91660357499087</v>
      </c>
      <c r="I1599" s="73" t="n">
        <f aca="false">IF((I1563+SUM(J1554:M1554)+SUM(J1584:M1584)+SUM(J1585:M1585)+SUM(J1583:M1583))&lt;=0,9.99,MIN(9.99,(I1594+SUM(J1582:M1582)+SUM(J1578:M1579)+MAX(0,MIN($Z$20*AN_cible,Emprunt_max*I1596)-I1595))/(I1563+SUM(J1554:M1554)+SUM(J1584:M1584)+SUM(J1585:M1585)+SUM(J1583:M1583))))</f>
        <v>2.26850019893686</v>
      </c>
      <c r="J1599" s="73" t="n">
        <f aca="false">IF((J1563+SUM(K1554:N1554)+SUM(K1584:N1584)+SUM(K1585:N1585)+SUM(K1583:N1583))&lt;=0,9.99,MIN(9.99,(J1594+SUM(K1582:N1582)+SUM(K1578:N1579)+MAX(0,MIN($Z$20*AN_cible,Emprunt_max*J1596)-J1595))/(J1563+SUM(K1554:N1554)+SUM(K1584:N1584)+SUM(K1585:N1585)+SUM(K1583:N1583))))</f>
        <v>2.26096844873475</v>
      </c>
      <c r="K1599" s="73" t="n">
        <f aca="false">IF((K1563+SUM(L1554:O1554)+SUM(L1584:O1584)+SUM(L1585:O1585)+SUM(L1583:O1583))&lt;=0,9.99,MIN(9.99,(K1594+SUM(L1582:O1582)+SUM(L1578:O1579)+MAX(0,MIN($Z$20*AN_cible,Emprunt_max*K1596)-K1595))/(K1563+SUM(L1554:O1554)+SUM(L1584:O1584)+SUM(L1585:O1585)+SUM(L1583:O1583))))</f>
        <v>2.59364971443731</v>
      </c>
      <c r="L1599" s="73" t="n">
        <f aca="false">IF((L1563+SUM(M1554:O1554)+SUM(M1584:O1584)+SUM(M1585:O1585)+SUM(M1583:O1583))&lt;=0,9.99,MIN(9.99,(L1594+SUM(M1582:O1582)+SUM(M1578:O1579)+MAX(0,MIN($Z$20*AN_cible,Emprunt_max*L1596)-L1595))/(L1563+SUM(M1554:O1554)+SUM(M1584:O1584)+SUM(M1585:O1585)+SUM(M1583:O1583))))</f>
        <v>3.72980362548189</v>
      </c>
      <c r="M1599" s="73" t="n">
        <f aca="false">IF((M1563+SUM(N1554:O1554)+SUM(N1584:O1584)+SUM(N1585:O1585)+SUM(N1583:O1583))&lt;=0,9.99,MIN(9.99,(M1594+SUM(N1582:O1582)+SUM(N1578:O1579)+MAX(0,MIN($Z$20*AN_cible,Emprunt_max*M1596)-M1595))/(M1563+SUM(N1554:O1554)+SUM(N1584:O1584)+SUM(N1585:O1585)+SUM(N1583:O1583))))</f>
        <v>4.18897177836857</v>
      </c>
      <c r="N1599" s="73" t="n">
        <f aca="false">IF((N1563+SUM(O1554:O1554)+SUM(O1584:O1584)+SUM(O1585:O1585)+SUM(O1583:O1583))&lt;=0,9.99,MIN(9.99,(N1594+SUM(O1582:O1582)+SUM(O1578:O1579)+MAX(0,MIN($Z$20*AN_cible,Emprunt_max*N1596)-N1595))/(N1563+SUM(O1554:O1554)+SUM(O1584:O1584)+SUM(O1585:O1585)+SUM(O1583:O1583))))</f>
        <v>9.99</v>
      </c>
      <c r="O1599" s="73" t="n">
        <f aca="false">9.99</f>
        <v>9.99</v>
      </c>
    </row>
    <row r="1600" customFormat="false" ht="15" hidden="false" customHeight="false" outlineLevel="0" collapsed="false">
      <c r="B1600" s="65" t="s">
        <v>1069</v>
      </c>
      <c r="C1600" s="72" t="n">
        <f aca="false">(C1566+C1567+C1568+C1569+C1574+C1575)/C1596</f>
        <v>1.3</v>
      </c>
      <c r="D1600" s="72" t="n">
        <f aca="false">(D1566+D1567+D1568+D1569+D1574+D1575)/D1596</f>
        <v>1.29506925502353</v>
      </c>
      <c r="E1600" s="72" t="n">
        <f aca="false">(E1566+E1567+E1568+E1569+E1574+E1575)/E1596</f>
        <v>1.22412237073479</v>
      </c>
      <c r="F1600" s="72" t="n">
        <f aca="false">(F1566+F1567+F1568+F1569+F1574+F1575)/F1596</f>
        <v>1.11370625915308</v>
      </c>
      <c r="G1600" s="72" t="n">
        <f aca="false">(G1566+G1567+G1568+G1569+G1574+G1575)/G1596</f>
        <v>1</v>
      </c>
      <c r="H1600" s="72" t="n">
        <f aca="false">(H1566+H1567+H1568+H1569+H1574+H1575)/H1596</f>
        <v>0.995372029988294</v>
      </c>
      <c r="I1600" s="72" t="n">
        <f aca="false">(I1566+I1567+I1568+I1569+I1574+I1575)/I1596</f>
        <v>0.971760575722091</v>
      </c>
      <c r="J1600" s="72" t="n">
        <f aca="false">(J1566+J1567+J1568+J1569+J1574+J1575)/J1596</f>
        <v>0.968494162759272</v>
      </c>
      <c r="K1600" s="72" t="n">
        <f aca="false">(K1566+K1567+K1568+K1569+K1574+K1575)/K1596</f>
        <v>0.946680304116241</v>
      </c>
      <c r="L1600" s="72" t="n">
        <f aca="false">(L1566+L1567+L1568+L1569+L1574+L1575)/L1596</f>
        <v>0.944621921000795</v>
      </c>
      <c r="M1600" s="72" t="n">
        <f aca="false">(M1566+M1567+M1568+M1569+M1574+M1575)/M1596</f>
        <v>0.924405907735949</v>
      </c>
      <c r="N1600" s="72" t="n">
        <f aca="false">(N1566+N1567+N1568+N1569+N1574+N1575)/N1596</f>
        <v>0.923423581158941</v>
      </c>
      <c r="O1600" s="72" t="n">
        <f aca="false">(O1566+O1567+O1568+O1569+O1574+O1575)/O1596</f>
        <v>0.904631563495808</v>
      </c>
    </row>
    <row r="1601" customFormat="false" ht="15" hidden="false" customHeight="false" outlineLevel="0" collapsed="false">
      <c r="B1601" s="65" t="s">
        <v>849</v>
      </c>
      <c r="C1601" s="72" t="n">
        <f aca="false">(C1596+C1595)/C1596</f>
        <v>1</v>
      </c>
      <c r="D1601" s="72" t="n">
        <f aca="false">(D1596+D1595)/D1596</f>
        <v>1</v>
      </c>
      <c r="E1601" s="72" t="n">
        <f aca="false">(E1596+E1595)/E1596</f>
        <v>1</v>
      </c>
      <c r="F1601" s="72" t="n">
        <f aca="false">(F1596+F1595)/F1596</f>
        <v>1</v>
      </c>
      <c r="G1601" s="72" t="n">
        <f aca="false">(G1596+G1595)/G1596</f>
        <v>1</v>
      </c>
      <c r="H1601" s="72" t="n">
        <f aca="false">(H1596+H1595)/H1596</f>
        <v>1</v>
      </c>
      <c r="I1601" s="72" t="n">
        <f aca="false">(I1596+I1595)/I1596</f>
        <v>1</v>
      </c>
      <c r="J1601" s="72" t="n">
        <f aca="false">(J1596+J1595)/J1596</f>
        <v>1</v>
      </c>
      <c r="K1601" s="72" t="n">
        <f aca="false">(K1596+K1595)/K1596</f>
        <v>1</v>
      </c>
      <c r="L1601" s="72" t="n">
        <f aca="false">(L1596+L1595)/L1596</f>
        <v>1</v>
      </c>
      <c r="M1601" s="72" t="n">
        <f aca="false">(M1596+M1595)/M1596</f>
        <v>1</v>
      </c>
      <c r="N1601" s="72" t="n">
        <f aca="false">(N1596+N1595)/N1596</f>
        <v>1</v>
      </c>
      <c r="O1601" s="72" t="n">
        <f aca="false">(O1596+O1595)/O1596</f>
        <v>1</v>
      </c>
    </row>
    <row r="1602" customFormat="false" ht="15" hidden="false" customHeight="false" outlineLevel="0" collapsed="false">
      <c r="B1602" s="65" t="s">
        <v>1070</v>
      </c>
      <c r="C1602" s="72" t="n">
        <f aca="false">(C1566+C1567*MSIG_USD)/C1596</f>
        <v>0.25</v>
      </c>
      <c r="D1602" s="72" t="n">
        <f aca="false">(D1566+D1567*MSIG_USD)/D1596</f>
        <v>0.32200312924366</v>
      </c>
      <c r="E1602" s="72" t="n">
        <f aca="false">(E1566+E1567*MSIG_USD)/E1596</f>
        <v>0.373797881871111</v>
      </c>
      <c r="F1602" s="72" t="n">
        <f aca="false">(F1566+F1567*MSIG_USD)/F1596</f>
        <v>0.406946767382789</v>
      </c>
      <c r="G1602" s="72" t="n">
        <f aca="false">(G1566+G1567*MSIG_USD)/G1596</f>
        <v>0.435624289797384</v>
      </c>
      <c r="H1602" s="72" t="n">
        <f aca="false">(H1566+H1567*MSIG_USD)/H1596</f>
        <v>0.440091343037632</v>
      </c>
      <c r="I1602" s="72" t="n">
        <f aca="false">(I1566+I1567*MSIG_USD)/I1596</f>
        <v>0.435896025380007</v>
      </c>
      <c r="J1602" s="72" t="n">
        <f aca="false">(J1566+J1567*MSIG_USD)/J1596</f>
        <v>0.440566187335081</v>
      </c>
      <c r="K1602" s="72" t="n">
        <f aca="false">(K1566+K1567*MSIG_USD)/K1596</f>
        <v>0.436551728360767</v>
      </c>
      <c r="L1602" s="72" t="n">
        <f aca="false">(L1566+L1567*MSIG_USD)/L1596</f>
        <v>0.441407558560495</v>
      </c>
      <c r="M1602" s="72" t="n">
        <f aca="false">(M1566+M1567*MSIG_USD)/M1596</f>
        <v>0.437550827229891</v>
      </c>
      <c r="N1602" s="72" t="n">
        <f aca="false">(N1566+N1567*MSIG_USD)/N1596</f>
        <v>0.442577200595063</v>
      </c>
      <c r="O1602" s="72" t="n">
        <f aca="false">(O1566+O1567*MSIG_USD)/O1596</f>
        <v>0.438857885127964</v>
      </c>
    </row>
    <row r="1603" customFormat="false" ht="15" hidden="false" customHeight="false" outlineLevel="0" collapsed="false">
      <c r="B1603" s="65" t="s">
        <v>1071</v>
      </c>
      <c r="C1603" s="25"/>
      <c r="D1603" s="65" t="n">
        <f aca="false">IF(AND($Z$9&lt;0.5*Collecte_norm,IF(D1547&lt;=$Z$11,0,$Z$10)&lt;0.5,IF(D1547&lt;=4,$Z$17,($Z$18+$Z$19)/2)&lt;0.7),1,0)</f>
        <v>0</v>
      </c>
      <c r="E1603" s="65" t="n">
        <f aca="false">IF(AND($Z$9&lt;0.5*Collecte_norm,IF(E1547&lt;=$Z$11,0,$Z$10)&lt;0.5,IF(E1547&lt;=4,$Z$17,($Z$18+$Z$19)/2)&lt;0.7),1,0)</f>
        <v>0</v>
      </c>
      <c r="F1603" s="65" t="n">
        <f aca="false">IF(AND($Z$9&lt;0.5*Collecte_norm,IF(F1547&lt;=$Z$11,0,$Z$10)&lt;0.5,IF(F1547&lt;=4,$Z$17,($Z$18+$Z$19)/2)&lt;0.7),1,0)</f>
        <v>0</v>
      </c>
      <c r="G1603" s="65" t="n">
        <f aca="false">IF(AND($Z$9&lt;0.5*Collecte_norm,IF(G1547&lt;=$Z$11,0,$Z$10)&lt;0.5,IF(G1547&lt;=4,$Z$17,($Z$18+$Z$19)/2)&lt;0.7),1,0)</f>
        <v>0</v>
      </c>
      <c r="H1603" s="65" t="n">
        <f aca="false">IF(AND($Z$9&lt;0.5*Collecte_norm,IF(H1547&lt;=$Z$11,0,$Z$10)&lt;0.5,IF(H1547&lt;=4,$Z$17,($Z$18+$Z$19)/2)&lt;0.7),1,0)</f>
        <v>0</v>
      </c>
      <c r="I1603" s="65" t="n">
        <f aca="false">IF(AND($Z$9&lt;0.5*Collecte_norm,IF(I1547&lt;=$Z$11,0,$Z$10)&lt;0.5,IF(I1547&lt;=4,$Z$17,($Z$18+$Z$19)/2)&lt;0.7),1,0)</f>
        <v>0</v>
      </c>
      <c r="J1603" s="65" t="n">
        <f aca="false">IF(AND($Z$9&lt;0.5*Collecte_norm,IF(J1547&lt;=$Z$11,0,$Z$10)&lt;0.5,IF(J1547&lt;=4,$Z$17,($Z$18+$Z$19)/2)&lt;0.7),1,0)</f>
        <v>0</v>
      </c>
      <c r="K1603" s="65" t="n">
        <f aca="false">IF(AND($Z$9&lt;0.5*Collecte_norm,IF(K1547&lt;=$Z$11,0,$Z$10)&lt;0.5,IF(K1547&lt;=4,$Z$17,($Z$18+$Z$19)/2)&lt;0.7),1,0)</f>
        <v>0</v>
      </c>
      <c r="L1603" s="65" t="n">
        <f aca="false">IF(AND($Z$9&lt;0.5*Collecte_norm,IF(L1547&lt;=$Z$11,0,$Z$10)&lt;0.5,IF(L1547&lt;=4,$Z$17,($Z$18+$Z$19)/2)&lt;0.7),1,0)</f>
        <v>0</v>
      </c>
      <c r="M1603" s="65" t="n">
        <f aca="false">IF(AND($Z$9&lt;0.5*Collecte_norm,IF(M1547&lt;=$Z$11,0,$Z$10)&lt;0.5,IF(M1547&lt;=4,$Z$17,($Z$18+$Z$19)/2)&lt;0.7),1,0)</f>
        <v>0</v>
      </c>
      <c r="N1603" s="65" t="n">
        <f aca="false">IF(AND($Z$9&lt;0.5*Collecte_norm,IF(N1547&lt;=$Z$11,0,$Z$10)&lt;0.5,IF(N1547&lt;=4,$Z$17,($Z$18+$Z$19)/2)&lt;0.7),1,0)</f>
        <v>0</v>
      </c>
      <c r="O1603" s="65" t="n">
        <f aca="false">IF(AND($Z$9&lt;0.5*Collecte_norm,IF(O1547&lt;=$Z$11,0,$Z$10)&lt;0.5,IF(O1547&lt;=4,$Z$17,($Z$18+$Z$19)/2)&lt;0.7),1,0)</f>
        <v>0</v>
      </c>
    </row>
    <row r="1604" customFormat="false" ht="15" hidden="false" customHeight="false" outlineLevel="0" collapsed="false">
      <c r="B1604" s="76" t="s">
        <v>1072</v>
      </c>
      <c r="C1604" s="76" t="n">
        <v>99</v>
      </c>
      <c r="D1604" s="76" t="n">
        <f aca="false">IF(D1564=1,D1550,99)</f>
        <v>99</v>
      </c>
      <c r="E1604" s="76" t="n">
        <f aca="false">IF(E1564=1,E1550,99)</f>
        <v>99</v>
      </c>
      <c r="F1604" s="76" t="n">
        <f aca="false">IF(F1564=1,F1550,99)</f>
        <v>99</v>
      </c>
      <c r="G1604" s="76" t="n">
        <f aca="false">IF(G1564=1,G1550,99)</f>
        <v>99</v>
      </c>
      <c r="H1604" s="76" t="n">
        <f aca="false">IF(H1564=1,H1550,99)</f>
        <v>99</v>
      </c>
      <c r="I1604" s="76" t="n">
        <f aca="false">IF(I1564=1,I1550,99)</f>
        <v>99</v>
      </c>
      <c r="J1604" s="76" t="n">
        <f aca="false">IF(J1564=1,J1550,99)</f>
        <v>99</v>
      </c>
      <c r="K1604" s="76" t="n">
        <f aca="false">IF(K1564=1,K1550,99)</f>
        <v>99</v>
      </c>
      <c r="L1604" s="76" t="n">
        <f aca="false">IF(L1564=1,L1550,99)</f>
        <v>99</v>
      </c>
      <c r="M1604" s="76" t="n">
        <f aca="false">IF(M1564=1,M1550,99)</f>
        <v>99</v>
      </c>
      <c r="N1604" s="76" t="n">
        <f aca="false">IF(N1564=1,N1550,99)</f>
        <v>99</v>
      </c>
      <c r="O1604" s="76" t="n">
        <f aca="false">IF(O1564=1,O1550,99)</f>
        <v>99</v>
      </c>
    </row>
    <row r="1605" customFormat="false" ht="15" hidden="false" customHeight="false" outlineLevel="0" collapsed="false">
      <c r="B1605" s="76" t="s">
        <v>1073</v>
      </c>
      <c r="C1605" s="76" t="n">
        <v>99</v>
      </c>
      <c r="D1605" s="76" t="n">
        <f aca="false">IF(AND(D1549=1,D1550&gt;MIN($D1604:$O1604),D1563&lt;=0.000001),D1550,99)</f>
        <v>99</v>
      </c>
      <c r="E1605" s="76" t="n">
        <f aca="false">IF(AND(E1549=1,E1550&gt;MIN($D1604:$O1604),E1563&lt;=0.000001),E1550,99)</f>
        <v>99</v>
      </c>
      <c r="F1605" s="76" t="n">
        <f aca="false">IF(AND(F1549=1,F1550&gt;MIN($D1604:$O1604),F1563&lt;=0.000001),F1550,99)</f>
        <v>99</v>
      </c>
      <c r="G1605" s="76" t="n">
        <f aca="false">IF(AND(G1549=1,G1550&gt;MIN($D1604:$O1604),G1563&lt;=0.000001),G1550,99)</f>
        <v>99</v>
      </c>
      <c r="H1605" s="76" t="n">
        <f aca="false">IF(AND(H1549=1,H1550&gt;MIN($D1604:$O1604),H1563&lt;=0.000001),H1550,99)</f>
        <v>99</v>
      </c>
      <c r="I1605" s="76" t="n">
        <f aca="false">IF(AND(I1549=1,I1550&gt;MIN($D1604:$O1604),I1563&lt;=0.000001),I1550,99)</f>
        <v>99</v>
      </c>
      <c r="J1605" s="76" t="n">
        <f aca="false">IF(AND(J1549=1,J1550&gt;MIN($D1604:$O1604),J1563&lt;=0.000001),J1550,99)</f>
        <v>99</v>
      </c>
      <c r="K1605" s="76" t="n">
        <f aca="false">IF(AND(K1549=1,K1550&gt;MIN($D1604:$O1604),K1563&lt;=0.000001),K1550,99)</f>
        <v>99</v>
      </c>
      <c r="L1605" s="76" t="n">
        <f aca="false">IF(AND(L1549=1,L1550&gt;MIN($D1604:$O1604),L1563&lt;=0.000001),L1550,99)</f>
        <v>99</v>
      </c>
      <c r="M1605" s="76" t="n">
        <f aca="false">IF(AND(M1549=1,M1550&gt;MIN($D1604:$O1604),M1563&lt;=0.000001),M1550,99)</f>
        <v>99</v>
      </c>
      <c r="N1605" s="76" t="n">
        <f aca="false">IF(AND(N1549=1,N1550&gt;MIN($D1604:$O1604),N1563&lt;=0.000001),N1550,99)</f>
        <v>99</v>
      </c>
      <c r="O1605" s="76" t="n">
        <f aca="false">IF(AND(O1549=1,O1550&gt;MIN($D1604:$O1604),O1563&lt;=0.000001),O1550,99)</f>
        <v>99</v>
      </c>
    </row>
    <row r="1606" customFormat="false" ht="15" hidden="false" customHeight="false" outlineLevel="0" collapsed="false">
      <c r="B1606" s="76" t="s">
        <v>1074</v>
      </c>
      <c r="C1606" s="76" t="n">
        <v>9999999</v>
      </c>
      <c r="D1606" s="76" t="n">
        <f aca="false">IF(D1561=1,D1548,9999999)</f>
        <v>9999999</v>
      </c>
      <c r="E1606" s="76" t="n">
        <f aca="false">IF(E1561=1,E1548,9999999)</f>
        <v>9999999</v>
      </c>
      <c r="F1606" s="76" t="n">
        <f aca="false">IF(F1561=1,F1548,9999999)</f>
        <v>9999999</v>
      </c>
      <c r="G1606" s="76" t="n">
        <f aca="false">IF(G1561=1,G1548,9999999)</f>
        <v>9999999</v>
      </c>
      <c r="H1606" s="76" t="n">
        <f aca="false">IF(H1561=1,H1548,9999999)</f>
        <v>9999999</v>
      </c>
      <c r="I1606" s="76" t="n">
        <f aca="false">IF(I1561=1,I1548,9999999)</f>
        <v>9999999</v>
      </c>
      <c r="J1606" s="76" t="n">
        <f aca="false">IF(J1561=1,J1548,9999999)</f>
        <v>9999999</v>
      </c>
      <c r="K1606" s="76" t="n">
        <f aca="false">IF(K1561=1,K1548,9999999)</f>
        <v>9999999</v>
      </c>
      <c r="L1606" s="76" t="n">
        <f aca="false">IF(L1561=1,L1548,9999999)</f>
        <v>9999999</v>
      </c>
      <c r="M1606" s="76" t="n">
        <f aca="false">IF(M1561=1,M1548,9999999)</f>
        <v>9999999</v>
      </c>
      <c r="N1606" s="76" t="n">
        <f aca="false">IF(N1561=1,N1548,9999999)</f>
        <v>9999999</v>
      </c>
      <c r="O1606" s="76" t="n">
        <f aca="false">IF(O1561=1,O1548,9999999)</f>
        <v>9999999</v>
      </c>
    </row>
    <row r="1607" customFormat="false" ht="15" hidden="false" customHeight="false" outlineLevel="0" collapsed="false">
      <c r="B1607" s="76" t="s">
        <v>1075</v>
      </c>
      <c r="C1607" s="76" t="n">
        <v>9999999</v>
      </c>
      <c r="D1607" s="76" t="n">
        <f aca="false">IF(D1603=1,D1548,9999999)</f>
        <v>9999999</v>
      </c>
      <c r="E1607" s="76" t="n">
        <f aca="false">IF(E1603=1,E1548,9999999)</f>
        <v>9999999</v>
      </c>
      <c r="F1607" s="76" t="n">
        <f aca="false">IF(F1603=1,F1548,9999999)</f>
        <v>9999999</v>
      </c>
      <c r="G1607" s="76" t="n">
        <f aca="false">IF(G1603=1,G1548,9999999)</f>
        <v>9999999</v>
      </c>
      <c r="H1607" s="76" t="n">
        <f aca="false">IF(H1603=1,H1548,9999999)</f>
        <v>9999999</v>
      </c>
      <c r="I1607" s="76" t="n">
        <f aca="false">IF(I1603=1,I1548,9999999)</f>
        <v>9999999</v>
      </c>
      <c r="J1607" s="76" t="n">
        <f aca="false">IF(J1603=1,J1548,9999999)</f>
        <v>9999999</v>
      </c>
      <c r="K1607" s="76" t="n">
        <f aca="false">IF(K1603=1,K1548,9999999)</f>
        <v>9999999</v>
      </c>
      <c r="L1607" s="76" t="n">
        <f aca="false">IF(L1603=1,L1548,9999999)</f>
        <v>9999999</v>
      </c>
      <c r="M1607" s="76" t="n">
        <f aca="false">IF(M1603=1,M1548,9999999)</f>
        <v>9999999</v>
      </c>
      <c r="N1607" s="76" t="n">
        <f aca="false">IF(N1603=1,N1548,9999999)</f>
        <v>9999999</v>
      </c>
      <c r="O1607" s="76" t="n">
        <f aca="false">IF(O1603=1,O1548,9999999)</f>
        <v>9999999</v>
      </c>
    </row>
    <row r="1612" customFormat="false" ht="15" hidden="false" customHeight="false" outlineLevel="0" collapsed="false">
      <c r="B1612" s="45" t="str">
        <f aca="false">AA$5</f>
        <v>Porteur unique 10 % à une date</v>
      </c>
      <c r="C1612" s="45" t="s">
        <v>55</v>
      </c>
      <c r="D1612" s="45" t="n">
        <v>25</v>
      </c>
      <c r="E1612" s="2"/>
      <c r="F1612" s="2"/>
      <c r="G1612" s="2"/>
      <c r="H1612" s="2"/>
      <c r="I1612" s="2"/>
      <c r="J1612" s="2"/>
      <c r="K1612" s="2"/>
      <c r="L1612" s="2"/>
      <c r="M1612" s="2"/>
      <c r="N1612" s="2"/>
      <c r="O1612" s="2"/>
    </row>
    <row r="1613" customFormat="false" ht="15" hidden="false" customHeight="false" outlineLevel="0" collapsed="false">
      <c r="B1613" s="65" t="s">
        <v>1019</v>
      </c>
      <c r="C1613" s="65" t="n">
        <v>0</v>
      </c>
      <c r="D1613" s="65" t="n">
        <v>1</v>
      </c>
      <c r="E1613" s="65" t="n">
        <v>2</v>
      </c>
      <c r="F1613" s="65" t="n">
        <v>3</v>
      </c>
      <c r="G1613" s="65" t="n">
        <v>4</v>
      </c>
      <c r="H1613" s="65" t="n">
        <v>5</v>
      </c>
      <c r="I1613" s="65" t="n">
        <v>6</v>
      </c>
      <c r="J1613" s="65" t="n">
        <v>7</v>
      </c>
      <c r="K1613" s="65" t="n">
        <v>8</v>
      </c>
      <c r="L1613" s="65" t="n">
        <v>9</v>
      </c>
      <c r="M1613" s="65" t="n">
        <v>10</v>
      </c>
      <c r="N1613" s="65" t="n">
        <v>11</v>
      </c>
      <c r="O1613" s="65" t="n">
        <v>12</v>
      </c>
    </row>
    <row r="1614" customFormat="false" ht="15" hidden="false" customHeight="false" outlineLevel="0" collapsed="false">
      <c r="B1614" s="65" t="s">
        <v>209</v>
      </c>
      <c r="C1614" s="71" t="n">
        <f aca="false">Date_depart</f>
        <v>47026</v>
      </c>
      <c r="D1614" s="71" t="n">
        <f aca="false">EOMONTH(Date_depart,3*D1613)</f>
        <v>47118</v>
      </c>
      <c r="E1614" s="71" t="n">
        <f aca="false">EOMONTH(Date_depart,3*E1613)</f>
        <v>47208</v>
      </c>
      <c r="F1614" s="71" t="n">
        <f aca="false">EOMONTH(Date_depart,3*F1613)</f>
        <v>47299</v>
      </c>
      <c r="G1614" s="71" t="n">
        <f aca="false">EOMONTH(Date_depart,3*G1613)</f>
        <v>47391</v>
      </c>
      <c r="H1614" s="71" t="n">
        <f aca="false">EOMONTH(Date_depart,3*H1613)</f>
        <v>47483</v>
      </c>
      <c r="I1614" s="71" t="n">
        <f aca="false">EOMONTH(Date_depart,3*I1613)</f>
        <v>47573</v>
      </c>
      <c r="J1614" s="71" t="n">
        <f aca="false">EOMONTH(Date_depart,3*J1613)</f>
        <v>47664</v>
      </c>
      <c r="K1614" s="71" t="n">
        <f aca="false">EOMONTH(Date_depart,3*K1613)</f>
        <v>47756</v>
      </c>
      <c r="L1614" s="71" t="n">
        <f aca="false">EOMONTH(Date_depart,3*L1613)</f>
        <v>47848</v>
      </c>
      <c r="M1614" s="71" t="n">
        <f aca="false">EOMONTH(Date_depart,3*M1613)</f>
        <v>47938</v>
      </c>
      <c r="N1614" s="71" t="n">
        <f aca="false">EOMONTH(Date_depart,3*N1613)</f>
        <v>48029</v>
      </c>
      <c r="O1614" s="71" t="n">
        <f aca="false">EOMONTH(Date_depart,3*O1613)</f>
        <v>48121</v>
      </c>
    </row>
    <row r="1615" customFormat="false" ht="15" hidden="false" customHeight="false" outlineLevel="0" collapsed="false">
      <c r="B1615" s="65" t="s">
        <v>1020</v>
      </c>
      <c r="C1615" s="65" t="n">
        <v>0</v>
      </c>
      <c r="D1615" s="65" t="n">
        <f aca="false">IF(OR(MONTH(D1614)=6,MONTH(D1614)=12),1,0)</f>
        <v>1</v>
      </c>
      <c r="E1615" s="65" t="n">
        <f aca="false">IF(OR(MONTH(E1614)=6,MONTH(E1614)=12),1,0)</f>
        <v>0</v>
      </c>
      <c r="F1615" s="65" t="n">
        <f aca="false">IF(OR(MONTH(F1614)=6,MONTH(F1614)=12),1,0)</f>
        <v>1</v>
      </c>
      <c r="G1615" s="65" t="n">
        <f aca="false">IF(OR(MONTH(G1614)=6,MONTH(G1614)=12),1,0)</f>
        <v>0</v>
      </c>
      <c r="H1615" s="65" t="n">
        <f aca="false">IF(OR(MONTH(H1614)=6,MONTH(H1614)=12),1,0)</f>
        <v>1</v>
      </c>
      <c r="I1615" s="65" t="n">
        <f aca="false">IF(OR(MONTH(I1614)=6,MONTH(I1614)=12),1,0)</f>
        <v>0</v>
      </c>
      <c r="J1615" s="65" t="n">
        <f aca="false">IF(OR(MONTH(J1614)=6,MONTH(J1614)=12),1,0)</f>
        <v>1</v>
      </c>
      <c r="K1615" s="65" t="n">
        <f aca="false">IF(OR(MONTH(K1614)=6,MONTH(K1614)=12),1,0)</f>
        <v>0</v>
      </c>
      <c r="L1615" s="65" t="n">
        <f aca="false">IF(OR(MONTH(L1614)=6,MONTH(L1614)=12),1,0)</f>
        <v>1</v>
      </c>
      <c r="M1615" s="65" t="n">
        <f aca="false">IF(OR(MONTH(M1614)=6,MONTH(M1614)=12),1,0)</f>
        <v>0</v>
      </c>
      <c r="N1615" s="65" t="n">
        <f aca="false">IF(OR(MONTH(N1614)=6,MONTH(N1614)=12),1,0)</f>
        <v>1</v>
      </c>
      <c r="O1615" s="65" t="n">
        <f aca="false">IF(OR(MONTH(O1614)=6,MONTH(O1614)=12),1,0)</f>
        <v>0</v>
      </c>
    </row>
    <row r="1616" customFormat="false" ht="15" hidden="false" customHeight="false" outlineLevel="0" collapsed="false">
      <c r="B1616" s="65" t="s">
        <v>1021</v>
      </c>
      <c r="C1616" s="65" t="n">
        <v>0</v>
      </c>
      <c r="D1616" s="65" t="n">
        <f aca="false">C1616+D1615</f>
        <v>1</v>
      </c>
      <c r="E1616" s="65" t="n">
        <f aca="false">D1616+E1615</f>
        <v>1</v>
      </c>
      <c r="F1616" s="65" t="n">
        <f aca="false">E1616+F1615</f>
        <v>2</v>
      </c>
      <c r="G1616" s="65" t="n">
        <f aca="false">F1616+G1615</f>
        <v>2</v>
      </c>
      <c r="H1616" s="65" t="n">
        <f aca="false">G1616+H1615</f>
        <v>3</v>
      </c>
      <c r="I1616" s="65" t="n">
        <f aca="false">H1616+I1615</f>
        <v>3</v>
      </c>
      <c r="J1616" s="65" t="n">
        <f aca="false">I1616+J1615</f>
        <v>4</v>
      </c>
      <c r="K1616" s="65" t="n">
        <f aca="false">J1616+K1615</f>
        <v>4</v>
      </c>
      <c r="L1616" s="65" t="n">
        <f aca="false">K1616+L1615</f>
        <v>5</v>
      </c>
      <c r="M1616" s="65" t="n">
        <f aca="false">L1616+M1615</f>
        <v>5</v>
      </c>
      <c r="N1616" s="65" t="n">
        <f aca="false">M1616+N1615</f>
        <v>6</v>
      </c>
      <c r="O1616" s="65" t="n">
        <f aca="false">N1616+O1615</f>
        <v>6</v>
      </c>
    </row>
    <row r="1617" customFormat="false" ht="15" hidden="false" customHeight="false" outlineLevel="0" collapsed="false">
      <c r="B1617" s="65" t="s">
        <v>1022</v>
      </c>
      <c r="C1617" s="25"/>
      <c r="D1617" s="72" t="n">
        <f aca="false">IF(D1615=1,IF(C1627=1,0,IF(D1616=1,$AA$6,IF(D1616=2,$AA$7,$AA$8))),0)</f>
        <v>0.1</v>
      </c>
      <c r="E1617" s="72" t="n">
        <f aca="false">IF(E1615=1,IF(D1627=1,0,IF(E1616=1,$AA$6,IF(E1616=2,$AA$7,$AA$8))),0)</f>
        <v>0</v>
      </c>
      <c r="F1617" s="72" t="n">
        <f aca="false">IF(F1615=1,IF(E1627=1,0,IF(F1616=1,$AA$6,IF(F1616=2,$AA$7,$AA$8))),0)</f>
        <v>0.02</v>
      </c>
      <c r="G1617" s="72" t="n">
        <f aca="false">IF(G1615=1,IF(F1627=1,0,IF(G1616=1,$AA$6,IF(G1616=2,$AA$7,$AA$8))),0)</f>
        <v>0</v>
      </c>
      <c r="H1617" s="72" t="n">
        <f aca="false">IF(H1615=1,IF(G1627=1,0,IF(H1616=1,$AA$6,IF(H1616=2,$AA$7,$AA$8))),0)</f>
        <v>0.02</v>
      </c>
      <c r="I1617" s="72" t="n">
        <f aca="false">IF(I1615=1,IF(H1627=1,0,IF(I1616=1,$AA$6,IF(I1616=2,$AA$7,$AA$8))),0)</f>
        <v>0</v>
      </c>
      <c r="J1617" s="72" t="n">
        <f aca="false">IF(J1615=1,IF(I1627=1,0,IF(J1616=1,$AA$6,IF(J1616=2,$AA$7,$AA$8))),0)</f>
        <v>0.02</v>
      </c>
      <c r="K1617" s="72" t="n">
        <f aca="false">IF(K1615=1,IF(J1627=1,0,IF(K1616=1,$AA$6,IF(K1616=2,$AA$7,$AA$8))),0)</f>
        <v>0</v>
      </c>
      <c r="L1617" s="72" t="n">
        <f aca="false">IF(L1615=1,IF(K1627=1,0,IF(L1616=1,$AA$6,IF(L1616=2,$AA$7,$AA$8))),0)</f>
        <v>0.02</v>
      </c>
      <c r="M1617" s="72" t="n">
        <f aca="false">IF(M1615=1,IF(L1627=1,0,IF(M1616=1,$AA$6,IF(M1616=2,$AA$7,$AA$8))),0)</f>
        <v>0</v>
      </c>
      <c r="N1617" s="72" t="n">
        <f aca="false">IF(N1615=1,IF(M1627=1,0,IF(N1616=1,$AA$6,IF(N1616=2,$AA$7,$AA$8))),0)</f>
        <v>0.02</v>
      </c>
      <c r="O1617" s="72" t="n">
        <f aca="false">IF(O1615=1,IF(N1627=1,0,IF(O1616=1,$AA$6,IF(O1616=2,$AA$7,$AA$8))),0)</f>
        <v>0</v>
      </c>
    </row>
    <row r="1618" customFormat="false" ht="15" hidden="false" customHeight="false" outlineLevel="0" collapsed="false">
      <c r="B1618" s="65" t="s">
        <v>1023</v>
      </c>
      <c r="C1618" s="25"/>
      <c r="D1618" s="73" t="n">
        <f aca="false">C1662</f>
        <v>50000000</v>
      </c>
      <c r="E1618" s="73" t="n">
        <f aca="false">D1662</f>
        <v>48100643.75</v>
      </c>
      <c r="F1618" s="73" t="n">
        <f aca="false">E1662</f>
        <v>48823151.7132813</v>
      </c>
      <c r="G1618" s="73" t="n">
        <f aca="false">F1662</f>
        <v>47105173.9904901</v>
      </c>
      <c r="H1618" s="73" t="n">
        <f aca="false">G1662</f>
        <v>47826489.4455393</v>
      </c>
      <c r="I1618" s="73" t="n">
        <f aca="false">H1662</f>
        <v>46583378.465109</v>
      </c>
      <c r="J1618" s="73" t="n">
        <f aca="false">I1662</f>
        <v>47330717.6513085</v>
      </c>
      <c r="K1618" s="73" t="n">
        <f aca="false">J1662</f>
        <v>47133062.0972328</v>
      </c>
      <c r="L1618" s="73" t="n">
        <f aca="false">K1662</f>
        <v>47882960.2198069</v>
      </c>
      <c r="M1618" s="73" t="n">
        <f aca="false">L1662</f>
        <v>47677808.8165639</v>
      </c>
      <c r="N1618" s="73" t="n">
        <f aca="false">M1662</f>
        <v>48432203.9566194</v>
      </c>
      <c r="O1618" s="73" t="n">
        <f aca="false">N1662</f>
        <v>48221499.3986351</v>
      </c>
    </row>
    <row r="1619" customFormat="false" ht="15" hidden="false" customHeight="false" outlineLevel="0" collapsed="false">
      <c r="B1619" s="65" t="s">
        <v>177</v>
      </c>
      <c r="C1619" s="25"/>
      <c r="D1619" s="73" t="n">
        <f aca="false">IF(C1627=1,0,$AA$9*D1618)</f>
        <v>0</v>
      </c>
      <c r="E1619" s="73" t="n">
        <f aca="false">IF(D1627=1,0,$AA$9*E1618)</f>
        <v>0</v>
      </c>
      <c r="F1619" s="73" t="n">
        <f aca="false">IF(E1627=1,0,$AA$9*F1618)</f>
        <v>0</v>
      </c>
      <c r="G1619" s="73" t="n">
        <f aca="false">IF(F1627=1,0,$AA$9*G1618)</f>
        <v>0</v>
      </c>
      <c r="H1619" s="73" t="n">
        <f aca="false">IF(G1627=1,0,$AA$9*H1618)</f>
        <v>0</v>
      </c>
      <c r="I1619" s="73" t="n">
        <f aca="false">IF(H1627=1,0,$AA$9*I1618)</f>
        <v>0</v>
      </c>
      <c r="J1619" s="73" t="n">
        <f aca="false">IF(I1627=1,0,$AA$9*J1618)</f>
        <v>0</v>
      </c>
      <c r="K1619" s="73" t="n">
        <f aca="false">IF(J1627=1,0,$AA$9*K1618)</f>
        <v>0</v>
      </c>
      <c r="L1619" s="73" t="n">
        <f aca="false">IF(K1627=1,0,$AA$9*L1618)</f>
        <v>0</v>
      </c>
      <c r="M1619" s="73" t="n">
        <f aca="false">IF(L1627=1,0,$AA$9*M1618)</f>
        <v>0</v>
      </c>
      <c r="N1619" s="73" t="n">
        <f aca="false">IF(M1627=1,0,$AA$9*N1618)</f>
        <v>0</v>
      </c>
      <c r="O1619" s="73" t="n">
        <f aca="false">IF(N1627=1,0,$AA$9*O1618)</f>
        <v>0</v>
      </c>
    </row>
    <row r="1620" customFormat="false" ht="15" hidden="false" customHeight="false" outlineLevel="0" collapsed="false">
      <c r="B1620" s="65" t="s">
        <v>1024</v>
      </c>
      <c r="C1620" s="25"/>
      <c r="D1620" s="73" t="n">
        <f aca="false">D1617*D1618</f>
        <v>5000000</v>
      </c>
      <c r="E1620" s="73" t="n">
        <f aca="false">E1617*E1618</f>
        <v>0</v>
      </c>
      <c r="F1620" s="73" t="n">
        <f aca="false">F1617*F1618</f>
        <v>976463.034265625</v>
      </c>
      <c r="G1620" s="73" t="n">
        <f aca="false">G1617*G1618</f>
        <v>0</v>
      </c>
      <c r="H1620" s="73" t="n">
        <f aca="false">H1617*H1618</f>
        <v>956529.788910786</v>
      </c>
      <c r="I1620" s="73" t="n">
        <f aca="false">I1617*I1618</f>
        <v>0</v>
      </c>
      <c r="J1620" s="73" t="n">
        <f aca="false">J1617*J1618</f>
        <v>946614.35302617</v>
      </c>
      <c r="K1620" s="73" t="n">
        <f aca="false">K1617*K1618</f>
        <v>0</v>
      </c>
      <c r="L1620" s="73" t="n">
        <f aca="false">L1617*L1618</f>
        <v>957659.204396139</v>
      </c>
      <c r="M1620" s="73" t="n">
        <f aca="false">M1617*M1618</f>
        <v>0</v>
      </c>
      <c r="N1620" s="73" t="n">
        <f aca="false">N1617*N1618</f>
        <v>968644.079132388</v>
      </c>
      <c r="O1620" s="73" t="n">
        <f aca="false">O1617*O1618</f>
        <v>0</v>
      </c>
    </row>
    <row r="1621" customFormat="false" ht="15" hidden="false" customHeight="false" outlineLevel="0" collapsed="false">
      <c r="B1621" s="65" t="s">
        <v>1025</v>
      </c>
      <c r="C1621" s="25"/>
      <c r="D1621" s="73" t="n">
        <f aca="false">C1629</f>
        <v>0</v>
      </c>
      <c r="E1621" s="73" t="n">
        <f aca="false">D1629</f>
        <v>2500000</v>
      </c>
      <c r="F1621" s="73" t="n">
        <f aca="false">E1629</f>
        <v>2500000</v>
      </c>
      <c r="G1621" s="73" t="n">
        <f aca="false">F1629</f>
        <v>1035305.44860156</v>
      </c>
      <c r="H1621" s="73" t="n">
        <f aca="false">G1629</f>
        <v>1035305.44860156</v>
      </c>
      <c r="I1621" s="73" t="n">
        <f aca="false">H1629</f>
        <v>0</v>
      </c>
      <c r="J1621" s="73" t="n">
        <f aca="false">I1629</f>
        <v>0</v>
      </c>
      <c r="K1621" s="73" t="n">
        <f aca="false">J1629</f>
        <v>0</v>
      </c>
      <c r="L1621" s="73" t="n">
        <f aca="false">K1629</f>
        <v>0</v>
      </c>
      <c r="M1621" s="73" t="n">
        <f aca="false">L1629</f>
        <v>0</v>
      </c>
      <c r="N1621" s="73" t="n">
        <f aca="false">M1629</f>
        <v>0</v>
      </c>
      <c r="O1621" s="73" t="n">
        <f aca="false">N1629</f>
        <v>0</v>
      </c>
    </row>
    <row r="1622" customFormat="false" ht="15" hidden="false" customHeight="false" outlineLevel="0" collapsed="false">
      <c r="B1622" s="65" t="s">
        <v>1026</v>
      </c>
      <c r="C1622" s="25"/>
      <c r="D1622" s="73" t="n">
        <f aca="false">D1620+D1621</f>
        <v>5000000</v>
      </c>
      <c r="E1622" s="73" t="n">
        <f aca="false">E1620+E1621</f>
        <v>2500000</v>
      </c>
      <c r="F1622" s="73" t="n">
        <f aca="false">F1620+F1621</f>
        <v>3476463.03426563</v>
      </c>
      <c r="G1622" s="73" t="n">
        <f aca="false">G1620+G1621</f>
        <v>1035305.44860156</v>
      </c>
      <c r="H1622" s="73" t="n">
        <f aca="false">H1620+H1621</f>
        <v>1991835.23751235</v>
      </c>
      <c r="I1622" s="73" t="n">
        <f aca="false">I1620+I1621</f>
        <v>0</v>
      </c>
      <c r="J1622" s="73" t="n">
        <f aca="false">J1620+J1621</f>
        <v>946614.35302617</v>
      </c>
      <c r="K1622" s="73" t="n">
        <f aca="false">K1620+K1621</f>
        <v>0</v>
      </c>
      <c r="L1622" s="73" t="n">
        <f aca="false">L1620+L1621</f>
        <v>957659.204396139</v>
      </c>
      <c r="M1622" s="73" t="n">
        <f aca="false">M1620+M1621</f>
        <v>0</v>
      </c>
      <c r="N1622" s="73" t="n">
        <f aca="false">N1620+N1621</f>
        <v>968644.079132388</v>
      </c>
      <c r="O1622" s="73" t="n">
        <f aca="false">O1620+O1621</f>
        <v>0</v>
      </c>
    </row>
    <row r="1623" customFormat="false" ht="15" hidden="false" customHeight="false" outlineLevel="0" collapsed="false">
      <c r="B1623" s="65" t="s">
        <v>1027</v>
      </c>
      <c r="C1623" s="25"/>
      <c r="D1623" s="73" t="n">
        <f aca="false">IF($AA$21=1,Gate*D1618+D1619,D1622)</f>
        <v>2500000</v>
      </c>
      <c r="E1623" s="73" t="n">
        <f aca="false">IF($AA$21=1,Gate*E1618+E1619,E1622)</f>
        <v>2405032.1875</v>
      </c>
      <c r="F1623" s="73" t="n">
        <f aca="false">IF($AA$21=1,Gate*F1618+F1619,F1622)</f>
        <v>2441157.58566406</v>
      </c>
      <c r="G1623" s="73" t="n">
        <f aca="false">IF($AA$21=1,Gate*G1618+G1619,G1622)</f>
        <v>2355258.6995245</v>
      </c>
      <c r="H1623" s="73" t="n">
        <f aca="false">IF($AA$21=1,Gate*H1618+H1619,H1622)</f>
        <v>2391324.47227697</v>
      </c>
      <c r="I1623" s="73" t="n">
        <f aca="false">IF($AA$21=1,Gate*I1618+I1619,I1622)</f>
        <v>2329168.92325545</v>
      </c>
      <c r="J1623" s="73" t="n">
        <f aca="false">IF($AA$21=1,Gate*J1618+J1619,J1622)</f>
        <v>2366535.88256543</v>
      </c>
      <c r="K1623" s="73" t="n">
        <f aca="false">IF($AA$21=1,Gate*K1618+K1619,K1622)</f>
        <v>2356653.10486164</v>
      </c>
      <c r="L1623" s="73" t="n">
        <f aca="false">IF($AA$21=1,Gate*L1618+L1619,L1622)</f>
        <v>2394148.01099035</v>
      </c>
      <c r="M1623" s="73" t="n">
        <f aca="false">IF($AA$21=1,Gate*M1618+M1619,M1622)</f>
        <v>2383890.4408282</v>
      </c>
      <c r="N1623" s="73" t="n">
        <f aca="false">IF($AA$21=1,Gate*N1618+N1619,N1622)</f>
        <v>2421610.19783097</v>
      </c>
      <c r="O1623" s="73" t="n">
        <f aca="false">IF($AA$21=1,Gate*O1618+O1619,O1622)</f>
        <v>2411074.96993175</v>
      </c>
    </row>
    <row r="1624" customFormat="false" ht="15" hidden="false" customHeight="false" outlineLevel="0" collapsed="false">
      <c r="B1624" s="65" t="s">
        <v>1028</v>
      </c>
      <c r="C1624" s="25"/>
      <c r="D1624" s="73" t="n">
        <f aca="false">IF(D1615=1,MIN(D1622,D1623),0)</f>
        <v>2500000</v>
      </c>
      <c r="E1624" s="73" t="n">
        <f aca="false">IF(E1615=1,MIN(E1622,E1623),0)</f>
        <v>0</v>
      </c>
      <c r="F1624" s="73" t="n">
        <f aca="false">IF(F1615=1,MIN(F1622,F1623),0)</f>
        <v>2441157.58566406</v>
      </c>
      <c r="G1624" s="73" t="n">
        <f aca="false">IF(G1615=1,MIN(G1622,G1623),0)</f>
        <v>0</v>
      </c>
      <c r="H1624" s="73" t="n">
        <f aca="false">IF(H1615=1,MIN(H1622,H1623),0)</f>
        <v>1991835.23751235</v>
      </c>
      <c r="I1624" s="73" t="n">
        <f aca="false">IF(I1615=1,MIN(I1622,I1623),0)</f>
        <v>0</v>
      </c>
      <c r="J1624" s="73" t="n">
        <f aca="false">IF(J1615=1,MIN(J1622,J1623),0)</f>
        <v>946614.35302617</v>
      </c>
      <c r="K1624" s="73" t="n">
        <f aca="false">IF(K1615=1,MIN(K1622,K1623),0)</f>
        <v>0</v>
      </c>
      <c r="L1624" s="73" t="n">
        <f aca="false">IF(L1615=1,MIN(L1622,L1623),0)</f>
        <v>957659.204396139</v>
      </c>
      <c r="M1624" s="73" t="n">
        <f aca="false">IF(M1615=1,MIN(M1622,M1623),0)</f>
        <v>0</v>
      </c>
      <c r="N1624" s="73" t="n">
        <f aca="false">IF(N1615=1,MIN(N1622,N1623),0)</f>
        <v>968644.079132388</v>
      </c>
      <c r="O1624" s="73" t="n">
        <f aca="false">IF(O1615=1,MIN(O1622,O1623),0)</f>
        <v>0</v>
      </c>
    </row>
    <row r="1625" customFormat="false" ht="15" hidden="false" customHeight="false" outlineLevel="0" collapsed="false">
      <c r="B1625" s="65" t="s">
        <v>1029</v>
      </c>
      <c r="C1625" s="25"/>
      <c r="D1625" s="73" t="n">
        <f aca="false">MAX(0,D1653+D1644+D1645-Poche_min_exec*D1618-D1624-SUM(E1650:F1650)+MAX(0,MIN($AA$20*AN_cible,Emprunt_max*D1618)-C1661))</f>
        <v>0</v>
      </c>
      <c r="E1625" s="73" t="n">
        <f aca="false">MAX(0,E1653+E1644+E1645-Poche_min_exec*E1618-E1624-SUM(F1650:G1650)+MAX(0,MIN($AA$20*AN_cible,Emprunt_max*E1618)-D1661))</f>
        <v>502827.0625</v>
      </c>
      <c r="F1625" s="73" t="n">
        <f aca="false">MAX(0,F1653+F1644+F1645-Poche_min_exec*F1618-F1624-SUM(G1650:H1650)+MAX(0,MIN($AA$20*AN_cible,Emprunt_max*F1618)-E1661))</f>
        <v>0</v>
      </c>
      <c r="G1625" s="73" t="n">
        <f aca="false">MAX(0,G1653+G1644+G1645-Poche_min_exec*G1618-G1624-SUM(H1650:I1650)+MAX(0,MIN($AA$20*AN_cible,Emprunt_max*G1618)-F1661))</f>
        <v>0</v>
      </c>
      <c r="H1625" s="73" t="n">
        <f aca="false">MAX(0,H1653+H1644+H1645-Poche_min_exec*H1618-H1624-SUM(I1650:J1650)+MAX(0,MIN($AA$20*AN_cible,Emprunt_max*H1618)-G1661))</f>
        <v>0</v>
      </c>
      <c r="I1625" s="73" t="n">
        <f aca="false">MAX(0,I1653+I1644+I1645-Poche_min_exec*I1618-I1624-SUM(J1650:K1650)+MAX(0,MIN($AA$20*AN_cible,Emprunt_max*I1618)-H1661))</f>
        <v>0</v>
      </c>
      <c r="J1625" s="73" t="n">
        <f aca="false">MAX(0,J1653+J1644+J1645-Poche_min_exec*J1618-J1624-SUM(K1650:L1650)+MAX(0,MIN($AA$20*AN_cible,Emprunt_max*J1618)-I1661))</f>
        <v>0</v>
      </c>
      <c r="K1625" s="73" t="n">
        <f aca="false">MAX(0,K1653+K1644+K1645-Poche_min_exec*K1618-K1624-SUM(L1650:M1650)+MAX(0,MIN($AA$20*AN_cible,Emprunt_max*K1618)-J1661))</f>
        <v>0</v>
      </c>
      <c r="L1625" s="73" t="n">
        <f aca="false">MAX(0,L1653+L1644+L1645-Poche_min_exec*L1618-L1624-SUM(M1650:N1650)+MAX(0,MIN($AA$20*AN_cible,Emprunt_max*L1618)-K1661))</f>
        <v>0</v>
      </c>
      <c r="M1625" s="73" t="n">
        <f aca="false">MAX(0,M1653+M1644+M1645-Poche_min_exec*M1618-M1624-SUM(N1650:O1650)+MAX(0,MIN($AA$20*AN_cible,Emprunt_max*M1618)-L1661))</f>
        <v>0</v>
      </c>
      <c r="N1625" s="73" t="n">
        <f aca="false">MAX(0,N1653+N1644+N1645-Poche_min_exec*N1618-N1624-SUM(O1650:O1650)+MAX(0,MIN($AA$20*AN_cible,Emprunt_max*N1618)-M1661))</f>
        <v>0</v>
      </c>
      <c r="O1625" s="73" t="n">
        <f aca="false">MAX(0,O1653+O1644+O1645-Poche_min_exec*O1618-O1624-0+MAX(0,MIN($AA$20*AN_cible,Emprunt_max*O1618)-N1661))</f>
        <v>1082724.10929578</v>
      </c>
    </row>
    <row r="1626" customFormat="false" ht="15" hidden="false" customHeight="false" outlineLevel="0" collapsed="false">
      <c r="B1626" s="65" t="s">
        <v>1030</v>
      </c>
      <c r="C1626" s="25"/>
      <c r="D1626" s="73" t="n">
        <f aca="false">IF(AND(D1615=1,$AA$21=1,$AA$22=1),MIN(D1622-D1624,D1625),0)</f>
        <v>0</v>
      </c>
      <c r="E1626" s="73" t="n">
        <f aca="false">IF(AND(E1615=1,$AA$21=1,$AA$22=1),MIN(E1622-E1624,E1625),0)</f>
        <v>0</v>
      </c>
      <c r="F1626" s="73" t="n">
        <f aca="false">IF(AND(F1615=1,$AA$21=1,$AA$22=1),MIN(F1622-F1624,F1625),0)</f>
        <v>0</v>
      </c>
      <c r="G1626" s="73" t="n">
        <f aca="false">IF(AND(G1615=1,$AA$21=1,$AA$22=1),MIN(G1622-G1624,G1625),0)</f>
        <v>0</v>
      </c>
      <c r="H1626" s="73" t="n">
        <f aca="false">IF(AND(H1615=1,$AA$21=1,$AA$22=1),MIN(H1622-H1624,H1625),0)</f>
        <v>0</v>
      </c>
      <c r="I1626" s="73" t="n">
        <f aca="false">IF(AND(I1615=1,$AA$21=1,$AA$22=1),MIN(I1622-I1624,I1625),0)</f>
        <v>0</v>
      </c>
      <c r="J1626" s="73" t="n">
        <f aca="false">IF(AND(J1615=1,$AA$21=1,$AA$22=1),MIN(J1622-J1624,J1625),0)</f>
        <v>0</v>
      </c>
      <c r="K1626" s="73" t="n">
        <f aca="false">IF(AND(K1615=1,$AA$21=1,$AA$22=1),MIN(K1622-K1624,K1625),0)</f>
        <v>0</v>
      </c>
      <c r="L1626" s="73" t="n">
        <f aca="false">IF(AND(L1615=1,$AA$21=1,$AA$22=1),MIN(L1622-L1624,L1625),0)</f>
        <v>0</v>
      </c>
      <c r="M1626" s="73" t="n">
        <f aca="false">IF(AND(M1615=1,$AA$21=1,$AA$22=1),MIN(M1622-M1624,M1625),0)</f>
        <v>0</v>
      </c>
      <c r="N1626" s="73" t="n">
        <f aca="false">IF(AND(N1615=1,$AA$21=1,$AA$22=1),MIN(N1622-N1624,N1625),0)</f>
        <v>0</v>
      </c>
      <c r="O1626" s="73" t="n">
        <f aca="false">IF(AND(O1615=1,$AA$21=1,$AA$22=1),MIN(O1622-O1624,O1625),0)</f>
        <v>0</v>
      </c>
    </row>
    <row r="1627" customFormat="false" ht="15" hidden="false" customHeight="false" outlineLevel="0" collapsed="false">
      <c r="B1627" s="65" t="s">
        <v>1031</v>
      </c>
      <c r="C1627" s="65" t="n">
        <v>0</v>
      </c>
      <c r="D1627" s="65" t="n">
        <f aca="false">IF(C1627=1,1,IF(AND(D1615=1,$AA$21=1,C1631&gt;=Gate_dates,D1622-D1624-D1626&gt;0.000001),1,0))</f>
        <v>0</v>
      </c>
      <c r="E1627" s="65" t="n">
        <f aca="false">IF(D1627=1,1,IF(AND(E1615=1,$AA$21=1,D1631&gt;=Gate_dates,E1622-E1624-E1626&gt;0.000001),1,0))</f>
        <v>0</v>
      </c>
      <c r="F1627" s="65" t="n">
        <f aca="false">IF(E1627=1,1,IF(AND(F1615=1,$AA$21=1,E1631&gt;=Gate_dates,F1622-F1624-F1626&gt;0.000001),1,0))</f>
        <v>0</v>
      </c>
      <c r="G1627" s="65" t="n">
        <f aca="false">IF(F1627=1,1,IF(AND(G1615=1,$AA$21=1,F1631&gt;=Gate_dates,G1622-G1624-G1626&gt;0.000001),1,0))</f>
        <v>0</v>
      </c>
      <c r="H1627" s="65" t="n">
        <f aca="false">IF(G1627=1,1,IF(AND(H1615=1,$AA$21=1,G1631&gt;=Gate_dates,H1622-H1624-H1626&gt;0.000001),1,0))</f>
        <v>0</v>
      </c>
      <c r="I1627" s="65" t="n">
        <f aca="false">IF(H1627=1,1,IF(AND(I1615=1,$AA$21=1,H1631&gt;=Gate_dates,I1622-I1624-I1626&gt;0.000001),1,0))</f>
        <v>0</v>
      </c>
      <c r="J1627" s="65" t="n">
        <f aca="false">IF(I1627=1,1,IF(AND(J1615=1,$AA$21=1,I1631&gt;=Gate_dates,J1622-J1624-J1626&gt;0.000001),1,0))</f>
        <v>0</v>
      </c>
      <c r="K1627" s="65" t="n">
        <f aca="false">IF(J1627=1,1,IF(AND(K1615=1,$AA$21=1,J1631&gt;=Gate_dates,K1622-K1624-K1626&gt;0.000001),1,0))</f>
        <v>0</v>
      </c>
      <c r="L1627" s="65" t="n">
        <f aca="false">IF(K1627=1,1,IF(AND(L1615=1,$AA$21=1,K1631&gt;=Gate_dates,L1622-L1624-L1626&gt;0.000001),1,0))</f>
        <v>0</v>
      </c>
      <c r="M1627" s="65" t="n">
        <f aca="false">IF(L1627=1,1,IF(AND(M1615=1,$AA$21=1,L1631&gt;=Gate_dates,M1622-M1624-M1626&gt;0.000001),1,0))</f>
        <v>0</v>
      </c>
      <c r="N1627" s="65" t="n">
        <f aca="false">IF(M1627=1,1,IF(AND(N1615=1,$AA$21=1,M1631&gt;=Gate_dates,N1622-N1624-N1626&gt;0.000001),1,0))</f>
        <v>0</v>
      </c>
      <c r="O1627" s="65" t="n">
        <f aca="false">IF(N1627=1,1,IF(AND(O1615=1,$AA$21=1,N1631&gt;=Gate_dates,O1622-O1624-O1626&gt;0.000001),1,0))</f>
        <v>0</v>
      </c>
    </row>
    <row r="1628" customFormat="false" ht="15" hidden="false" customHeight="false" outlineLevel="0" collapsed="false">
      <c r="B1628" s="65" t="s">
        <v>1032</v>
      </c>
      <c r="C1628" s="25"/>
      <c r="D1628" s="73" t="n">
        <f aca="false">IF(D1627=1,0,D1624+D1626)</f>
        <v>2500000</v>
      </c>
      <c r="E1628" s="73" t="n">
        <f aca="false">IF(E1627=1,0,E1624+E1626)</f>
        <v>0</v>
      </c>
      <c r="F1628" s="73" t="n">
        <f aca="false">IF(F1627=1,0,F1624+F1626)</f>
        <v>2441157.58566406</v>
      </c>
      <c r="G1628" s="73" t="n">
        <f aca="false">IF(G1627=1,0,G1624+G1626)</f>
        <v>0</v>
      </c>
      <c r="H1628" s="73" t="n">
        <f aca="false">IF(H1627=1,0,H1624+H1626)</f>
        <v>1991835.23751235</v>
      </c>
      <c r="I1628" s="73" t="n">
        <f aca="false">IF(I1627=1,0,I1624+I1626)</f>
        <v>0</v>
      </c>
      <c r="J1628" s="73" t="n">
        <f aca="false">IF(J1627=1,0,J1624+J1626)</f>
        <v>946614.35302617</v>
      </c>
      <c r="K1628" s="73" t="n">
        <f aca="false">IF(K1627=1,0,K1624+K1626)</f>
        <v>0</v>
      </c>
      <c r="L1628" s="73" t="n">
        <f aca="false">IF(L1627=1,0,L1624+L1626)</f>
        <v>957659.204396139</v>
      </c>
      <c r="M1628" s="73" t="n">
        <f aca="false">IF(M1627=1,0,M1624+M1626)</f>
        <v>0</v>
      </c>
      <c r="N1628" s="73" t="n">
        <f aca="false">IF(N1627=1,0,N1624+N1626)</f>
        <v>968644.079132388</v>
      </c>
      <c r="O1628" s="73" t="n">
        <f aca="false">IF(O1627=1,0,O1624+O1626)</f>
        <v>0</v>
      </c>
    </row>
    <row r="1629" customFormat="false" ht="15" hidden="false" customHeight="false" outlineLevel="0" collapsed="false">
      <c r="B1629" s="65" t="s">
        <v>1033</v>
      </c>
      <c r="C1629" s="73" t="n">
        <v>0</v>
      </c>
      <c r="D1629" s="73" t="n">
        <f aca="false">D1622-D1628</f>
        <v>2500000</v>
      </c>
      <c r="E1629" s="73" t="n">
        <f aca="false">E1622-E1628</f>
        <v>2500000</v>
      </c>
      <c r="F1629" s="73" t="n">
        <f aca="false">F1622-F1628</f>
        <v>1035305.44860156</v>
      </c>
      <c r="G1629" s="73" t="n">
        <f aca="false">G1622-G1628</f>
        <v>1035305.44860156</v>
      </c>
      <c r="H1629" s="73" t="n">
        <f aca="false">H1622-H1628</f>
        <v>0</v>
      </c>
      <c r="I1629" s="73" t="n">
        <f aca="false">I1622-I1628</f>
        <v>0</v>
      </c>
      <c r="J1629" s="73" t="n">
        <f aca="false">J1622-J1628</f>
        <v>0</v>
      </c>
      <c r="K1629" s="73" t="n">
        <f aca="false">K1622-K1628</f>
        <v>0</v>
      </c>
      <c r="L1629" s="73" t="n">
        <f aca="false">L1622-L1628</f>
        <v>0</v>
      </c>
      <c r="M1629" s="73" t="n">
        <f aca="false">M1622-M1628</f>
        <v>0</v>
      </c>
      <c r="N1629" s="73" t="n">
        <f aca="false">N1622-N1628</f>
        <v>0</v>
      </c>
      <c r="O1629" s="73" t="n">
        <f aca="false">O1622-O1628</f>
        <v>0</v>
      </c>
    </row>
    <row r="1630" customFormat="false" ht="15" hidden="false" customHeight="false" outlineLevel="0" collapsed="false">
      <c r="B1630" s="65" t="s">
        <v>1034</v>
      </c>
      <c r="C1630" s="25"/>
      <c r="D1630" s="65" t="n">
        <f aca="false">IF(AND(D1615=1,D1627=0,D1629&gt;0.000001),1,0)</f>
        <v>1</v>
      </c>
      <c r="E1630" s="65" t="n">
        <f aca="false">IF(AND(E1615=1,E1627=0,E1629&gt;0.000001),1,0)</f>
        <v>0</v>
      </c>
      <c r="F1630" s="65" t="n">
        <f aca="false">IF(AND(F1615=1,F1627=0,F1629&gt;0.000001),1,0)</f>
        <v>1</v>
      </c>
      <c r="G1630" s="65" t="n">
        <f aca="false">IF(AND(G1615=1,G1627=0,G1629&gt;0.000001),1,0)</f>
        <v>0</v>
      </c>
      <c r="H1630" s="65" t="n">
        <f aca="false">IF(AND(H1615=1,H1627=0,H1629&gt;0.000001),1,0)</f>
        <v>0</v>
      </c>
      <c r="I1630" s="65" t="n">
        <f aca="false">IF(AND(I1615=1,I1627=0,I1629&gt;0.000001),1,0)</f>
        <v>0</v>
      </c>
      <c r="J1630" s="65" t="n">
        <f aca="false">IF(AND(J1615=1,J1627=0,J1629&gt;0.000001),1,0)</f>
        <v>0</v>
      </c>
      <c r="K1630" s="65" t="n">
        <f aca="false">IF(AND(K1615=1,K1627=0,K1629&gt;0.000001),1,0)</f>
        <v>0</v>
      </c>
      <c r="L1630" s="65" t="n">
        <f aca="false">IF(AND(L1615=1,L1627=0,L1629&gt;0.000001),1,0)</f>
        <v>0</v>
      </c>
      <c r="M1630" s="65" t="n">
        <f aca="false">IF(AND(M1615=1,M1627=0,M1629&gt;0.000001),1,0)</f>
        <v>0</v>
      </c>
      <c r="N1630" s="65" t="n">
        <f aca="false">IF(AND(N1615=1,N1627=0,N1629&gt;0.000001),1,0)</f>
        <v>0</v>
      </c>
      <c r="O1630" s="65" t="n">
        <f aca="false">IF(AND(O1615=1,O1627=0,O1629&gt;0.000001),1,0)</f>
        <v>0</v>
      </c>
    </row>
    <row r="1631" customFormat="false" ht="15" hidden="false" customHeight="false" outlineLevel="0" collapsed="false">
      <c r="B1631" s="65" t="s">
        <v>843</v>
      </c>
      <c r="C1631" s="65" t="n">
        <v>0</v>
      </c>
      <c r="D1631" s="65" t="n">
        <f aca="false">IF(D1615=1,IF(D1630=1,C1631+1,0),C1631)</f>
        <v>1</v>
      </c>
      <c r="E1631" s="65" t="n">
        <f aca="false">IF(E1615=1,IF(E1630=1,D1631+1,0),D1631)</f>
        <v>1</v>
      </c>
      <c r="F1631" s="65" t="n">
        <f aca="false">IF(F1615=1,IF(F1630=1,E1631+1,0),E1631)</f>
        <v>2</v>
      </c>
      <c r="G1631" s="65" t="n">
        <f aca="false">IF(G1615=1,IF(G1630=1,F1631+1,0),F1631)</f>
        <v>2</v>
      </c>
      <c r="H1631" s="65" t="n">
        <f aca="false">IF(H1615=1,IF(H1630=1,G1631+1,0),G1631)</f>
        <v>0</v>
      </c>
      <c r="I1631" s="65" t="n">
        <f aca="false">IF(I1615=1,IF(I1630=1,H1631+1,0),H1631)</f>
        <v>0</v>
      </c>
      <c r="J1631" s="65" t="n">
        <f aca="false">IF(J1615=1,IF(J1630=1,I1631+1,0),I1631)</f>
        <v>0</v>
      </c>
      <c r="K1631" s="65" t="n">
        <f aca="false">IF(K1615=1,IF(K1630=1,J1631+1,0),J1631)</f>
        <v>0</v>
      </c>
      <c r="L1631" s="65" t="n">
        <f aca="false">IF(L1615=1,IF(L1630=1,K1631+1,0),K1631)</f>
        <v>0</v>
      </c>
      <c r="M1631" s="65" t="n">
        <f aca="false">IF(M1615=1,IF(M1630=1,L1631+1,0),L1631)</f>
        <v>0</v>
      </c>
      <c r="N1631" s="65" t="n">
        <f aca="false">IF(N1615=1,IF(N1630=1,M1631+1,0),M1631)</f>
        <v>0</v>
      </c>
      <c r="O1631" s="65" t="n">
        <f aca="false">IF(O1615=1,IF(O1630=1,N1631+1,0),N1631)</f>
        <v>0</v>
      </c>
    </row>
    <row r="1632" customFormat="false" ht="15" hidden="false" customHeight="false" outlineLevel="0" collapsed="false">
      <c r="B1632" s="65" t="s">
        <v>1035</v>
      </c>
      <c r="C1632" s="73" t="n">
        <f aca="false">AN_cible*Ws_MAPIF</f>
        <v>12500000</v>
      </c>
      <c r="D1632" s="73" t="n">
        <f aca="false">C1632*(1+Rend_MAPIF/4)*IF(D1613=1,(1-(Cap_MAPIF*$AA$15+(1-Cap_MAPIF)*$AA$16))*(1+1*$AA$14),1)+D1642-D1636-D1657*IF((C1632+C1633+C1634+C1635)&gt;0,C1632/(C1632+C1633+C1634+C1635),0)</f>
        <v>12971562.5</v>
      </c>
      <c r="E1632" s="73" t="n">
        <f aca="false">D1632*(1+Rend_MAPIF/4)*IF(E1613=1,(1-(Cap_MAPIF*$AA$15+(1-Cap_MAPIF)*$AA$16))*(1+1*$AA$14),1)+E1642-E1636-E1657*IF((D1632+D1633+D1634+D1635)&gt;0,D1632/(D1632+D1633+D1634+D1635),0)</f>
        <v>13446767.8203125</v>
      </c>
      <c r="F1632" s="73" t="n">
        <f aca="false">E1632*(1+Rend_MAPIF/4)*IF(F1613=1,(1-(Cap_MAPIF*$AA$15+(1-Cap_MAPIF)*$AA$16))*(1+1*$AA$14),1)+F1642-F1636-F1657*IF((E1632+E1633+E1634+E1635)&gt;0,E1632/(E1632+E1633+E1634+E1635),0)</f>
        <v>13925644.1017244</v>
      </c>
      <c r="G1632" s="73" t="n">
        <f aca="false">F1632*(1+Rend_MAPIF/4)*IF(G1613=1,(1-(Cap_MAPIF*$AA$15+(1-Cap_MAPIF)*$AA$16))*(1+1*$AA$14),1)+G1642-G1636-G1657*IF((F1632+F1633+F1634+F1635)&gt;0,F1632/(F1632+F1633+F1634+F1635),0)</f>
        <v>14408219.7024102</v>
      </c>
      <c r="H1632" s="73" t="n">
        <f aca="false">G1632*(1+Rend_MAPIF/4)*IF(H1613=1,(1-(Cap_MAPIF*$AA$15+(1-Cap_MAPIF)*$AA$16))*(1+1*$AA$14),1)+H1642-H1636-H1657*IF((G1632+G1633+G1634+G1635)&gt;0,G1632/(G1632+G1633+G1634+G1635),0)</f>
        <v>14894523.1996114</v>
      </c>
      <c r="I1632" s="73" t="n">
        <f aca="false">H1632*(1+Rend_MAPIF/4)*IF(I1613=1,(1-(Cap_MAPIF*$AA$15+(1-Cap_MAPIF)*$AA$16))*(1+1*$AA$14),1)+I1642-I1636-I1657*IF((H1632+H1633+H1634+H1635)&gt;0,H1632/(H1632+H1633+H1634+H1635),0)</f>
        <v>15384583.3913284</v>
      </c>
      <c r="J1632" s="73" t="n">
        <f aca="false">I1632*(1+Rend_MAPIF/4)*IF(J1613=1,(1-(Cap_MAPIF*$AA$15+(1-Cap_MAPIF)*$AA$16))*(1+1*$AA$14),1)+J1642-J1636-J1657*IF((I1632+I1633+I1634+I1635)&gt;0,I1632/(I1632+I1633+I1634+I1635),0)</f>
        <v>15878429.2980264</v>
      </c>
      <c r="K1632" s="73" t="n">
        <f aca="false">J1632*(1+Rend_MAPIF/4)*IF(K1613=1,(1-(Cap_MAPIF*$AA$15+(1-Cap_MAPIF)*$AA$16))*(1+1*$AA$14),1)+K1642-K1636-K1657*IF((J1632+J1633+J1634+J1635)&gt;0,J1632/(J1632+J1633+J1634+J1635),0)</f>
        <v>16376090.1643536</v>
      </c>
      <c r="L1632" s="73" t="n">
        <f aca="false">K1632*(1+Rend_MAPIF/4)*IF(L1613=1,(1-(Cap_MAPIF*$AA$15+(1-Cap_MAPIF)*$AA$16))*(1+1*$AA$14),1)+L1642-L1636-L1657*IF((K1632+K1633+K1634+K1635)&gt;0,K1632/(K1632+K1633+K1634+K1635),0)</f>
        <v>16877595.4608733</v>
      </c>
      <c r="M1632" s="73" t="n">
        <f aca="false">L1632*(1+Rend_MAPIF/4)*IF(M1613=1,(1-(Cap_MAPIF*$AA$15+(1-Cap_MAPIF)*$AA$16))*(1+1*$AA$14),1)+M1642-M1636-M1657*IF((L1632+L1633+L1634+L1635)&gt;0,L1632/(L1632+L1633+L1634+L1635),0)</f>
        <v>17382974.8858085</v>
      </c>
      <c r="N1632" s="73" t="n">
        <f aca="false">M1632*(1+Rend_MAPIF/4)*IF(N1613=1,(1-(Cap_MAPIF*$AA$15+(1-Cap_MAPIF)*$AA$16))*(1+1*$AA$14),1)+N1642-N1636-N1657*IF((M1632+M1633+M1634+M1635)&gt;0,M1632/(M1632+M1633+M1634+M1635),0)</f>
        <v>17892258.3668014</v>
      </c>
      <c r="O1632" s="73" t="n">
        <f aca="false">N1632*(1+Rend_MAPIF/4)*IF(O1613=1,(1-(Cap_MAPIF*$AA$15+(1-Cap_MAPIF)*$AA$16))*(1+1*$AA$14),1)+O1642-O1636-O1657*IF((N1632+N1633+N1634+N1635)&gt;0,N1632/(N1632+N1633+N1634+N1635),0)</f>
        <v>18405476.0626849</v>
      </c>
    </row>
    <row r="1633" customFormat="false" ht="15" hidden="false" customHeight="false" outlineLevel="0" collapsed="false">
      <c r="B1633" s="65" t="s">
        <v>1036</v>
      </c>
      <c r="C1633" s="73" t="n">
        <f aca="false">AN_cible*Ws_MSIG</f>
        <v>5500000</v>
      </c>
      <c r="D1633" s="73" t="n">
        <f aca="false">C1633*(1+Rend_MSIG/4)*IF(D1613=1,(1-(Cap_MSIG*$AA$15+(1-Cap_MSIG)*$AA$16))*(1+MSIG_USD*$AA$14),1)+D1643-D1637-D1657*IF((C1632+C1633+C1634+C1635)&gt;0,C1633/(C1632+C1633+C1634+C1635),0)</f>
        <v>5773237.5</v>
      </c>
      <c r="E1633" s="73" t="n">
        <f aca="false">D1633*(1+Rend_MSIG/4)*IF(E1613=1,(1-(Cap_MSIG*$AA$15+(1-Cap_MSIG)*$AA$16))*(1+MSIG_USD*$AA$14),1)+E1643-E1637-E1657*IF((D1632+D1633+D1634+D1635)&gt;0,D1633/(D1632+D1633+D1634+D1635),0)</f>
        <v>6047629.4284375</v>
      </c>
      <c r="F1633" s="73" t="n">
        <f aca="false">E1633*(1+Rend_MSIG/4)*IF(F1613=1,(1-(Cap_MSIG*$AA$15+(1-Cap_MSIG)*$AA$16))*(1+MSIG_USD*$AA$14),1)+F1643-F1637-F1657*IF((E1632+E1633+E1634+E1635)&gt;0,E1633/(E1632+E1633+E1634+E1635),0)</f>
        <v>6323180.66277265</v>
      </c>
      <c r="G1633" s="73" t="n">
        <f aca="false">F1633*(1+Rend_MSIG/4)*IF(G1613=1,(1-(Cap_MSIG*$AA$15+(1-Cap_MSIG)*$AA$16))*(1+MSIG_USD*$AA$14),1)+G1643-G1637-G1657*IF((F1632+F1633+F1634+F1635)&gt;0,F1633/(F1632+F1633+F1634+F1635),0)</f>
        <v>6599896.10107286</v>
      </c>
      <c r="H1633" s="73" t="n">
        <f aca="false">G1633*(1+Rend_MSIG/4)*IF(H1613=1,(1-(Cap_MSIG*$AA$15+(1-Cap_MSIG)*$AA$16))*(1+MSIG_USD*$AA$14),1)+H1643-H1637-H1657*IF((G1632+G1633+G1634+G1635)&gt;0,G1633/(G1632+G1633+G1634+G1635),0)</f>
        <v>6877780.6620999</v>
      </c>
      <c r="I1633" s="73" t="n">
        <f aca="false">H1633*(1+Rend_MSIG/4)*IF(I1613=1,(1-(Cap_MSIG*$AA$15+(1-Cap_MSIG)*$AA$16))*(1+MSIG_USD*$AA$14),1)+I1643-I1637-I1657*IF((H1632+H1633+H1634+H1635)&gt;0,H1633/(H1632+H1633+H1634+H1635),0)</f>
        <v>7156839.28539727</v>
      </c>
      <c r="J1633" s="73" t="n">
        <f aca="false">I1633*(1+Rend_MSIG/4)*IF(J1613=1,(1-(Cap_MSIG*$AA$15+(1-Cap_MSIG)*$AA$16))*(1+MSIG_USD*$AA$14),1)+J1643-J1637-J1657*IF((I1632+I1633+I1634+I1635)&gt;0,I1633/(I1632+I1633+I1634+I1635),0)</f>
        <v>7437076.93137807</v>
      </c>
      <c r="K1633" s="73" t="n">
        <f aca="false">J1633*(1+Rend_MSIG/4)*IF(K1613=1,(1-(Cap_MSIG*$AA$15+(1-Cap_MSIG)*$AA$16))*(1+MSIG_USD*$AA$14),1)+K1643-K1637-K1657*IF((J1632+J1633+J1634+J1635)&gt;0,J1633/(J1632+J1633+J1634+J1635),0)</f>
        <v>7718498.58141314</v>
      </c>
      <c r="L1633" s="73" t="n">
        <f aca="false">K1633*(1+Rend_MSIG/4)*IF(L1613=1,(1-(Cap_MSIG*$AA$15+(1-Cap_MSIG)*$AA$16))*(1+MSIG_USD*$AA$14),1)+L1643-L1637-L1657*IF((K1632+K1633+K1634+K1635)&gt;0,K1633/(K1632+K1633+K1634+K1635),0)</f>
        <v>8001109.23791962</v>
      </c>
      <c r="M1633" s="73" t="n">
        <f aca="false">L1633*(1+Rend_MSIG/4)*IF(M1613=1,(1-(Cap_MSIG*$AA$15+(1-Cap_MSIG)*$AA$16))*(1+MSIG_USD*$AA$14),1)+M1643-M1637-M1657*IF((L1632+L1633+L1634+L1635)&gt;0,L1633/(L1632+L1633+L1634+L1635),0)</f>
        <v>8284913.92444983</v>
      </c>
      <c r="N1633" s="73" t="n">
        <f aca="false">M1633*(1+Rend_MSIG/4)*IF(N1613=1,(1-(Cap_MSIG*$AA$15+(1-Cap_MSIG)*$AA$16))*(1+MSIG_USD*$AA$14),1)+N1643-N1637-N1657*IF((M1632+M1633+M1634+M1635)&gt;0,M1633/(M1632+M1633+M1634+M1635),0)</f>
        <v>8569917.68578063</v>
      </c>
      <c r="O1633" s="73" t="n">
        <f aca="false">N1633*(1+Rend_MSIG/4)*IF(O1613=1,(1-(Cap_MSIG*$AA$15+(1-Cap_MSIG)*$AA$16))*(1+MSIG_USD*$AA$14),1)+O1643-O1637-O1657*IF((N1632+N1633+N1634+N1635)&gt;0,N1633/(N1632+N1633+N1634+N1635),0)</f>
        <v>8856125.58800305</v>
      </c>
    </row>
    <row r="1634" customFormat="false" ht="15" hidden="false" customHeight="false" outlineLevel="0" collapsed="false">
      <c r="B1634" s="65" t="s">
        <v>1037</v>
      </c>
      <c r="C1634" s="73" t="n">
        <f aca="false">AN_cible*Ws_PG</f>
        <v>12250000</v>
      </c>
      <c r="D1634" s="73" t="n">
        <f aca="false">C1634*(1+Rend_PG/4)*IF(D1613=1,(1-(Cap_PG*$AA$15+(1-Cap_PG)*$AA$16))*(1+0*$AA$14),1)-D1638-D1654*IF((D1644+D1645)&gt;0,D1644/(D1644+D1645),0)+D1659/2-D1657*IF((C1632+C1633+C1634+C1635)&gt;0,C1634/(C1632+C1633+C1634+C1635),0)</f>
        <v>11888931.25</v>
      </c>
      <c r="E1634" s="73" t="n">
        <f aca="false">D1634*(1+Rend_PG/4)*IF(E1613=1,(1-(Cap_PG*$AA$15+(1-Cap_PG)*$AA$16))*(1+0*$AA$14),1)-E1638-E1654*IF((E1644+E1645)&gt;0,E1644/(E1644+E1645),0)+E1659/2-E1657*IF((D1632+D1633+D1634+D1635)&gt;0,D1634/(D1632+D1633+D1634+D1635),0)</f>
        <v>11538505.0014063</v>
      </c>
      <c r="F1634" s="73" t="n">
        <f aca="false">E1634*(1+Rend_PG/4)*IF(F1613=1,(1-(Cap_PG*$AA$15+(1-Cap_PG)*$AA$16))*(1+0*$AA$14),1)-F1638-F1654*IF((F1644+F1645)&gt;0,F1644/(F1644+F1645),0)+F1659/2-F1657*IF((E1632+E1633+E1634+E1635)&gt;0,E1634/(E1632+E1633+E1634+E1635),0)</f>
        <v>11198407.5664898</v>
      </c>
      <c r="G1634" s="73" t="n">
        <f aca="false">F1634*(1+Rend_PG/4)*IF(G1613=1,(1-(Cap_PG*$AA$15+(1-Cap_PG)*$AA$16))*(1+0*$AA$14),1)-G1638-G1654*IF((G1644+G1645)&gt;0,G1644/(G1644+G1645),0)+G1659/2-G1657*IF((F1632+F1633+F1634+F1635)&gt;0,F1634/(F1632+F1633+F1634+F1635),0)</f>
        <v>10868334.5034675</v>
      </c>
      <c r="H1634" s="73" t="n">
        <f aca="false">G1634*(1+Rend_PG/4)*IF(H1613=1,(1-(Cap_PG*$AA$15+(1-Cap_PG)*$AA$16))*(1+0*$AA$14),1)-H1638-H1654*IF((H1644+H1645)&gt;0,H1644/(H1644+H1645),0)+H1659/2-H1657*IF((G1632+G1633+G1634+G1635)&gt;0,G1634/(G1632+G1633+G1634+G1635),0)</f>
        <v>10547990.3439778</v>
      </c>
      <c r="I1634" s="73" t="n">
        <f aca="false">H1634*(1+Rend_PG/4)*IF(I1613=1,(1-(Cap_PG*$AA$15+(1-Cap_PG)*$AA$16))*(1+0*$AA$14),1)-I1638-I1654*IF((I1644+I1645)&gt;0,I1644/(I1644+I1645),0)+I1659/2-I1657*IF((H1632+H1633+H1634+H1635)&gt;0,H1634/(H1632+H1633+H1634+H1635),0)</f>
        <v>10237088.3285891</v>
      </c>
      <c r="J1634" s="73" t="n">
        <f aca="false">I1634*(1+Rend_PG/4)*IF(J1613=1,(1-(Cap_PG*$AA$15+(1-Cap_PG)*$AA$16))*(1+0*$AA$14),1)-J1638-J1654*IF((J1644+J1645)&gt;0,J1644/(J1644+J1645),0)+J1659/2-J1657*IF((I1632+I1633+I1634+I1635)&gt;0,I1634/(I1632+I1633+I1634+I1635),0)</f>
        <v>9935350.1501039</v>
      </c>
      <c r="K1634" s="73" t="n">
        <f aca="false">J1634*(1+Rend_PG/4)*IF(K1613=1,(1-(Cap_PG*$AA$15+(1-Cap_PG)*$AA$16))*(1+0*$AA$14),1)-K1638-K1654*IF((K1644+K1645)&gt;0,K1644/(K1644+K1645),0)+K1659/2-K1657*IF((J1632+J1633+J1634+J1635)&gt;0,J1634/(J1632+J1633+J1634+J1635),0)</f>
        <v>9642505.70442959</v>
      </c>
      <c r="L1634" s="73" t="n">
        <f aca="false">K1634*(1+Rend_PG/4)*IF(L1613=1,(1-(Cap_PG*$AA$15+(1-Cap_PG)*$AA$16))*(1+0*$AA$14),1)-L1638-L1654*IF((L1644+L1645)&gt;0,L1644/(L1644+L1645),0)+L1659/2-L1657*IF((K1632+K1633+K1634+K1635)&gt;0,K1634/(K1632+K1633+K1634+K1635),0)</f>
        <v>9358292.84879153</v>
      </c>
      <c r="M1634" s="73" t="n">
        <f aca="false">L1634*(1+Rend_PG/4)*IF(M1613=1,(1-(Cap_PG*$AA$15+(1-Cap_PG)*$AA$16))*(1+0*$AA$14),1)-M1638-M1654*IF((M1644+M1645)&gt;0,M1644/(M1644+M1645),0)+M1659/2-M1657*IF((L1632+L1633+L1634+L1635)&gt;0,L1634/(L1632+L1633+L1634+L1635),0)</f>
        <v>9082457.1670734</v>
      </c>
      <c r="N1634" s="73" t="n">
        <f aca="false">M1634*(1+Rend_PG/4)*IF(N1613=1,(1-(Cap_PG*$AA$15+(1-Cap_PG)*$AA$16))*(1+0*$AA$14),1)-N1638-N1654*IF((N1644+N1645)&gt;0,N1644/(N1644+N1645),0)+N1659/2-N1657*IF((M1632+M1633+M1634+M1635)&gt;0,M1634/(M1632+M1633+M1634+M1635),0)</f>
        <v>8814751.74207391</v>
      </c>
      <c r="O1634" s="73" t="n">
        <f aca="false">N1634*(1+Rend_PG/4)*IF(O1613=1,(1-(Cap_PG*$AA$15+(1-Cap_PG)*$AA$16))*(1+0*$AA$14),1)-O1638-O1654*IF((O1644+O1645)&gt;0,O1644/(O1644+O1645),0)+O1659/2-O1657*IF((N1632+N1633+N1634+N1635)&gt;0,N1634/(N1632+N1633+N1634+N1635),0)</f>
        <v>8554936.93447628</v>
      </c>
    </row>
    <row r="1635" customFormat="false" ht="15" hidden="false" customHeight="false" outlineLevel="0" collapsed="false">
      <c r="B1635" s="65" t="s">
        <v>1038</v>
      </c>
      <c r="C1635" s="73" t="n">
        <f aca="false">AN_cible*Ws_ARES</f>
        <v>12250000</v>
      </c>
      <c r="D1635" s="73" t="n">
        <f aca="false">C1635*(1+Rend_ARES/4)*IF(D1613=1,(1-(Cap_ARES*$AA$15+(1-Cap_ARES)*$AA$16))*(1+0*$AA$14),1)-D1639-D1654*IF((D1644+D1645)&gt;0,D1645/(D1644+D1645),0)/(1-IF(D1613&lt;=Deduc_trim,Deduc_ares,0))+D1659/2-D1657*IF((C1632+C1633+C1634+C1635)&gt;0,C1635/(C1632+C1633+C1634+C1635),0)</f>
        <v>11727537.5</v>
      </c>
      <c r="E1635" s="73" t="n">
        <f aca="false">D1635*(1+Rend_ARES/4)*IF(E1613=1,(1-(Cap_ARES*$AA$15+(1-Cap_ARES)*$AA$16))*(1+0*$AA$14),1)-E1639-E1654*IF((E1644+E1645)&gt;0,E1645/(E1644+E1645),0)/(1-IF(E1613&lt;=Deduc_trim,Deduc_ares,0))+E1659/2-E1657*IF((D1632+D1633+D1634+D1635)&gt;0,D1635/(D1632+D1633+D1634+D1635),0)</f>
        <v>11227358.025625</v>
      </c>
      <c r="F1635" s="73" t="n">
        <f aca="false">E1635*(1+Rend_ARES/4)*IF(F1613=1,(1-(Cap_ARES*$AA$15+(1-Cap_ARES)*$AA$16))*(1+0*$AA$14),1)-F1639-F1654*IF((F1644+F1645)&gt;0,F1645/(F1644+F1645),0)/(1-IF(F1613&lt;=Deduc_trim,Deduc_ares,0))+F1659/2-F1657*IF((E1632+E1633+E1634+E1635)&gt;0,E1635/(E1632+E1633+E1634+E1635),0)</f>
        <v>10748511.2058321</v>
      </c>
      <c r="G1635" s="73" t="n">
        <f aca="false">F1635*(1+Rend_ARES/4)*IF(G1613=1,(1-(Cap_ARES*$AA$15+(1-Cap_ARES)*$AA$16))*(1+0*$AA$14),1)-G1639-G1654*IF((G1644+G1645)&gt;0,G1645/(G1644+G1645),0)/(1-IF(G1613&lt;=Deduc_trim,Deduc_ares,0))+G1659/2-G1657*IF((F1632+F1633+F1634+F1635)&gt;0,F1635/(F1632+F1633+F1634+F1635),0)</f>
        <v>10290087.2029034</v>
      </c>
      <c r="H1635" s="73" t="n">
        <f aca="false">G1635*(1+Rend_ARES/4)*IF(H1613=1,(1-(Cap_ARES*$AA$15+(1-Cap_ARES)*$AA$16))*(1+0*$AA$14),1)-H1639-H1654*IF((H1644+H1645)&gt;0,H1645/(H1644+H1645),0)/(1-IF(H1613&lt;=Deduc_trim,Deduc_ares,0))+H1659/2-H1657*IF((G1632+G1633+G1634+G1635)&gt;0,G1635/(G1632+G1633+G1634+G1635),0)</f>
        <v>9851214.98369952</v>
      </c>
      <c r="I1635" s="73" t="n">
        <f aca="false">H1635*(1+Rend_ARES/4)*IF(I1613=1,(1-(Cap_ARES*$AA$15+(1-Cap_ARES)*$AA$16))*(1+0*$AA$14),1)-I1639-I1654*IF((I1644+I1645)&gt;0,I1645/(I1644+I1645),0)/(1-IF(I1613&lt;=Deduc_trim,Deduc_ares,0))+I1659/2-I1657*IF((H1632+H1633+H1634+H1635)&gt;0,H1635/(H1632+H1633+H1634+H1635),0)</f>
        <v>9431060.66464474</v>
      </c>
      <c r="J1635" s="73" t="n">
        <f aca="false">I1635*(1+Rend_ARES/4)*IF(J1613=1,(1-(Cap_ARES*$AA$15+(1-Cap_ARES)*$AA$16))*(1+0*$AA$14),1)-J1639-J1654*IF((J1644+J1645)&gt;0,J1645/(J1644+J1645),0)/(1-IF(J1613&lt;=Deduc_trim,Deduc_ares,0))+J1659/2-J1657*IF((I1632+I1633+I1634+I1635)&gt;0,I1635/(I1632+I1633+I1634+I1635),0)</f>
        <v>9028825.92729764</v>
      </c>
      <c r="K1635" s="73" t="n">
        <f aca="false">J1635*(1+Rend_ARES/4)*IF(K1613=1,(1-(Cap_ARES*$AA$15+(1-Cap_ARES)*$AA$16))*(1+0*$AA$14),1)-K1639-K1654*IF((K1644+K1645)&gt;0,K1645/(K1644+K1645),0)/(1-IF(K1613&lt;=Deduc_trim,Deduc_ares,0))+K1659/2-K1657*IF((J1632+J1633+J1634+J1635)&gt;0,J1635/(J1632+J1633+J1634+J1635),0)</f>
        <v>8643746.5014984</v>
      </c>
      <c r="L1635" s="73" t="n">
        <f aca="false">K1635*(1+Rend_ARES/4)*IF(L1613=1,(1-(Cap_ARES*$AA$15+(1-Cap_ARES)*$AA$16))*(1+0*$AA$14),1)-L1639-L1654*IF((L1644+L1645)&gt;0,L1645/(L1644+L1645),0)/(1-IF(L1613&lt;=Deduc_trim,Deduc_ares,0))+L1659/2-L1657*IF((K1632+K1633+K1634+K1635)&gt;0,K1635/(K1632+K1633+K1634+K1635),0)</f>
        <v>8275090.71320949</v>
      </c>
      <c r="M1635" s="73" t="n">
        <f aca="false">L1635*(1+Rend_ARES/4)*IF(M1613=1,(1-(Cap_ARES*$AA$15+(1-Cap_ARES)*$AA$16))*(1+0*$AA$14),1)-M1639-M1654*IF((M1644+M1645)&gt;0,M1645/(M1644+M1645),0)/(1-IF(M1613&lt;=Deduc_trim,Deduc_ares,0))+M1659/2-M1657*IF((L1632+L1633+L1634+L1635)&gt;0,L1635/(L1632+L1633+L1634+L1635),0)</f>
        <v>7922158.0942911</v>
      </c>
      <c r="N1635" s="73" t="n">
        <f aca="false">M1635*(1+Rend_ARES/4)*IF(N1613=1,(1-(Cap_ARES*$AA$15+(1-Cap_ARES)*$AA$16))*(1+0*$AA$14),1)-N1639-N1654*IF((N1644+N1645)&gt;0,N1645/(N1644+N1645),0)/(1-IF(N1613&lt;=Deduc_trim,Deduc_ares,0))+N1659/2-N1657*IF((M1632+M1633+M1634+M1635)&gt;0,M1635/(M1632+M1633+M1634+M1635),0)</f>
        <v>7584278.05156959</v>
      </c>
      <c r="O1635" s="73" t="n">
        <f aca="false">N1635*(1+Rend_ARES/4)*IF(O1613=1,(1-(Cap_ARES*$AA$15+(1-Cap_ARES)*$AA$16))*(1+0*$AA$14),1)-O1639-O1654*IF((O1644+O1645)&gt;0,O1645/(O1644+O1645),0)/(1-IF(O1613&lt;=Deduc_trim,Deduc_ares,0))+O1659/2-O1657*IF((N1632+N1633+N1634+N1635)&gt;0,N1635/(N1632+N1633+N1634+N1635),0)</f>
        <v>7260808.59267014</v>
      </c>
    </row>
    <row r="1636" customFormat="false" ht="15" hidden="false" customHeight="false" outlineLevel="0" collapsed="false">
      <c r="B1636" s="65" t="s">
        <v>1039</v>
      </c>
      <c r="C1636" s="25"/>
      <c r="D1636" s="73" t="n">
        <f aca="false">C1632*Dist_MAPIF/4*IF(D1613&lt;=$AA$11,0,$AA$10)</f>
        <v>187500</v>
      </c>
      <c r="E1636" s="73" t="n">
        <f aca="false">D1632*Dist_MAPIF/4*IF(E1613&lt;=$AA$11,0,$AA$10)</f>
        <v>194573.4375</v>
      </c>
      <c r="F1636" s="73" t="n">
        <f aca="false">E1632*Dist_MAPIF/4*IF(F1613&lt;=$AA$11,0,$AA$10)</f>
        <v>201701.517304688</v>
      </c>
      <c r="G1636" s="73" t="n">
        <f aca="false">F1632*Dist_MAPIF/4*IF(G1613&lt;=$AA$11,0,$AA$10)</f>
        <v>208884.661525866</v>
      </c>
      <c r="H1636" s="73" t="n">
        <f aca="false">G1632*Dist_MAPIF/4*IF(H1613&lt;=$AA$11,0,$AA$10)</f>
        <v>216123.295536154</v>
      </c>
      <c r="I1636" s="73" t="n">
        <f aca="false">H1632*Dist_MAPIF/4*IF(I1613&lt;=$AA$11,0,$AA$10)</f>
        <v>223417.84799417</v>
      </c>
      <c r="J1636" s="73" t="n">
        <f aca="false">I1632*Dist_MAPIF/4*IF(J1613&lt;=$AA$11,0,$AA$10)</f>
        <v>230768.750869925</v>
      </c>
      <c r="K1636" s="73" t="n">
        <f aca="false">J1632*Dist_MAPIF/4*IF(K1613&lt;=$AA$11,0,$AA$10)</f>
        <v>238176.439470396</v>
      </c>
      <c r="L1636" s="73" t="n">
        <f aca="false">K1632*Dist_MAPIF/4*IF(L1613&lt;=$AA$11,0,$AA$10)</f>
        <v>245641.352465304</v>
      </c>
      <c r="M1636" s="73" t="n">
        <f aca="false">L1632*Dist_MAPIF/4*IF(M1613&lt;=$AA$11,0,$AA$10)</f>
        <v>253163.931913099</v>
      </c>
      <c r="N1636" s="73" t="n">
        <f aca="false">M1632*Dist_MAPIF/4*IF(N1613&lt;=$AA$11,0,$AA$10)</f>
        <v>260744.623287128</v>
      </c>
      <c r="O1636" s="73" t="n">
        <f aca="false">N1632*Dist_MAPIF/4*IF(O1613&lt;=$AA$11,0,$AA$10)</f>
        <v>268383.875502021</v>
      </c>
    </row>
    <row r="1637" customFormat="false" ht="15" hidden="false" customHeight="false" outlineLevel="0" collapsed="false">
      <c r="B1637" s="65" t="s">
        <v>1040</v>
      </c>
      <c r="C1637" s="25"/>
      <c r="D1637" s="73" t="n">
        <f aca="false">C1633*Dist_MSIG/4*IF(D1613&lt;=$AA$11,0,$AA$10)</f>
        <v>96250</v>
      </c>
      <c r="E1637" s="73" t="n">
        <f aca="false">D1633*Dist_MSIG/4*IF(E1613&lt;=$AA$11,0,$AA$10)</f>
        <v>101031.65625</v>
      </c>
      <c r="F1637" s="73" t="n">
        <f aca="false">E1633*Dist_MSIG/4*IF(F1613&lt;=$AA$11,0,$AA$10)</f>
        <v>105833.514997656</v>
      </c>
      <c r="G1637" s="73" t="n">
        <f aca="false">F1633*Dist_MSIG/4*IF(G1613&lt;=$AA$11,0,$AA$10)</f>
        <v>110655.661598521</v>
      </c>
      <c r="H1637" s="73" t="n">
        <f aca="false">G1633*Dist_MSIG/4*IF(H1613&lt;=$AA$11,0,$AA$10)</f>
        <v>115498.181768775</v>
      </c>
      <c r="I1637" s="73" t="n">
        <f aca="false">H1633*Dist_MSIG/4*IF(I1613&lt;=$AA$11,0,$AA$10)</f>
        <v>120361.161586748</v>
      </c>
      <c r="J1637" s="73" t="n">
        <f aca="false">I1633*Dist_MSIG/4*IF(J1613&lt;=$AA$11,0,$AA$10)</f>
        <v>125244.687494452</v>
      </c>
      <c r="K1637" s="73" t="n">
        <f aca="false">J1633*Dist_MSIG/4*IF(K1613&lt;=$AA$11,0,$AA$10)</f>
        <v>130148.846299116</v>
      </c>
      <c r="L1637" s="73" t="n">
        <f aca="false">K1633*Dist_MSIG/4*IF(L1613&lt;=$AA$11,0,$AA$10)</f>
        <v>135073.72517473</v>
      </c>
      <c r="M1637" s="73" t="n">
        <f aca="false">L1633*Dist_MSIG/4*IF(M1613&lt;=$AA$11,0,$AA$10)</f>
        <v>140019.411663593</v>
      </c>
      <c r="N1637" s="73" t="n">
        <f aca="false">M1633*Dist_MSIG/4*IF(N1613&lt;=$AA$11,0,$AA$10)</f>
        <v>144985.993677872</v>
      </c>
      <c r="O1637" s="73" t="n">
        <f aca="false">N1633*Dist_MSIG/4*IF(O1613&lt;=$AA$11,0,$AA$10)</f>
        <v>149973.559501161</v>
      </c>
    </row>
    <row r="1638" customFormat="false" ht="15" hidden="false" customHeight="false" outlineLevel="0" collapsed="false">
      <c r="B1638" s="65" t="s">
        <v>1041</v>
      </c>
      <c r="C1638" s="25"/>
      <c r="D1638" s="73" t="n">
        <f aca="false">C1634*Dist_PG/4*IF(D1613&lt;=$AA$11,0,$AA$10)</f>
        <v>61250</v>
      </c>
      <c r="E1638" s="73" t="n">
        <f aca="false">D1634*Dist_PG/4*IF(E1613&lt;=$AA$11,0,$AA$10)</f>
        <v>59444.65625</v>
      </c>
      <c r="F1638" s="73" t="n">
        <f aca="false">E1634*Dist_PG/4*IF(F1613&lt;=$AA$11,0,$AA$10)</f>
        <v>57692.5250070313</v>
      </c>
      <c r="G1638" s="73" t="n">
        <f aca="false">F1634*Dist_PG/4*IF(G1613&lt;=$AA$11,0,$AA$10)</f>
        <v>55992.037832449</v>
      </c>
      <c r="H1638" s="73" t="n">
        <f aca="false">G1634*Dist_PG/4*IF(H1613&lt;=$AA$11,0,$AA$10)</f>
        <v>54341.6725173376</v>
      </c>
      <c r="I1638" s="73" t="n">
        <f aca="false">H1634*Dist_PG/4*IF(I1613&lt;=$AA$11,0,$AA$10)</f>
        <v>52739.9517198891</v>
      </c>
      <c r="J1638" s="73" t="n">
        <f aca="false">I1634*Dist_PG/4*IF(J1613&lt;=$AA$11,0,$AA$10)</f>
        <v>51185.4416429453</v>
      </c>
      <c r="K1638" s="73" t="n">
        <f aca="false">J1634*Dist_PG/4*IF(K1613&lt;=$AA$11,0,$AA$10)</f>
        <v>49676.7507505195</v>
      </c>
      <c r="L1638" s="73" t="n">
        <f aca="false">K1634*Dist_PG/4*IF(L1613&lt;=$AA$11,0,$AA$10)</f>
        <v>48212.528522148</v>
      </c>
      <c r="M1638" s="73" t="n">
        <f aca="false">L1634*Dist_PG/4*IF(M1613&lt;=$AA$11,0,$AA$10)</f>
        <v>46791.4642439576</v>
      </c>
      <c r="N1638" s="73" t="n">
        <f aca="false">M1634*Dist_PG/4*IF(N1613&lt;=$AA$11,0,$AA$10)</f>
        <v>45412.285835367</v>
      </c>
      <c r="O1638" s="73" t="n">
        <f aca="false">N1634*Dist_PG/4*IF(O1613&lt;=$AA$11,0,$AA$10)</f>
        <v>44073.7587103696</v>
      </c>
    </row>
    <row r="1639" customFormat="false" ht="15" hidden="false" customHeight="false" outlineLevel="0" collapsed="false">
      <c r="B1639" s="65" t="s">
        <v>1042</v>
      </c>
      <c r="C1639" s="25"/>
      <c r="D1639" s="73" t="n">
        <f aca="false">C1635*Dist_ARES/4*IF(D1613&lt;=$AA$11,0,$AA$10)</f>
        <v>153125</v>
      </c>
      <c r="E1639" s="73" t="n">
        <f aca="false">D1635*Dist_ARES/4*IF(E1613&lt;=$AA$11,0,$AA$10)</f>
        <v>146594.21875</v>
      </c>
      <c r="F1639" s="73" t="n">
        <f aca="false">E1635*Dist_ARES/4*IF(F1613&lt;=$AA$11,0,$AA$10)</f>
        <v>140341.975320313</v>
      </c>
      <c r="G1639" s="73" t="n">
        <f aca="false">F1635*Dist_ARES/4*IF(G1613&lt;=$AA$11,0,$AA$10)</f>
        <v>134356.390072901</v>
      </c>
      <c r="H1639" s="73" t="n">
        <f aca="false">G1635*Dist_ARES/4*IF(H1613&lt;=$AA$11,0,$AA$10)</f>
        <v>128626.090036292</v>
      </c>
      <c r="I1639" s="73" t="n">
        <f aca="false">H1635*Dist_ARES/4*IF(I1613&lt;=$AA$11,0,$AA$10)</f>
        <v>123140.187296244</v>
      </c>
      <c r="J1639" s="73" t="n">
        <f aca="false">I1635*Dist_ARES/4*IF(J1613&lt;=$AA$11,0,$AA$10)</f>
        <v>117888.258308059</v>
      </c>
      <c r="K1639" s="73" t="n">
        <f aca="false">J1635*Dist_ARES/4*IF(K1613&lt;=$AA$11,0,$AA$10)</f>
        <v>112860.324091221</v>
      </c>
      <c r="L1639" s="73" t="n">
        <f aca="false">K1635*Dist_ARES/4*IF(L1613&lt;=$AA$11,0,$AA$10)</f>
        <v>108046.83126873</v>
      </c>
      <c r="M1639" s="73" t="n">
        <f aca="false">L1635*Dist_ARES/4*IF(M1613&lt;=$AA$11,0,$AA$10)</f>
        <v>103438.633915119</v>
      </c>
      <c r="N1639" s="73" t="n">
        <f aca="false">M1635*Dist_ARES/4*IF(N1613&lt;=$AA$11,0,$AA$10)</f>
        <v>99026.9761786388</v>
      </c>
      <c r="O1639" s="73" t="n">
        <f aca="false">N1635*Dist_ARES/4*IF(O1613&lt;=$AA$11,0,$AA$10)</f>
        <v>94803.4756446198</v>
      </c>
    </row>
    <row r="1640" customFormat="false" ht="15" hidden="false" customHeight="false" outlineLevel="0" collapsed="false">
      <c r="B1640" s="65" t="s">
        <v>1043</v>
      </c>
      <c r="C1640" s="73" t="n">
        <f aca="false">AN_cible*$AA$12*Part_MAPIF_NA</f>
        <v>4500000</v>
      </c>
      <c r="D1640" s="73" t="n">
        <f aca="false">C1640*IF(D1613=1,1+$AA$14,1)-D1642</f>
        <v>4125000</v>
      </c>
      <c r="E1640" s="73" t="n">
        <f aca="false">D1640*IF(E1613=1,1+$AA$14,1)-E1642</f>
        <v>3750000</v>
      </c>
      <c r="F1640" s="73" t="n">
        <f aca="false">E1640*IF(F1613=1,1+$AA$14,1)-F1642</f>
        <v>3375000</v>
      </c>
      <c r="G1640" s="73" t="n">
        <f aca="false">F1640*IF(G1613=1,1+$AA$14,1)-G1642</f>
        <v>3000000</v>
      </c>
      <c r="H1640" s="73" t="n">
        <f aca="false">G1640*IF(H1613=1,1+$AA$14,1)-H1642</f>
        <v>2625000</v>
      </c>
      <c r="I1640" s="73" t="n">
        <f aca="false">H1640*IF(I1613=1,1+$AA$14,1)-I1642</f>
        <v>2250000</v>
      </c>
      <c r="J1640" s="73" t="n">
        <f aca="false">I1640*IF(J1613=1,1+$AA$14,1)-J1642</f>
        <v>1875000</v>
      </c>
      <c r="K1640" s="73" t="n">
        <f aca="false">J1640*IF(K1613=1,1+$AA$14,1)-K1642</f>
        <v>1500000</v>
      </c>
      <c r="L1640" s="73" t="n">
        <f aca="false">K1640*IF(L1613=1,1+$AA$14,1)-L1642</f>
        <v>1125000</v>
      </c>
      <c r="M1640" s="73" t="n">
        <f aca="false">L1640*IF(M1613=1,1+$AA$14,1)-M1642</f>
        <v>750000</v>
      </c>
      <c r="N1640" s="73" t="n">
        <f aca="false">M1640*IF(N1613=1,1+$AA$14,1)-N1642</f>
        <v>375000</v>
      </c>
      <c r="O1640" s="73" t="n">
        <f aca="false">N1640*IF(O1613=1,1+$AA$14,1)-O1642</f>
        <v>0</v>
      </c>
    </row>
    <row r="1641" customFormat="false" ht="15" hidden="false" customHeight="false" outlineLevel="0" collapsed="false">
      <c r="B1641" s="65" t="s">
        <v>1044</v>
      </c>
      <c r="C1641" s="73" t="n">
        <f aca="false">AN_cible*$AA$12*(1-Part_MAPIF_NA)</f>
        <v>3000000</v>
      </c>
      <c r="D1641" s="73" t="n">
        <f aca="false">C1641*IF(D1613=1,1+MSIG_USD*$AA$14,1)-D1643</f>
        <v>2750000</v>
      </c>
      <c r="E1641" s="73" t="n">
        <f aca="false">D1641*IF(E1613=1,1+MSIG_USD*$AA$14,1)-E1643</f>
        <v>2500000</v>
      </c>
      <c r="F1641" s="73" t="n">
        <f aca="false">E1641*IF(F1613=1,1+MSIG_USD*$AA$14,1)-F1643</f>
        <v>2250000</v>
      </c>
      <c r="G1641" s="73" t="n">
        <f aca="false">F1641*IF(G1613=1,1+MSIG_USD*$AA$14,1)-G1643</f>
        <v>2000000</v>
      </c>
      <c r="H1641" s="73" t="n">
        <f aca="false">G1641*IF(H1613=1,1+MSIG_USD*$AA$14,1)-H1643</f>
        <v>1750000</v>
      </c>
      <c r="I1641" s="73" t="n">
        <f aca="false">H1641*IF(I1613=1,1+MSIG_USD*$AA$14,1)-I1643</f>
        <v>1500000</v>
      </c>
      <c r="J1641" s="73" t="n">
        <f aca="false">I1641*IF(J1613=1,1+MSIG_USD*$AA$14,1)-J1643</f>
        <v>1250000</v>
      </c>
      <c r="K1641" s="73" t="n">
        <f aca="false">J1641*IF(K1613=1,1+MSIG_USD*$AA$14,1)-K1643</f>
        <v>1000000</v>
      </c>
      <c r="L1641" s="73" t="n">
        <f aca="false">K1641*IF(L1613=1,1+MSIG_USD*$AA$14,1)-L1643</f>
        <v>750000</v>
      </c>
      <c r="M1641" s="73" t="n">
        <f aca="false">L1641*IF(M1613=1,1+MSIG_USD*$AA$14,1)-M1643</f>
        <v>500000</v>
      </c>
      <c r="N1641" s="73" t="n">
        <f aca="false">M1641*IF(N1613=1,1+MSIG_USD*$AA$14,1)-N1643</f>
        <v>250000</v>
      </c>
      <c r="O1641" s="73" t="n">
        <f aca="false">N1641*IF(O1613=1,1+MSIG_USD*$AA$14,1)-O1643</f>
        <v>0</v>
      </c>
    </row>
    <row r="1642" customFormat="false" ht="15" hidden="false" customHeight="false" outlineLevel="0" collapsed="false">
      <c r="B1642" s="65" t="s">
        <v>1045</v>
      </c>
      <c r="C1642" s="25"/>
      <c r="D1642" s="73" t="n">
        <f aca="false">MIN(C1640*IF(D1613=1,1+$AA$14,1),$C1640*(1+$AA$14)*IF(D1613&lt;=4,$AA$13/4,Appels_base))</f>
        <v>375000</v>
      </c>
      <c r="E1642" s="73" t="n">
        <f aca="false">MIN(D1640*IF(E1613=1,1+$AA$14,1),$C1640*(1+$AA$14)*IF(E1613&lt;=4,$AA$13/4,Appels_base))</f>
        <v>375000</v>
      </c>
      <c r="F1642" s="73" t="n">
        <f aca="false">MIN(E1640*IF(F1613=1,1+$AA$14,1),$C1640*(1+$AA$14)*IF(F1613&lt;=4,$AA$13/4,Appels_base))</f>
        <v>375000</v>
      </c>
      <c r="G1642" s="73" t="n">
        <f aca="false">MIN(F1640*IF(G1613=1,1+$AA$14,1),$C1640*(1+$AA$14)*IF(G1613&lt;=4,$AA$13/4,Appels_base))</f>
        <v>375000</v>
      </c>
      <c r="H1642" s="73" t="n">
        <f aca="false">MIN(G1640*IF(H1613=1,1+$AA$14,1),$C1640*(1+$AA$14)*IF(H1613&lt;=4,$AA$13/4,Appels_base))</f>
        <v>375000</v>
      </c>
      <c r="I1642" s="73" t="n">
        <f aca="false">MIN(H1640*IF(I1613=1,1+$AA$14,1),$C1640*(1+$AA$14)*IF(I1613&lt;=4,$AA$13/4,Appels_base))</f>
        <v>375000</v>
      </c>
      <c r="J1642" s="73" t="n">
        <f aca="false">MIN(I1640*IF(J1613=1,1+$AA$14,1),$C1640*(1+$AA$14)*IF(J1613&lt;=4,$AA$13/4,Appels_base))</f>
        <v>375000</v>
      </c>
      <c r="K1642" s="73" t="n">
        <f aca="false">MIN(J1640*IF(K1613=1,1+$AA$14,1),$C1640*(1+$AA$14)*IF(K1613&lt;=4,$AA$13/4,Appels_base))</f>
        <v>375000</v>
      </c>
      <c r="L1642" s="73" t="n">
        <f aca="false">MIN(K1640*IF(L1613=1,1+$AA$14,1),$C1640*(1+$AA$14)*IF(L1613&lt;=4,$AA$13/4,Appels_base))</f>
        <v>375000</v>
      </c>
      <c r="M1642" s="73" t="n">
        <f aca="false">MIN(L1640*IF(M1613=1,1+$AA$14,1),$C1640*(1+$AA$14)*IF(M1613&lt;=4,$AA$13/4,Appels_base))</f>
        <v>375000</v>
      </c>
      <c r="N1642" s="73" t="n">
        <f aca="false">MIN(M1640*IF(N1613=1,1+$AA$14,1),$C1640*(1+$AA$14)*IF(N1613&lt;=4,$AA$13/4,Appels_base))</f>
        <v>375000</v>
      </c>
      <c r="O1642" s="73" t="n">
        <f aca="false">MIN(N1640*IF(O1613=1,1+$AA$14,1),$C1640*(1+$AA$14)*IF(O1613&lt;=4,$AA$13/4,Appels_base))</f>
        <v>375000</v>
      </c>
    </row>
    <row r="1643" customFormat="false" ht="15" hidden="false" customHeight="false" outlineLevel="0" collapsed="false">
      <c r="B1643" s="65" t="s">
        <v>1046</v>
      </c>
      <c r="C1643" s="25"/>
      <c r="D1643" s="73" t="n">
        <f aca="false">MIN(C1641*IF(D1613=1,1+MSIG_USD*$AA$14,1),$C1641*(1+MSIG_USD*$AA$14)*IF(D1613&lt;=4,$AA$13/4,Appels_base))</f>
        <v>250000</v>
      </c>
      <c r="E1643" s="73" t="n">
        <f aca="false">MIN(D1641*IF(E1613=1,1+MSIG_USD*$AA$14,1),$C1641*(1+MSIG_USD*$AA$14)*IF(E1613&lt;=4,$AA$13/4,Appels_base))</f>
        <v>250000</v>
      </c>
      <c r="F1643" s="73" t="n">
        <f aca="false">MIN(E1641*IF(F1613=1,1+MSIG_USD*$AA$14,1),$C1641*(1+MSIG_USD*$AA$14)*IF(F1613&lt;=4,$AA$13/4,Appels_base))</f>
        <v>250000</v>
      </c>
      <c r="G1643" s="73" t="n">
        <f aca="false">MIN(F1641*IF(G1613=1,1+MSIG_USD*$AA$14,1),$C1641*(1+MSIG_USD*$AA$14)*IF(G1613&lt;=4,$AA$13/4,Appels_base))</f>
        <v>250000</v>
      </c>
      <c r="H1643" s="73" t="n">
        <f aca="false">MIN(G1641*IF(H1613=1,1+MSIG_USD*$AA$14,1),$C1641*(1+MSIG_USD*$AA$14)*IF(H1613&lt;=4,$AA$13/4,Appels_base))</f>
        <v>250000</v>
      </c>
      <c r="I1643" s="73" t="n">
        <f aca="false">MIN(H1641*IF(I1613=1,1+MSIG_USD*$AA$14,1),$C1641*(1+MSIG_USD*$AA$14)*IF(I1613&lt;=4,$AA$13/4,Appels_base))</f>
        <v>250000</v>
      </c>
      <c r="J1643" s="73" t="n">
        <f aca="false">MIN(I1641*IF(J1613=1,1+MSIG_USD*$AA$14,1),$C1641*(1+MSIG_USD*$AA$14)*IF(J1613&lt;=4,$AA$13/4,Appels_base))</f>
        <v>250000</v>
      </c>
      <c r="K1643" s="73" t="n">
        <f aca="false">MIN(J1641*IF(K1613=1,1+MSIG_USD*$AA$14,1),$C1641*(1+MSIG_USD*$AA$14)*IF(K1613&lt;=4,$AA$13/4,Appels_base))</f>
        <v>250000</v>
      </c>
      <c r="L1643" s="73" t="n">
        <f aca="false">MIN(K1641*IF(L1613=1,1+MSIG_USD*$AA$14,1),$C1641*(1+MSIG_USD*$AA$14)*IF(L1613&lt;=4,$AA$13/4,Appels_base))</f>
        <v>250000</v>
      </c>
      <c r="M1643" s="73" t="n">
        <f aca="false">MIN(L1641*IF(M1613=1,1+MSIG_USD*$AA$14,1),$C1641*(1+MSIG_USD*$AA$14)*IF(M1613&lt;=4,$AA$13/4,Appels_base))</f>
        <v>250000</v>
      </c>
      <c r="N1643" s="73" t="n">
        <f aca="false">MIN(M1641*IF(N1613=1,1+MSIG_USD*$AA$14,1),$C1641*(1+MSIG_USD*$AA$14)*IF(N1613&lt;=4,$AA$13/4,Appels_base))</f>
        <v>250000</v>
      </c>
      <c r="O1643" s="73" t="n">
        <f aca="false">MIN(N1641*IF(O1613=1,1+MSIG_USD*$AA$14,1),$C1641*(1+MSIG_USD*$AA$14)*IF(O1613&lt;=4,$AA$13/4,Appels_base))</f>
        <v>250000</v>
      </c>
    </row>
    <row r="1644" customFormat="false" ht="15" hidden="false" customHeight="false" outlineLevel="0" collapsed="false">
      <c r="B1644" s="65" t="s">
        <v>1047</v>
      </c>
      <c r="C1644" s="25"/>
      <c r="D1644" s="73" t="n">
        <f aca="false">C1634*Capacite_evg*IF(D1613&lt;=4,$AA$17,$AA$18)</f>
        <v>612500</v>
      </c>
      <c r="E1644" s="73" t="n">
        <f aca="false">D1634*Capacite_evg*IF(E1613&lt;=4,$AA$17,$AA$18)</f>
        <v>594446.5625</v>
      </c>
      <c r="F1644" s="73" t="n">
        <f aca="false">E1634*Capacite_evg*IF(F1613&lt;=4,$AA$17,$AA$18)</f>
        <v>576925.250070313</v>
      </c>
      <c r="G1644" s="73" t="n">
        <f aca="false">F1634*Capacite_evg*IF(G1613&lt;=4,$AA$17,$AA$18)</f>
        <v>559920.37832449</v>
      </c>
      <c r="H1644" s="73" t="n">
        <f aca="false">G1634*Capacite_evg*IF(H1613&lt;=4,$AA$17,$AA$18)</f>
        <v>543416.725173376</v>
      </c>
      <c r="I1644" s="73" t="n">
        <f aca="false">H1634*Capacite_evg*IF(I1613&lt;=4,$AA$17,$AA$18)</f>
        <v>527399.517198891</v>
      </c>
      <c r="J1644" s="73" t="n">
        <f aca="false">I1634*Capacite_evg*IF(J1613&lt;=4,$AA$17,$AA$18)</f>
        <v>511854.416429453</v>
      </c>
      <c r="K1644" s="73" t="n">
        <f aca="false">J1634*Capacite_evg*IF(K1613&lt;=4,$AA$17,$AA$18)</f>
        <v>496767.507505195</v>
      </c>
      <c r="L1644" s="73" t="n">
        <f aca="false">K1634*Capacite_evg*IF(L1613&lt;=4,$AA$17,$AA$18)</f>
        <v>482125.28522148</v>
      </c>
      <c r="M1644" s="73" t="n">
        <f aca="false">L1634*Capacite_evg*IF(M1613&lt;=4,$AA$17,$AA$18)</f>
        <v>467914.642439576</v>
      </c>
      <c r="N1644" s="73" t="n">
        <f aca="false">M1634*Capacite_evg*IF(N1613&lt;=4,$AA$17,$AA$18)</f>
        <v>454122.85835367</v>
      </c>
      <c r="O1644" s="73" t="n">
        <f aca="false">N1634*Capacite_evg*IF(O1613&lt;=4,$AA$17,$AA$18)</f>
        <v>440737.587103696</v>
      </c>
    </row>
    <row r="1645" customFormat="false" ht="15" hidden="false" customHeight="false" outlineLevel="0" collapsed="false">
      <c r="B1645" s="65" t="s">
        <v>1048</v>
      </c>
      <c r="C1645" s="25"/>
      <c r="D1645" s="73" t="n">
        <f aca="false">C1635*Capacite_evg*IF(D1613&lt;=4,$AA$17,$AA$19)*(1-IF(D1613&lt;=Deduc_trim,Deduc_ares,0))</f>
        <v>581875</v>
      </c>
      <c r="E1645" s="73" t="n">
        <f aca="false">D1635*Capacite_evg*IF(E1613&lt;=4,$AA$17,$AA$19)*(1-IF(E1613&lt;=Deduc_trim,Deduc_ares,0))</f>
        <v>557058.03125</v>
      </c>
      <c r="F1645" s="73" t="n">
        <f aca="false">E1635*Capacite_evg*IF(F1613&lt;=4,$AA$17,$AA$19)*(1-IF(F1613&lt;=Deduc_trim,Deduc_ares,0))</f>
        <v>533299.506217187</v>
      </c>
      <c r="G1645" s="73" t="n">
        <f aca="false">F1635*Capacite_evg*IF(G1613&lt;=4,$AA$17,$AA$19)*(1-IF(G1613&lt;=Deduc_trim,Deduc_ares,0))</f>
        <v>510554.282277024</v>
      </c>
      <c r="H1645" s="73" t="n">
        <f aca="false">G1635*Capacite_evg*IF(H1613&lt;=4,$AA$17,$AA$19)*(1-IF(H1613&lt;=Deduc_trim,Deduc_ares,0))</f>
        <v>514504.360145168</v>
      </c>
      <c r="I1645" s="73" t="n">
        <f aca="false">H1635*Capacite_evg*IF(I1613&lt;=4,$AA$17,$AA$19)*(1-IF(I1613&lt;=Deduc_trim,Deduc_ares,0))</f>
        <v>492560.749184976</v>
      </c>
      <c r="J1645" s="73" t="n">
        <f aca="false">I1635*Capacite_evg*IF(J1613&lt;=4,$AA$17,$AA$19)*(1-IF(J1613&lt;=Deduc_trim,Deduc_ares,0))</f>
        <v>471553.033232237</v>
      </c>
      <c r="K1645" s="73" t="n">
        <f aca="false">J1635*Capacite_evg*IF(K1613&lt;=4,$AA$17,$AA$19)*(1-IF(K1613&lt;=Deduc_trim,Deduc_ares,0))</f>
        <v>451441.296364882</v>
      </c>
      <c r="L1645" s="73" t="n">
        <f aca="false">K1635*Capacite_evg*IF(L1613&lt;=4,$AA$17,$AA$19)*(1-IF(L1613&lt;=Deduc_trim,Deduc_ares,0))</f>
        <v>432187.32507492</v>
      </c>
      <c r="M1645" s="73" t="n">
        <f aca="false">L1635*Capacite_evg*IF(M1613&lt;=4,$AA$17,$AA$19)*(1-IF(M1613&lt;=Deduc_trim,Deduc_ares,0))</f>
        <v>413754.535660474</v>
      </c>
      <c r="N1645" s="73" t="n">
        <f aca="false">M1635*Capacite_evg*IF(N1613&lt;=4,$AA$17,$AA$19)*(1-IF(N1613&lt;=Deduc_trim,Deduc_ares,0))</f>
        <v>396107.904714555</v>
      </c>
      <c r="O1645" s="73" t="n">
        <f aca="false">N1635*Capacite_evg*IF(O1613&lt;=4,$AA$17,$AA$19)*(1-IF(O1613&lt;=Deduc_trim,Deduc_ares,0))</f>
        <v>379213.902578479</v>
      </c>
    </row>
    <row r="1646" customFormat="false" ht="15" hidden="false" customHeight="false" outlineLevel="0" collapsed="false">
      <c r="B1646" s="65" t="s">
        <v>1049</v>
      </c>
      <c r="C1646" s="25"/>
      <c r="D1646" s="73" t="n">
        <f aca="false">C1660</f>
        <v>7500000</v>
      </c>
      <c r="E1646" s="73" t="n">
        <f aca="false">D1660</f>
        <v>5739375</v>
      </c>
      <c r="F1646" s="73" t="n">
        <f aca="false">E1660</f>
        <v>6562891.4375</v>
      </c>
      <c r="G1646" s="73" t="n">
        <f aca="false">F1660</f>
        <v>4909430.45367109</v>
      </c>
      <c r="H1646" s="73" t="n">
        <f aca="false">G1660</f>
        <v>5659951.93568534</v>
      </c>
      <c r="I1646" s="73" t="n">
        <f aca="false">H1660</f>
        <v>4411869.27572043</v>
      </c>
      <c r="J1646" s="73" t="n">
        <f aca="false">I1660</f>
        <v>5121145.98134905</v>
      </c>
      <c r="K1646" s="73" t="n">
        <f aca="false">J1660</f>
        <v>4853379.79042685</v>
      </c>
      <c r="L1646" s="73" t="n">
        <f aca="false">K1660</f>
        <v>5502119.26811218</v>
      </c>
      <c r="M1646" s="73" t="n">
        <f aca="false">L1660</f>
        <v>5165720.55577002</v>
      </c>
      <c r="N1646" s="73" t="n">
        <f aca="false">M1660</f>
        <v>5759699.88499658</v>
      </c>
      <c r="O1646" s="73" t="n">
        <f aca="false">N1660</f>
        <v>5360293.55240955</v>
      </c>
    </row>
    <row r="1647" customFormat="false" ht="15" hidden="false" customHeight="false" outlineLevel="0" collapsed="false">
      <c r="B1647" s="65" t="s">
        <v>1050</v>
      </c>
      <c r="C1647" s="25"/>
      <c r="D1647" s="73" t="n">
        <f aca="false">D1646*Taux_treso/4</f>
        <v>46875</v>
      </c>
      <c r="E1647" s="73" t="n">
        <f aca="false">E1646*Taux_treso/4</f>
        <v>35871.09375</v>
      </c>
      <c r="F1647" s="73" t="n">
        <f aca="false">F1646*Taux_treso/4</f>
        <v>41018.071484375</v>
      </c>
      <c r="G1647" s="73" t="n">
        <f aca="false">G1646*Taux_treso/4</f>
        <v>30683.9403354443</v>
      </c>
      <c r="H1647" s="73" t="n">
        <f aca="false">H1646*Taux_treso/4</f>
        <v>35374.6995980334</v>
      </c>
      <c r="I1647" s="73" t="n">
        <f aca="false">I1646*Taux_treso/4</f>
        <v>27574.1829732527</v>
      </c>
      <c r="J1647" s="73" t="n">
        <f aca="false">J1646*Taux_treso/4</f>
        <v>32007.1623834316</v>
      </c>
      <c r="K1647" s="73" t="n">
        <f aca="false">K1646*Taux_treso/4</f>
        <v>30333.6236901678</v>
      </c>
      <c r="L1647" s="73" t="n">
        <f aca="false">L1646*Taux_treso/4</f>
        <v>34388.2454257011</v>
      </c>
      <c r="M1647" s="73" t="n">
        <f aca="false">M1646*Taux_treso/4</f>
        <v>32285.7534735626</v>
      </c>
      <c r="N1647" s="73" t="n">
        <f aca="false">N1646*Taux_treso/4</f>
        <v>35998.1242812286</v>
      </c>
      <c r="O1647" s="73" t="n">
        <f aca="false">O1646*Taux_treso/4</f>
        <v>33501.8347025597</v>
      </c>
    </row>
    <row r="1648" customFormat="false" ht="15" hidden="false" customHeight="false" outlineLevel="0" collapsed="false">
      <c r="B1648" s="65" t="s">
        <v>1051</v>
      </c>
      <c r="C1648" s="25"/>
      <c r="D1648" s="73" t="n">
        <f aca="false">SUM(D1636:D1639)</f>
        <v>498125</v>
      </c>
      <c r="E1648" s="73" t="n">
        <f aca="false">SUM(E1636:E1639)</f>
        <v>501643.96875</v>
      </c>
      <c r="F1648" s="73" t="n">
        <f aca="false">SUM(F1636:F1639)</f>
        <v>505569.532629688</v>
      </c>
      <c r="G1648" s="73" t="n">
        <f aca="false">SUM(G1636:G1639)</f>
        <v>509888.751029738</v>
      </c>
      <c r="H1648" s="73" t="n">
        <f aca="false">SUM(H1636:H1639)</f>
        <v>514589.239858558</v>
      </c>
      <c r="I1648" s="73" t="n">
        <f aca="false">SUM(I1636:I1639)</f>
        <v>519659.148597052</v>
      </c>
      <c r="J1648" s="73" t="n">
        <f aca="false">SUM(J1636:J1639)</f>
        <v>525087.138315382</v>
      </c>
      <c r="K1648" s="73" t="n">
        <f aca="false">SUM(K1636:K1639)</f>
        <v>530862.360611252</v>
      </c>
      <c r="L1648" s="73" t="n">
        <f aca="false">SUM(L1636:L1639)</f>
        <v>536974.437430912</v>
      </c>
      <c r="M1648" s="73" t="n">
        <f aca="false">SUM(M1636:M1639)</f>
        <v>543413.441735769</v>
      </c>
      <c r="N1648" s="73" t="n">
        <f aca="false">SUM(N1636:N1639)</f>
        <v>550169.878979005</v>
      </c>
      <c r="O1648" s="73" t="n">
        <f aca="false">SUM(O1636:O1639)</f>
        <v>557234.669358171</v>
      </c>
    </row>
    <row r="1649" customFormat="false" ht="15" hidden="false" customHeight="false" outlineLevel="0" collapsed="false">
      <c r="B1649" s="65" t="s">
        <v>1052</v>
      </c>
      <c r="C1649" s="25"/>
      <c r="D1649" s="73" t="n">
        <f aca="false">IF(AND(Distrib_tension=1,OR(D1621&gt;0.000001,C1663&lt;Liq_min,C1627=1)),0,MIN(Dist_porteurs/4*Part_d*D1618,D1648))</f>
        <v>125000</v>
      </c>
      <c r="E1649" s="73" t="n">
        <f aca="false">IF(AND(Distrib_tension=1,OR(E1621&gt;0.000001,D1663&lt;Liq_min,D1627=1)),0,MIN(Dist_porteurs/4*Part_d*E1618,E1648))</f>
        <v>0</v>
      </c>
      <c r="F1649" s="73" t="n">
        <f aca="false">IF(AND(Distrib_tension=1,OR(F1621&gt;0.000001,E1663&lt;Liq_min,E1627=1)),0,MIN(Dist_porteurs/4*Part_d*F1618,F1648))</f>
        <v>0</v>
      </c>
      <c r="G1649" s="73" t="n">
        <f aca="false">IF(AND(Distrib_tension=1,OR(G1621&gt;0.000001,F1663&lt;Liq_min,F1627=1)),0,MIN(Dist_porteurs/4*Part_d*G1618,G1648))</f>
        <v>0</v>
      </c>
      <c r="H1649" s="73" t="n">
        <f aca="false">IF(AND(Distrib_tension=1,OR(H1621&gt;0.000001,G1663&lt;Liq_min,G1627=1)),0,MIN(Dist_porteurs/4*Part_d*H1618,H1648))</f>
        <v>0</v>
      </c>
      <c r="I1649" s="73" t="n">
        <f aca="false">IF(AND(Distrib_tension=1,OR(I1621&gt;0.000001,H1663&lt;Liq_min,H1627=1)),0,MIN(Dist_porteurs/4*Part_d*I1618,I1648))</f>
        <v>0</v>
      </c>
      <c r="J1649" s="73" t="n">
        <f aca="false">IF(AND(Distrib_tension=1,OR(J1621&gt;0.000001,I1663&lt;Liq_min,I1627=1)),0,MIN(Dist_porteurs/4*Part_d*J1618,J1648))</f>
        <v>0</v>
      </c>
      <c r="K1649" s="73" t="n">
        <f aca="false">IF(AND(Distrib_tension=1,OR(K1621&gt;0.000001,J1663&lt;Liq_min,J1627=1)),0,MIN(Dist_porteurs/4*Part_d*K1618,K1648))</f>
        <v>0</v>
      </c>
      <c r="L1649" s="73" t="n">
        <f aca="false">IF(AND(Distrib_tension=1,OR(L1621&gt;0.000001,K1663&lt;Liq_min,K1627=1)),0,MIN(Dist_porteurs/4*Part_d*L1618,L1648))</f>
        <v>0</v>
      </c>
      <c r="M1649" s="73" t="n">
        <f aca="false">IF(AND(Distrib_tension=1,OR(M1621&gt;0.000001,L1663&lt;Liq_min,L1627=1)),0,MIN(Dist_porteurs/4*Part_d*M1618,M1648))</f>
        <v>0</v>
      </c>
      <c r="N1649" s="73" t="n">
        <f aca="false">IF(AND(Distrib_tension=1,OR(N1621&gt;0.000001,M1663&lt;Liq_min,M1627=1)),0,MIN(Dist_porteurs/4*Part_d*N1618,N1648))</f>
        <v>0</v>
      </c>
      <c r="O1649" s="73" t="n">
        <f aca="false">IF(AND(Distrib_tension=1,OR(O1621&gt;0.000001,N1663&lt;Liq_min,N1627=1)),0,MIN(Dist_porteurs/4*Part_d*O1618,O1648))</f>
        <v>0</v>
      </c>
    </row>
    <row r="1650" customFormat="false" ht="15" hidden="false" customHeight="false" outlineLevel="0" collapsed="false">
      <c r="B1650" s="65" t="s">
        <v>1053</v>
      </c>
      <c r="C1650" s="25"/>
      <c r="D1650" s="73" t="n">
        <f aca="false">D1642+D1643</f>
        <v>625000</v>
      </c>
      <c r="E1650" s="73" t="n">
        <f aca="false">E1642+E1643</f>
        <v>625000</v>
      </c>
      <c r="F1650" s="73" t="n">
        <f aca="false">F1642+F1643</f>
        <v>625000</v>
      </c>
      <c r="G1650" s="73" t="n">
        <f aca="false">G1642+G1643</f>
        <v>625000</v>
      </c>
      <c r="H1650" s="73" t="n">
        <f aca="false">H1642+H1643</f>
        <v>625000</v>
      </c>
      <c r="I1650" s="73" t="n">
        <f aca="false">I1642+I1643</f>
        <v>625000</v>
      </c>
      <c r="J1650" s="73" t="n">
        <f aca="false">J1642+J1643</f>
        <v>625000</v>
      </c>
      <c r="K1650" s="73" t="n">
        <f aca="false">K1642+K1643</f>
        <v>625000</v>
      </c>
      <c r="L1650" s="73" t="n">
        <f aca="false">L1642+L1643</f>
        <v>625000</v>
      </c>
      <c r="M1650" s="73" t="n">
        <f aca="false">M1642+M1643</f>
        <v>625000</v>
      </c>
      <c r="N1650" s="73" t="n">
        <f aca="false">N1642+N1643</f>
        <v>625000</v>
      </c>
      <c r="O1650" s="73" t="n">
        <f aca="false">O1642+O1643</f>
        <v>625000</v>
      </c>
    </row>
    <row r="1651" customFormat="false" ht="15" hidden="false" customHeight="false" outlineLevel="0" collapsed="false">
      <c r="B1651" s="65" t="s">
        <v>1054</v>
      </c>
      <c r="C1651" s="25"/>
      <c r="D1651" s="73" t="n">
        <f aca="false">D1618*Frais_an/4</f>
        <v>250000</v>
      </c>
      <c r="E1651" s="73" t="n">
        <f aca="false">E1618*Frais_an/4</f>
        <v>240503.21875</v>
      </c>
      <c r="F1651" s="73" t="n">
        <f aca="false">F1618*Frais_an/4</f>
        <v>244115.758566406</v>
      </c>
      <c r="G1651" s="73" t="n">
        <f aca="false">G1618*Frais_an/4</f>
        <v>235525.86995245</v>
      </c>
      <c r="H1651" s="73" t="n">
        <f aca="false">H1618*Frais_an/4</f>
        <v>239132.447227697</v>
      </c>
      <c r="I1651" s="73" t="n">
        <f aca="false">I1618*Frais_an/4</f>
        <v>232916.892325545</v>
      </c>
      <c r="J1651" s="73" t="n">
        <f aca="false">J1618*Frais_an/4</f>
        <v>236653.588256542</v>
      </c>
      <c r="K1651" s="73" t="n">
        <f aca="false">K1618*Frais_an/4</f>
        <v>235665.310486164</v>
      </c>
      <c r="L1651" s="73" t="n">
        <f aca="false">L1618*Frais_an/4</f>
        <v>239414.801099035</v>
      </c>
      <c r="M1651" s="73" t="n">
        <f aca="false">M1618*Frais_an/4</f>
        <v>238389.04408282</v>
      </c>
      <c r="N1651" s="73" t="n">
        <f aca="false">N1618*Frais_an/4</f>
        <v>242161.019783097</v>
      </c>
      <c r="O1651" s="73" t="n">
        <f aca="false">O1618*Frais_an/4</f>
        <v>241107.496993175</v>
      </c>
    </row>
    <row r="1652" customFormat="false" ht="15" hidden="false" customHeight="false" outlineLevel="0" collapsed="false">
      <c r="B1652" s="65" t="s">
        <v>1055</v>
      </c>
      <c r="C1652" s="25"/>
      <c r="D1652" s="73" t="n">
        <f aca="false">C1661*Taux_emprunt/4</f>
        <v>0</v>
      </c>
      <c r="E1652" s="73" t="n">
        <f aca="false">D1661*Taux_emprunt/4</f>
        <v>0</v>
      </c>
      <c r="F1652" s="73" t="n">
        <f aca="false">E1661*Taux_emprunt/4</f>
        <v>0</v>
      </c>
      <c r="G1652" s="73" t="n">
        <f aca="false">F1661*Taux_emprunt/4</f>
        <v>0</v>
      </c>
      <c r="H1652" s="73" t="n">
        <f aca="false">G1661*Taux_emprunt/4</f>
        <v>0</v>
      </c>
      <c r="I1652" s="73" t="n">
        <f aca="false">H1661*Taux_emprunt/4</f>
        <v>0</v>
      </c>
      <c r="J1652" s="73" t="n">
        <f aca="false">I1661*Taux_emprunt/4</f>
        <v>0</v>
      </c>
      <c r="K1652" s="73" t="n">
        <f aca="false">J1661*Taux_emprunt/4</f>
        <v>0</v>
      </c>
      <c r="L1652" s="73" t="n">
        <f aca="false">K1661*Taux_emprunt/4</f>
        <v>0</v>
      </c>
      <c r="M1652" s="73" t="n">
        <f aca="false">L1661*Taux_emprunt/4</f>
        <v>0</v>
      </c>
      <c r="N1652" s="73" t="n">
        <f aca="false">M1661*Taux_emprunt/4</f>
        <v>0</v>
      </c>
      <c r="O1652" s="73" t="n">
        <f aca="false">N1661*Taux_emprunt/4</f>
        <v>0</v>
      </c>
    </row>
    <row r="1653" customFormat="false" ht="15" hidden="false" customHeight="false" outlineLevel="0" collapsed="false">
      <c r="B1653" s="65" t="s">
        <v>1056</v>
      </c>
      <c r="C1653" s="25"/>
      <c r="D1653" s="73" t="n">
        <f aca="false">D1646+D1647+D1648-D1649+D1619-D1650-D1651-D1652</f>
        <v>7045000</v>
      </c>
      <c r="E1653" s="73" t="n">
        <f aca="false">E1646+E1647+E1648-E1649+E1619-E1650-E1651-E1652</f>
        <v>5411386.84375</v>
      </c>
      <c r="F1653" s="73" t="n">
        <f aca="false">F1646+F1647+F1648-F1649+F1619-F1650-F1651-F1652</f>
        <v>6240363.28304766</v>
      </c>
      <c r="G1653" s="73" t="n">
        <f aca="false">G1646+G1647+G1648-G1649+G1619-G1650-G1651-G1652</f>
        <v>4589477.27508382</v>
      </c>
      <c r="H1653" s="73" t="n">
        <f aca="false">H1646+H1647+H1648-H1649+H1619-H1650-H1651-H1652</f>
        <v>5345783.42791423</v>
      </c>
      <c r="I1653" s="73" t="n">
        <f aca="false">I1646+I1647+I1648-I1649+I1619-I1650-I1651-I1652</f>
        <v>4101185.71496519</v>
      </c>
      <c r="J1653" s="73" t="n">
        <f aca="false">J1646+J1647+J1648-J1649+J1619-J1650-J1651-J1652</f>
        <v>4816586.69379132</v>
      </c>
      <c r="K1653" s="73" t="n">
        <f aca="false">K1646+K1647+K1648-K1649+K1619-K1650-K1651-K1652</f>
        <v>4553910.4642421</v>
      </c>
      <c r="L1653" s="73" t="n">
        <f aca="false">L1646+L1647+L1648-L1649+L1619-L1650-L1651-L1652</f>
        <v>5209067.14986976</v>
      </c>
      <c r="M1653" s="73" t="n">
        <f aca="false">M1646+M1647+M1648-M1649+M1619-M1650-M1651-M1652</f>
        <v>4878030.70689653</v>
      </c>
      <c r="N1653" s="73" t="n">
        <f aca="false">N1646+N1647+N1648-N1649+N1619-N1650-N1651-N1652</f>
        <v>5478706.86847372</v>
      </c>
      <c r="O1653" s="73" t="n">
        <f aca="false">O1646+O1647+O1648-O1649+O1619-O1650-O1651-O1652</f>
        <v>5084922.55947711</v>
      </c>
    </row>
    <row r="1654" customFormat="false" ht="15" hidden="false" customHeight="false" outlineLevel="0" collapsed="false">
      <c r="B1654" s="65" t="s">
        <v>1057</v>
      </c>
      <c r="C1654" s="25"/>
      <c r="D1654" s="73" t="n">
        <f aca="false">MIN(D1644+D1645,MAX(0,Liq_cible*D1618-(D1653-D1628)))</f>
        <v>1194375</v>
      </c>
      <c r="E1654" s="73" t="n">
        <f aca="false">MIN(E1644+E1645,MAX(0,Liq_cible*E1618-(E1653-E1628)))</f>
        <v>1151504.59375</v>
      </c>
      <c r="F1654" s="73" t="n">
        <f aca="false">MIN(F1644+F1645,MAX(0,Liq_cible*F1618-(F1653-F1628)))</f>
        <v>1110224.7562875</v>
      </c>
      <c r="G1654" s="73" t="n">
        <f aca="false">MIN(G1644+G1645,MAX(0,Liq_cible*G1618-(G1653-G1628)))</f>
        <v>1070474.66060151</v>
      </c>
      <c r="H1654" s="73" t="n">
        <f aca="false">MIN(H1644+H1645,MAX(0,Liq_cible*H1618-(H1653-H1628)))</f>
        <v>1057921.08531854</v>
      </c>
      <c r="I1654" s="73" t="n">
        <f aca="false">MIN(I1644+I1645,MAX(0,Liq_cible*I1618-(I1653-I1628)))</f>
        <v>1019960.26638387</v>
      </c>
      <c r="J1654" s="73" t="n">
        <f aca="false">MIN(J1644+J1645,MAX(0,Liq_cible*J1618-(J1653-J1628)))</f>
        <v>983407.44966169</v>
      </c>
      <c r="K1654" s="73" t="n">
        <f aca="false">MIN(K1644+K1645,MAX(0,Liq_cible*K1618-(K1653-K1628)))</f>
        <v>948208.803870077</v>
      </c>
      <c r="L1654" s="73" t="n">
        <f aca="false">MIN(L1644+L1645,MAX(0,Liq_cible*L1618-(L1653-L1628)))</f>
        <v>914312.610296399</v>
      </c>
      <c r="M1654" s="73" t="n">
        <f aca="false">MIN(M1644+M1645,MAX(0,Liq_cible*M1618-(M1653-M1628)))</f>
        <v>881669.178100051</v>
      </c>
      <c r="N1654" s="73" t="n">
        <f aca="false">MIN(N1644+N1645,MAX(0,Liq_cible*N1618-(N1653-N1628)))</f>
        <v>850230.763068225</v>
      </c>
      <c r="O1654" s="73" t="n">
        <f aca="false">MIN(O1644+O1645,MAX(0,Liq_cible*O1618-(O1653-O1628)))</f>
        <v>819951.489682175</v>
      </c>
    </row>
    <row r="1655" customFormat="false" ht="15" hidden="false" customHeight="false" outlineLevel="0" collapsed="false">
      <c r="B1655" s="65" t="s">
        <v>1058</v>
      </c>
      <c r="C1655" s="25"/>
      <c r="D1655" s="73" t="n">
        <f aca="false">D1653-D1628+D1654</f>
        <v>5739375</v>
      </c>
      <c r="E1655" s="73" t="n">
        <f aca="false">E1653-E1628+E1654</f>
        <v>6562891.4375</v>
      </c>
      <c r="F1655" s="73" t="n">
        <f aca="false">F1653-F1628+F1654</f>
        <v>4909430.45367109</v>
      </c>
      <c r="G1655" s="73" t="n">
        <f aca="false">G1653-G1628+G1654</f>
        <v>5659951.93568534</v>
      </c>
      <c r="H1655" s="73" t="n">
        <f aca="false">H1653-H1628+H1654</f>
        <v>4411869.27572043</v>
      </c>
      <c r="I1655" s="73" t="n">
        <f aca="false">I1653-I1628+I1654</f>
        <v>5121145.98134905</v>
      </c>
      <c r="J1655" s="73" t="n">
        <f aca="false">J1653-J1628+J1654</f>
        <v>4853379.79042685</v>
      </c>
      <c r="K1655" s="73" t="n">
        <f aca="false">K1653-K1628+K1654</f>
        <v>5502119.26811218</v>
      </c>
      <c r="L1655" s="73" t="n">
        <f aca="false">L1653-L1628+L1654</f>
        <v>5165720.55577002</v>
      </c>
      <c r="M1655" s="73" t="n">
        <f aca="false">M1653-M1628+M1654</f>
        <v>5759699.88499658</v>
      </c>
      <c r="N1655" s="73" t="n">
        <f aca="false">N1653-N1628+N1654</f>
        <v>5360293.55240955</v>
      </c>
      <c r="O1655" s="73" t="n">
        <f aca="false">O1653-O1628+O1654</f>
        <v>5904874.04915928</v>
      </c>
    </row>
    <row r="1656" customFormat="false" ht="15" hidden="false" customHeight="false" outlineLevel="0" collapsed="false">
      <c r="B1656" s="65" t="s">
        <v>1059</v>
      </c>
      <c r="C1656" s="25"/>
      <c r="D1656" s="73" t="n">
        <f aca="false">MIN(MAX(0,MIN($AA$20*AN_cible,Emprunt_max*D1618)-C1661),MAX(0,IF($AA$20&gt;0,Poche_min_exec*D1618,0)-D1655))-IF(D1655&gt;Liq_cible*D1618,MIN(C1661,D1655-Liq_cible*D1618),0)</f>
        <v>0</v>
      </c>
      <c r="E1656" s="73" t="n">
        <f aca="false">MIN(MAX(0,MIN($AA$20*AN_cible,Emprunt_max*E1618)-D1661),MAX(0,IF($AA$20&gt;0,Poche_min_exec*E1618,0)-E1655))-IF(E1655&gt;Liq_cible*E1618,MIN(D1661,E1655-Liq_cible*E1618),0)</f>
        <v>0</v>
      </c>
      <c r="F1656" s="73" t="n">
        <f aca="false">MIN(MAX(0,MIN($AA$20*AN_cible,Emprunt_max*F1618)-E1661),MAX(0,IF($AA$20&gt;0,Poche_min_exec*F1618,0)-F1655))-IF(F1655&gt;Liq_cible*F1618,MIN(E1661,F1655-Liq_cible*F1618),0)</f>
        <v>0</v>
      </c>
      <c r="G1656" s="73" t="n">
        <f aca="false">MIN(MAX(0,MIN($AA$20*AN_cible,Emprunt_max*G1618)-F1661),MAX(0,IF($AA$20&gt;0,Poche_min_exec*G1618,0)-G1655))-IF(G1655&gt;Liq_cible*G1618,MIN(F1661,G1655-Liq_cible*G1618),0)</f>
        <v>0</v>
      </c>
      <c r="H1656" s="73" t="n">
        <f aca="false">MIN(MAX(0,MIN($AA$20*AN_cible,Emprunt_max*H1618)-G1661),MAX(0,IF($AA$20&gt;0,Poche_min_exec*H1618,0)-H1655))-IF(H1655&gt;Liq_cible*H1618,MIN(G1661,H1655-Liq_cible*H1618),0)</f>
        <v>0</v>
      </c>
      <c r="I1656" s="73" t="n">
        <f aca="false">MIN(MAX(0,MIN($AA$20*AN_cible,Emprunt_max*I1618)-H1661),MAX(0,IF($AA$20&gt;0,Poche_min_exec*I1618,0)-I1655))-IF(I1655&gt;Liq_cible*I1618,MIN(H1661,I1655-Liq_cible*I1618),0)</f>
        <v>0</v>
      </c>
      <c r="J1656" s="73" t="n">
        <f aca="false">MIN(MAX(0,MIN($AA$20*AN_cible,Emprunt_max*J1618)-I1661),MAX(0,IF($AA$20&gt;0,Poche_min_exec*J1618,0)-J1655))-IF(J1655&gt;Liq_cible*J1618,MIN(I1661,J1655-Liq_cible*J1618),0)</f>
        <v>0</v>
      </c>
      <c r="K1656" s="73" t="n">
        <f aca="false">MIN(MAX(0,MIN($AA$20*AN_cible,Emprunt_max*K1618)-J1661),MAX(0,IF($AA$20&gt;0,Poche_min_exec*K1618,0)-K1655))-IF(K1655&gt;Liq_cible*K1618,MIN(J1661,K1655-Liq_cible*K1618),0)</f>
        <v>0</v>
      </c>
      <c r="L1656" s="73" t="n">
        <f aca="false">MIN(MAX(0,MIN($AA$20*AN_cible,Emprunt_max*L1618)-K1661),MAX(0,IF($AA$20&gt;0,Poche_min_exec*L1618,0)-L1655))-IF(L1655&gt;Liq_cible*L1618,MIN(K1661,L1655-Liq_cible*L1618),0)</f>
        <v>0</v>
      </c>
      <c r="M1656" s="73" t="n">
        <f aca="false">MIN(MAX(0,MIN($AA$20*AN_cible,Emprunt_max*M1618)-L1661),MAX(0,IF($AA$20&gt;0,Poche_min_exec*M1618,0)-M1655))-IF(M1655&gt;Liq_cible*M1618,MIN(L1661,M1655-Liq_cible*M1618),0)</f>
        <v>0</v>
      </c>
      <c r="N1656" s="73" t="n">
        <f aca="false">MIN(MAX(0,MIN($AA$20*AN_cible,Emprunt_max*N1618)-M1661),MAX(0,IF($AA$20&gt;0,Poche_min_exec*N1618,0)-N1655))-IF(N1655&gt;Liq_cible*N1618,MIN(M1661,N1655-Liq_cible*N1618),0)</f>
        <v>0</v>
      </c>
      <c r="O1656" s="73" t="n">
        <f aca="false">MIN(MAX(0,MIN($AA$20*AN_cible,Emprunt_max*O1618)-N1661),MAX(0,IF($AA$20&gt;0,Poche_min_exec*O1618,0)-O1655))-IF(O1655&gt;Liq_cible*O1618,MIN(N1661,O1655-Liq_cible*O1618),0)</f>
        <v>0</v>
      </c>
    </row>
    <row r="1657" customFormat="false" ht="15" hidden="false" customHeight="false" outlineLevel="0" collapsed="false">
      <c r="B1657" s="65" t="s">
        <v>1060</v>
      </c>
      <c r="C1657" s="25"/>
      <c r="D1657" s="73" t="n">
        <f aca="false">MIN((C1632+C1633+C1634+C1635),MAX(0,-(D1655+D1656))/(1-Decote))</f>
        <v>0</v>
      </c>
      <c r="E1657" s="73" t="n">
        <f aca="false">MIN((D1632+D1633+D1634+D1635),MAX(0,-(E1655+E1656))/(1-Decote))</f>
        <v>0</v>
      </c>
      <c r="F1657" s="73" t="n">
        <f aca="false">MIN((E1632+E1633+E1634+E1635),MAX(0,-(F1655+F1656))/(1-Decote))</f>
        <v>0</v>
      </c>
      <c r="G1657" s="73" t="n">
        <f aca="false">MIN((F1632+F1633+F1634+F1635),MAX(0,-(G1655+G1656))/(1-Decote))</f>
        <v>0</v>
      </c>
      <c r="H1657" s="73" t="n">
        <f aca="false">MIN((G1632+G1633+G1634+G1635),MAX(0,-(H1655+H1656))/(1-Decote))</f>
        <v>0</v>
      </c>
      <c r="I1657" s="73" t="n">
        <f aca="false">MIN((H1632+H1633+H1634+H1635),MAX(0,-(I1655+I1656))/(1-Decote))</f>
        <v>0</v>
      </c>
      <c r="J1657" s="73" t="n">
        <f aca="false">MIN((I1632+I1633+I1634+I1635),MAX(0,-(J1655+J1656))/(1-Decote))</f>
        <v>0</v>
      </c>
      <c r="K1657" s="73" t="n">
        <f aca="false">MIN((J1632+J1633+J1634+J1635),MAX(0,-(K1655+K1656))/(1-Decote))</f>
        <v>0</v>
      </c>
      <c r="L1657" s="73" t="n">
        <f aca="false">MIN((K1632+K1633+K1634+K1635),MAX(0,-(L1655+L1656))/(1-Decote))</f>
        <v>0</v>
      </c>
      <c r="M1657" s="73" t="n">
        <f aca="false">MIN((L1632+L1633+L1634+L1635),MAX(0,-(M1655+M1656))/(1-Decote))</f>
        <v>0</v>
      </c>
      <c r="N1657" s="73" t="n">
        <f aca="false">MIN((M1632+M1633+M1634+M1635),MAX(0,-(N1655+N1656))/(1-Decote))</f>
        <v>0</v>
      </c>
      <c r="O1657" s="73" t="n">
        <f aca="false">MIN((N1632+N1633+N1634+N1635),MAX(0,-(O1655+O1656))/(1-Decote))</f>
        <v>0</v>
      </c>
    </row>
    <row r="1658" customFormat="false" ht="15" hidden="false" customHeight="false" outlineLevel="0" collapsed="false">
      <c r="B1658" s="65" t="s">
        <v>1061</v>
      </c>
      <c r="C1658" s="25"/>
      <c r="D1658" s="73" t="n">
        <f aca="false">D1657*Decote</f>
        <v>0</v>
      </c>
      <c r="E1658" s="73" t="n">
        <f aca="false">E1657*Decote</f>
        <v>0</v>
      </c>
      <c r="F1658" s="73" t="n">
        <f aca="false">F1657*Decote</f>
        <v>0</v>
      </c>
      <c r="G1658" s="73" t="n">
        <f aca="false">G1657*Decote</f>
        <v>0</v>
      </c>
      <c r="H1658" s="73" t="n">
        <f aca="false">H1657*Decote</f>
        <v>0</v>
      </c>
      <c r="I1658" s="73" t="n">
        <f aca="false">I1657*Decote</f>
        <v>0</v>
      </c>
      <c r="J1658" s="73" t="n">
        <f aca="false">J1657*Decote</f>
        <v>0</v>
      </c>
      <c r="K1658" s="73" t="n">
        <f aca="false">K1657*Decote</f>
        <v>0</v>
      </c>
      <c r="L1658" s="73" t="n">
        <f aca="false">L1657*Decote</f>
        <v>0</v>
      </c>
      <c r="M1658" s="73" t="n">
        <f aca="false">M1657*Decote</f>
        <v>0</v>
      </c>
      <c r="N1658" s="73" t="n">
        <f aca="false">N1657*Decote</f>
        <v>0</v>
      </c>
      <c r="O1658" s="73" t="n">
        <f aca="false">O1657*Decote</f>
        <v>0</v>
      </c>
    </row>
    <row r="1659" customFormat="false" ht="15" hidden="false" customHeight="false" outlineLevel="0" collapsed="false">
      <c r="B1659" s="65" t="s">
        <v>1062</v>
      </c>
      <c r="C1659" s="25"/>
      <c r="D1659" s="73" t="n">
        <f aca="false">IF(AND(D1629&lt;0.000001,C1661+D1656&lt;0.000001),MAX(0,D1655+D1656-Seuil_reinv*D1618),0)</f>
        <v>0</v>
      </c>
      <c r="E1659" s="73" t="n">
        <f aca="false">IF(AND(E1629&lt;0.000001,D1661+E1656&lt;0.000001),MAX(0,E1655+E1656-Seuil_reinv*E1618),0)</f>
        <v>0</v>
      </c>
      <c r="F1659" s="73" t="n">
        <f aca="false">IF(AND(F1629&lt;0.000001,E1661+F1656&lt;0.000001),MAX(0,F1655+F1656-Seuil_reinv*F1618),0)</f>
        <v>0</v>
      </c>
      <c r="G1659" s="73" t="n">
        <f aca="false">IF(AND(G1629&lt;0.000001,F1661+G1656&lt;0.000001),MAX(0,G1655+G1656-Seuil_reinv*G1618),0)</f>
        <v>0</v>
      </c>
      <c r="H1659" s="73" t="n">
        <f aca="false">IF(AND(H1629&lt;0.000001,G1661+H1656&lt;0.000001),MAX(0,H1655+H1656-Seuil_reinv*H1618),0)</f>
        <v>0</v>
      </c>
      <c r="I1659" s="73" t="n">
        <f aca="false">IF(AND(I1629&lt;0.000001,H1661+I1656&lt;0.000001),MAX(0,I1655+I1656-Seuil_reinv*I1618),0)</f>
        <v>0</v>
      </c>
      <c r="J1659" s="73" t="n">
        <f aca="false">IF(AND(J1629&lt;0.000001,I1661+J1656&lt;0.000001),MAX(0,J1655+J1656-Seuil_reinv*J1618),0)</f>
        <v>0</v>
      </c>
      <c r="K1659" s="73" t="n">
        <f aca="false">IF(AND(K1629&lt;0.000001,J1661+K1656&lt;0.000001),MAX(0,K1655+K1656-Seuil_reinv*K1618),0)</f>
        <v>0</v>
      </c>
      <c r="L1659" s="73" t="n">
        <f aca="false">IF(AND(L1629&lt;0.000001,K1661+L1656&lt;0.000001),MAX(0,L1655+L1656-Seuil_reinv*L1618),0)</f>
        <v>0</v>
      </c>
      <c r="M1659" s="73" t="n">
        <f aca="false">IF(AND(M1629&lt;0.000001,L1661+M1656&lt;0.000001),MAX(0,M1655+M1656-Seuil_reinv*M1618),0)</f>
        <v>0</v>
      </c>
      <c r="N1659" s="73" t="n">
        <f aca="false">IF(AND(N1629&lt;0.000001,M1661+N1656&lt;0.000001),MAX(0,N1655+N1656-Seuil_reinv*N1618),0)</f>
        <v>0</v>
      </c>
      <c r="O1659" s="73" t="n">
        <f aca="false">IF(AND(O1629&lt;0.000001,N1661+O1656&lt;0.000001),MAX(0,O1655+O1656-Seuil_reinv*O1618),0)</f>
        <v>0</v>
      </c>
    </row>
    <row r="1660" customFormat="false" ht="15" hidden="false" customHeight="false" outlineLevel="0" collapsed="false">
      <c r="B1660" s="65" t="s">
        <v>1063</v>
      </c>
      <c r="C1660" s="73" t="n">
        <f aca="false">AN_cible*Ws_LIQ</f>
        <v>7500000</v>
      </c>
      <c r="D1660" s="73" t="n">
        <f aca="false">D1655+D1656+D1657-D1658-D1659</f>
        <v>5739375</v>
      </c>
      <c r="E1660" s="73" t="n">
        <f aca="false">E1655+E1656+E1657-E1658-E1659</f>
        <v>6562891.4375</v>
      </c>
      <c r="F1660" s="73" t="n">
        <f aca="false">F1655+F1656+F1657-F1658-F1659</f>
        <v>4909430.45367109</v>
      </c>
      <c r="G1660" s="73" t="n">
        <f aca="false">G1655+G1656+G1657-G1658-G1659</f>
        <v>5659951.93568534</v>
      </c>
      <c r="H1660" s="73" t="n">
        <f aca="false">H1655+H1656+H1657-H1658-H1659</f>
        <v>4411869.27572043</v>
      </c>
      <c r="I1660" s="73" t="n">
        <f aca="false">I1655+I1656+I1657-I1658-I1659</f>
        <v>5121145.98134905</v>
      </c>
      <c r="J1660" s="73" t="n">
        <f aca="false">J1655+J1656+J1657-J1658-J1659</f>
        <v>4853379.79042685</v>
      </c>
      <c r="K1660" s="73" t="n">
        <f aca="false">K1655+K1656+K1657-K1658-K1659</f>
        <v>5502119.26811218</v>
      </c>
      <c r="L1660" s="73" t="n">
        <f aca="false">L1655+L1656+L1657-L1658-L1659</f>
        <v>5165720.55577002</v>
      </c>
      <c r="M1660" s="73" t="n">
        <f aca="false">M1655+M1656+M1657-M1658-M1659</f>
        <v>5759699.88499658</v>
      </c>
      <c r="N1660" s="73" t="n">
        <f aca="false">N1655+N1656+N1657-N1658-N1659</f>
        <v>5360293.55240955</v>
      </c>
      <c r="O1660" s="73" t="n">
        <f aca="false">O1655+O1656+O1657-O1658-O1659</f>
        <v>5904874.04915928</v>
      </c>
    </row>
    <row r="1661" customFormat="false" ht="15" hidden="false" customHeight="false" outlineLevel="0" collapsed="false">
      <c r="B1661" s="65" t="s">
        <v>1064</v>
      </c>
      <c r="C1661" s="73" t="n">
        <v>0</v>
      </c>
      <c r="D1661" s="73" t="n">
        <f aca="false">C1661+D1656</f>
        <v>0</v>
      </c>
      <c r="E1661" s="73" t="n">
        <f aca="false">D1661+E1656</f>
        <v>0</v>
      </c>
      <c r="F1661" s="73" t="n">
        <f aca="false">E1661+F1656</f>
        <v>0</v>
      </c>
      <c r="G1661" s="73" t="n">
        <f aca="false">F1661+G1656</f>
        <v>0</v>
      </c>
      <c r="H1661" s="73" t="n">
        <f aca="false">G1661+H1656</f>
        <v>0</v>
      </c>
      <c r="I1661" s="73" t="n">
        <f aca="false">H1661+I1656</f>
        <v>0</v>
      </c>
      <c r="J1661" s="73" t="n">
        <f aca="false">I1661+J1656</f>
        <v>0</v>
      </c>
      <c r="K1661" s="73" t="n">
        <f aca="false">J1661+K1656</f>
        <v>0</v>
      </c>
      <c r="L1661" s="73" t="n">
        <f aca="false">K1661+L1656</f>
        <v>0</v>
      </c>
      <c r="M1661" s="73" t="n">
        <f aca="false">L1661+M1656</f>
        <v>0</v>
      </c>
      <c r="N1661" s="73" t="n">
        <f aca="false">M1661+N1656</f>
        <v>0</v>
      </c>
      <c r="O1661" s="73" t="n">
        <f aca="false">N1661+O1656</f>
        <v>0</v>
      </c>
    </row>
    <row r="1662" customFormat="false" ht="15" hidden="false" customHeight="false" outlineLevel="0" collapsed="false">
      <c r="B1662" s="74" t="s">
        <v>1065</v>
      </c>
      <c r="C1662" s="73" t="n">
        <f aca="false">C1632+C1633+C1634+C1635+C1660-C1661</f>
        <v>50000000</v>
      </c>
      <c r="D1662" s="73" t="n">
        <f aca="false">D1632+D1633+D1634+D1635+D1660-D1661</f>
        <v>48100643.75</v>
      </c>
      <c r="E1662" s="73" t="n">
        <f aca="false">E1632+E1633+E1634+E1635+E1660-E1661</f>
        <v>48823151.7132813</v>
      </c>
      <c r="F1662" s="73" t="n">
        <f aca="false">F1632+F1633+F1634+F1635+F1660-F1661</f>
        <v>47105173.9904901</v>
      </c>
      <c r="G1662" s="73" t="n">
        <f aca="false">G1632+G1633+G1634+G1635+G1660-G1661</f>
        <v>47826489.4455393</v>
      </c>
      <c r="H1662" s="73" t="n">
        <f aca="false">H1632+H1633+H1634+H1635+H1660-H1661</f>
        <v>46583378.465109</v>
      </c>
      <c r="I1662" s="73" t="n">
        <f aca="false">I1632+I1633+I1634+I1635+I1660-I1661</f>
        <v>47330717.6513085</v>
      </c>
      <c r="J1662" s="73" t="n">
        <f aca="false">J1632+J1633+J1634+J1635+J1660-J1661</f>
        <v>47133062.0972328</v>
      </c>
      <c r="K1662" s="73" t="n">
        <f aca="false">K1632+K1633+K1634+K1635+K1660-K1661</f>
        <v>47882960.2198069</v>
      </c>
      <c r="L1662" s="73" t="n">
        <f aca="false">L1632+L1633+L1634+L1635+L1660-L1661</f>
        <v>47677808.8165639</v>
      </c>
      <c r="M1662" s="73" t="n">
        <f aca="false">M1632+M1633+M1634+M1635+M1660-M1661</f>
        <v>48432203.9566194</v>
      </c>
      <c r="N1662" s="73" t="n">
        <f aca="false">N1632+N1633+N1634+N1635+N1660-N1661</f>
        <v>48221499.3986351</v>
      </c>
      <c r="O1662" s="73" t="n">
        <f aca="false">O1632+O1633+O1634+O1635+O1660-O1661</f>
        <v>48982221.2269937</v>
      </c>
    </row>
    <row r="1663" customFormat="false" ht="15" hidden="false" customHeight="false" outlineLevel="0" collapsed="false">
      <c r="B1663" s="65" t="s">
        <v>1066</v>
      </c>
      <c r="C1663" s="72" t="n">
        <f aca="false">IF((C1662+C1661)&gt;0,C1660/(C1662+C1661),0)</f>
        <v>0.15</v>
      </c>
      <c r="D1663" s="72" t="n">
        <f aca="false">IF((D1662+D1661)&gt;0,D1660/(D1662+D1661),0)</f>
        <v>0.119320128641729</v>
      </c>
      <c r="E1663" s="72" t="n">
        <f aca="false">IF((E1662+E1661)&gt;0,E1660/(E1662+E1661),0)</f>
        <v>0.134421707882384</v>
      </c>
      <c r="F1663" s="72" t="n">
        <f aca="false">IF((F1662+F1661)&gt;0,F1660/(F1662+F1661),0)</f>
        <v>0.104222743231184</v>
      </c>
      <c r="G1663" s="72" t="n">
        <f aca="false">IF((G1662+G1661)&gt;0,G1660/(G1662+G1661),0)</f>
        <v>0.118343453623758</v>
      </c>
      <c r="H1663" s="72" t="n">
        <f aca="false">IF((H1662+H1661)&gt;0,H1660/(H1662+H1661),0)</f>
        <v>0.0947090876851047</v>
      </c>
      <c r="I1663" s="72" t="n">
        <f aca="false">IF((I1662+I1661)&gt;0,I1660/(I1662+I1661),0)</f>
        <v>0.108199204142164</v>
      </c>
      <c r="J1663" s="72" t="n">
        <f aca="false">IF((J1662+J1661)&gt;0,J1660/(J1662+J1661),0)</f>
        <v>0.102971875250002</v>
      </c>
      <c r="K1663" s="72" t="n">
        <f aca="false">IF((K1662+K1661)&gt;0,K1660/(K1662+K1661),0)</f>
        <v>0.114907667421869</v>
      </c>
      <c r="L1663" s="72" t="n">
        <f aca="false">IF((L1662+L1661)&gt;0,L1660/(L1662+L1661),0)</f>
        <v>0.108346433781063</v>
      </c>
      <c r="M1663" s="72" t="n">
        <f aca="false">IF((M1662+M1661)&gt;0,M1660/(M1662+M1661),0)</f>
        <v>0.118922935866299</v>
      </c>
      <c r="N1663" s="72" t="n">
        <f aca="false">IF((N1662+N1661)&gt;0,N1660/(N1662+N1661),0)</f>
        <v>0.111159827447449</v>
      </c>
      <c r="O1663" s="72" t="n">
        <f aca="false">IF((O1662+O1661)&gt;0,O1660/(O1662+O1661),0)</f>
        <v>0.120551373564602</v>
      </c>
    </row>
    <row r="1664" customFormat="false" ht="15" hidden="false" customHeight="false" outlineLevel="0" collapsed="false">
      <c r="B1664" s="65" t="s">
        <v>1067</v>
      </c>
      <c r="C1664" s="72" t="n">
        <f aca="false">0</f>
        <v>0</v>
      </c>
      <c r="D1664" s="72" t="n">
        <f aca="false">IF(D1662&gt;0,D1629/D1662,0)</f>
        <v>0.0519743563723095</v>
      </c>
      <c r="E1664" s="72" t="n">
        <f aca="false">IF(E1662&gt;0,E1629/E1662,0)</f>
        <v>0.0512052154002981</v>
      </c>
      <c r="F1664" s="72" t="n">
        <f aca="false">IF(F1662&gt;0,F1629/F1662,0)</f>
        <v>0.0219785930269693</v>
      </c>
      <c r="G1664" s="72" t="n">
        <f aca="false">IF(G1662&gt;0,G1629/G1662,0)</f>
        <v>0.0216471135683182</v>
      </c>
      <c r="H1664" s="72" t="n">
        <f aca="false">IF(H1662&gt;0,H1629/H1662,0)</f>
        <v>0</v>
      </c>
      <c r="I1664" s="72" t="n">
        <f aca="false">IF(I1662&gt;0,I1629/I1662,0)</f>
        <v>0</v>
      </c>
      <c r="J1664" s="72" t="n">
        <f aca="false">IF(J1662&gt;0,J1629/J1662,0)</f>
        <v>0</v>
      </c>
      <c r="K1664" s="72" t="n">
        <f aca="false">IF(K1662&gt;0,K1629/K1662,0)</f>
        <v>0</v>
      </c>
      <c r="L1664" s="72" t="n">
        <f aca="false">IF(L1662&gt;0,L1629/L1662,0)</f>
        <v>0</v>
      </c>
      <c r="M1664" s="72" t="n">
        <f aca="false">IF(M1662&gt;0,M1629/M1662,0)</f>
        <v>0</v>
      </c>
      <c r="N1664" s="72" t="n">
        <f aca="false">IF(N1662&gt;0,N1629/N1662,0)</f>
        <v>0</v>
      </c>
      <c r="O1664" s="72" t="n">
        <f aca="false">IF(O1662&gt;0,O1629/O1662,0)</f>
        <v>0</v>
      </c>
    </row>
    <row r="1665" customFormat="false" ht="15" hidden="false" customHeight="false" outlineLevel="0" collapsed="false">
      <c r="B1665" s="65" t="s">
        <v>1068</v>
      </c>
      <c r="C1665" s="75" t="n">
        <f aca="false">IF((C1629+SUM(D1620:G1620)+SUM(D1650:G1650)+SUM(D1651:G1651)+SUM(D1649:G1649))&lt;=0,9.99,MIN(9.99,(C1660+SUM(D1648:G1648)+SUM(D1644:G1645)+MAX(0,MIN($AA$20*AN_cible,Emprunt_max*C1662)-C1661))/(C1629+SUM(D1620:G1620)+SUM(D1650:G1650)+SUM(D1651:G1651)+SUM(D1649:G1649))))</f>
        <v>1.46702690256857</v>
      </c>
      <c r="D1665" s="73" t="n">
        <f aca="false">IF((D1629+SUM(E1620:H1620)+SUM(E1650:H1650)+SUM(E1651:H1651)+SUM(E1649:H1649))&lt;=0,9.99,MIN(9.99,(D1660+SUM(E1648:H1648)+SUM(E1644:H1645)+MAX(0,MIN($AA$20*AN_cible,Emprunt_max*D1662)-D1661))/(D1629+SUM(E1620:H1620)+SUM(E1650:H1650)+SUM(E1651:H1651)+SUM(E1649:H1649))))</f>
        <v>1.54089905780002</v>
      </c>
      <c r="E1665" s="73" t="n">
        <f aca="false">IF((E1629+SUM(F1620:I1620)+SUM(F1650:I1650)+SUM(F1651:I1651)+SUM(F1649:I1649))&lt;=0,9.99,MIN(9.99,(E1660+SUM(F1648:I1648)+SUM(F1644:I1645)+MAX(0,MIN($AA$20*AN_cible,Emprunt_max*E1662)-E1661))/(E1629+SUM(F1620:I1620)+SUM(F1650:I1650)+SUM(F1651:I1651)+SUM(F1649:I1649))))</f>
        <v>1.63242803630155</v>
      </c>
      <c r="F1665" s="73" t="n">
        <f aca="false">IF((F1629+SUM(G1620:J1620)+SUM(G1650:J1650)+SUM(G1651:J1651)+SUM(G1649:J1649))&lt;=0,9.99,MIN(9.99,(F1660+SUM(G1648:J1648)+SUM(G1644:J1645)+MAX(0,MIN($AA$20*AN_cible,Emprunt_max*F1662)-F1661))/(F1629+SUM(G1620:J1620)+SUM(G1650:J1650)+SUM(G1651:J1651)+SUM(G1649:J1649))))</f>
        <v>1.7407140885874</v>
      </c>
      <c r="G1665" s="73" t="n">
        <f aca="false">IF((G1629+SUM(H1620:K1620)+SUM(H1650:K1650)+SUM(H1651:K1651)+SUM(H1649:K1649))&lt;=0,9.99,MIN(9.99,(G1660+SUM(H1648:K1648)+SUM(H1644:K1645)+MAX(0,MIN($AA$20*AN_cible,Emprunt_max*G1662)-G1661))/(G1629+SUM(H1620:K1620)+SUM(H1650:K1650)+SUM(H1651:K1651)+SUM(H1649:K1649))))</f>
        <v>1.84239120458325</v>
      </c>
      <c r="H1665" s="73" t="n">
        <f aca="false">IF((H1629+SUM(I1620:L1620)+SUM(I1650:L1650)+SUM(I1651:L1651)+SUM(I1649:L1649))&lt;=0,9.99,MIN(9.99,(H1660+SUM(I1648:L1648)+SUM(I1644:L1645)+MAX(0,MIN($AA$20*AN_cible,Emprunt_max*H1662)-H1661))/(H1629+SUM(I1620:L1620)+SUM(I1650:L1650)+SUM(I1651:L1651)+SUM(I1649:L1649))))</f>
        <v>1.94251053114752</v>
      </c>
      <c r="I1665" s="73" t="n">
        <f aca="false">IF((I1629+SUM(J1620:M1620)+SUM(J1650:M1650)+SUM(J1651:M1651)+SUM(J1649:M1649))&lt;=0,9.99,MIN(9.99,(I1660+SUM(J1648:M1648)+SUM(J1644:M1645)+MAX(0,MIN($AA$20*AN_cible,Emprunt_max*I1662)-I1661))/(I1629+SUM(J1620:M1620)+SUM(J1650:M1650)+SUM(J1651:M1651)+SUM(J1649:M1649))))</f>
        <v>2.05160036409844</v>
      </c>
      <c r="J1665" s="73" t="n">
        <f aca="false">IF((J1629+SUM(K1620:N1620)+SUM(K1650:N1650)+SUM(K1651:N1651)+SUM(K1649:N1649))&lt;=0,9.99,MIN(9.99,(J1660+SUM(K1648:N1648)+SUM(K1644:N1645)+MAX(0,MIN($AA$20*AN_cible,Emprunt_max*J1662)-J1661))/(J1629+SUM(K1620:N1620)+SUM(K1650:N1650)+SUM(K1651:N1651)+SUM(K1649:N1649))))</f>
        <v>1.97126578122538</v>
      </c>
      <c r="K1665" s="73" t="n">
        <f aca="false">IF((K1629+SUM(L1620:O1620)+SUM(L1650:O1650)+SUM(L1651:O1651)+SUM(L1649:O1649))&lt;=0,9.99,MIN(9.99,(K1660+SUM(L1648:O1648)+SUM(L1644:O1645)+MAX(0,MIN($AA$20*AN_cible,Emprunt_max*K1662)-K1661))/(K1629+SUM(L1620:O1620)+SUM(L1650:O1650)+SUM(L1651:O1651)+SUM(L1649:O1649))))</f>
        <v>2.07078111326969</v>
      </c>
      <c r="L1665" s="73" t="n">
        <f aca="false">IF((L1629+SUM(M1620:O1620)+SUM(M1650:O1650)+SUM(M1651:O1651)+SUM(M1649:O1649))&lt;=0,9.99,MIN(9.99,(L1660+SUM(M1648:O1648)+SUM(M1644:O1645)+MAX(0,MIN($AA$20*AN_cible,Emprunt_max*L1662)-L1661))/(L1629+SUM(M1620:O1620)+SUM(M1650:O1650)+SUM(M1651:O1651)+SUM(M1649:O1649))))</f>
        <v>2.62765704635185</v>
      </c>
      <c r="M1665" s="73" t="n">
        <f aca="false">IF((M1629+SUM(N1620:O1620)+SUM(N1650:O1650)+SUM(N1651:O1651)+SUM(N1649:O1649))&lt;=0,9.99,MIN(9.99,(M1660+SUM(N1648:O1648)+SUM(N1644:O1645)+MAX(0,MIN($AA$20*AN_cible,Emprunt_max*M1662)-M1661))/(M1629+SUM(N1620:O1620)+SUM(N1650:O1650)+SUM(N1651:O1651)+SUM(N1649:O1649))))</f>
        <v>3.15971978479675</v>
      </c>
      <c r="N1665" s="73" t="n">
        <f aca="false">IF((N1629+SUM(O1620:O1620)+SUM(O1650:O1650)+SUM(O1651:O1651)+SUM(O1649:O1649))&lt;=0,9.99,MIN(9.99,(N1660+SUM(O1648:O1648)+SUM(O1644:O1645)+MAX(0,MIN($AA$20*AN_cible,Emprunt_max*N1662)-N1661))/(N1629+SUM(O1620:O1620)+SUM(O1650:O1650)+SUM(O1651:O1651)+SUM(O1649:O1649))))</f>
        <v>7.77903405159301</v>
      </c>
      <c r="O1665" s="73" t="n">
        <f aca="false">9.99</f>
        <v>9.99</v>
      </c>
    </row>
    <row r="1666" customFormat="false" ht="15" hidden="false" customHeight="false" outlineLevel="0" collapsed="false">
      <c r="B1666" s="65" t="s">
        <v>1069</v>
      </c>
      <c r="C1666" s="72" t="n">
        <f aca="false">(C1632+C1633+C1634+C1635+C1640+C1641)/C1662</f>
        <v>1</v>
      </c>
      <c r="D1666" s="72" t="n">
        <f aca="false">(D1632+D1633+D1634+D1635+D1640+D1641)/D1662</f>
        <v>1.02360935138212</v>
      </c>
      <c r="E1666" s="72" t="n">
        <f aca="false">(E1632+E1633+E1634+E1635+E1640+E1641)/E1662</f>
        <v>0.993591330618362</v>
      </c>
      <c r="F1666" s="72" t="n">
        <f aca="false">(F1632+F1633+F1634+F1635+F1640+F1641)/F1662</f>
        <v>1.01519089063281</v>
      </c>
      <c r="G1666" s="72" t="n">
        <f aca="false">(G1632+G1633+G1634+G1635+G1640+G1641)/G1662</f>
        <v>0.986201121108067</v>
      </c>
      <c r="H1666" s="72" t="n">
        <f aca="false">(H1632+H1633+H1634+H1635+H1640+H1641)/H1662</f>
        <v>0.999208531520571</v>
      </c>
      <c r="I1666" s="72" t="n">
        <f aca="false">(I1632+I1633+I1634+I1635+I1640+I1641)/I1662</f>
        <v>0.971030526275759</v>
      </c>
      <c r="J1666" s="72" t="n">
        <f aca="false">(J1632+J1633+J1634+J1635+J1640+J1641)/J1662</f>
        <v>0.963329779277627</v>
      </c>
      <c r="K1666" s="72" t="n">
        <f aca="false">(K1632+K1633+K1634+K1635+K1640+K1641)/K1662</f>
        <v>0.937302972616335</v>
      </c>
      <c r="L1666" s="72" t="n">
        <f aca="false">(L1632+L1633+L1634+L1635+L1640+L1641)/L1662</f>
        <v>0.93098003793692</v>
      </c>
      <c r="M1666" s="72" t="n">
        <f aca="false">(M1632+M1633+M1634+M1635+M1640+M1641)/M1662</f>
        <v>0.906886337672432</v>
      </c>
      <c r="N1666" s="72" t="n">
        <f aca="false">(N1632+N1633+N1634+N1635+N1640+N1641)/N1662</f>
        <v>0.901801196323987</v>
      </c>
      <c r="O1666" s="72" t="n">
        <f aca="false">(O1632+O1633+O1634+O1635+O1640+O1641)/O1662</f>
        <v>0.879448626435398</v>
      </c>
    </row>
    <row r="1667" customFormat="false" ht="15" hidden="false" customHeight="false" outlineLevel="0" collapsed="false">
      <c r="B1667" s="65" t="s">
        <v>849</v>
      </c>
      <c r="C1667" s="72" t="n">
        <f aca="false">(C1662+C1661)/C1662</f>
        <v>1</v>
      </c>
      <c r="D1667" s="72" t="n">
        <f aca="false">(D1662+D1661)/D1662</f>
        <v>1</v>
      </c>
      <c r="E1667" s="72" t="n">
        <f aca="false">(E1662+E1661)/E1662</f>
        <v>1</v>
      </c>
      <c r="F1667" s="72" t="n">
        <f aca="false">(F1662+F1661)/F1662</f>
        <v>1</v>
      </c>
      <c r="G1667" s="72" t="n">
        <f aca="false">(G1662+G1661)/G1662</f>
        <v>1</v>
      </c>
      <c r="H1667" s="72" t="n">
        <f aca="false">(H1662+H1661)/H1662</f>
        <v>1</v>
      </c>
      <c r="I1667" s="72" t="n">
        <f aca="false">(I1662+I1661)/I1662</f>
        <v>1</v>
      </c>
      <c r="J1667" s="72" t="n">
        <f aca="false">(J1662+J1661)/J1662</f>
        <v>1</v>
      </c>
      <c r="K1667" s="72" t="n">
        <f aca="false">(K1662+K1661)/K1662</f>
        <v>1</v>
      </c>
      <c r="L1667" s="72" t="n">
        <f aca="false">(L1662+L1661)/L1662</f>
        <v>1</v>
      </c>
      <c r="M1667" s="72" t="n">
        <f aca="false">(M1662+M1661)/M1662</f>
        <v>1</v>
      </c>
      <c r="N1667" s="72" t="n">
        <f aca="false">(N1662+N1661)/N1662</f>
        <v>1</v>
      </c>
      <c r="O1667" s="72" t="n">
        <f aca="false">(O1662+O1661)/O1662</f>
        <v>1</v>
      </c>
    </row>
    <row r="1668" customFormat="false" ht="15" hidden="false" customHeight="false" outlineLevel="0" collapsed="false">
      <c r="B1668" s="65" t="s">
        <v>1070</v>
      </c>
      <c r="C1668" s="72" t="n">
        <f aca="false">(C1632+C1633*MSIG_USD)/C1662</f>
        <v>0.25</v>
      </c>
      <c r="D1668" s="72" t="n">
        <f aca="false">(D1632+D1633*MSIG_USD)/D1662</f>
        <v>0.269675444832274</v>
      </c>
      <c r="E1668" s="72" t="n">
        <f aca="false">(E1632+E1633*MSIG_USD)/E1662</f>
        <v>0.27541785707076</v>
      </c>
      <c r="F1668" s="72" t="n">
        <f aca="false">(F1632+F1633*MSIG_USD)/F1662</f>
        <v>0.295628758414858</v>
      </c>
      <c r="G1668" s="72" t="n">
        <f aca="false">(G1632+G1633*MSIG_USD)/G1662</f>
        <v>0.301260240286235</v>
      </c>
      <c r="H1668" s="72" t="n">
        <f aca="false">(H1632+H1633*MSIG_USD)/H1662</f>
        <v>0.319739007568276</v>
      </c>
      <c r="I1668" s="72" t="n">
        <f aca="false">(I1632+I1633*MSIG_USD)/I1662</f>
        <v>0.325044371916534</v>
      </c>
      <c r="J1668" s="72" t="n">
        <f aca="false">(J1632+J1633*MSIG_USD)/J1662</f>
        <v>0.336885162802919</v>
      </c>
      <c r="K1668" s="72" t="n">
        <f aca="false">(K1632+K1633*MSIG_USD)/K1662</f>
        <v>0.342002459521699</v>
      </c>
      <c r="L1668" s="72" t="n">
        <f aca="false">(L1632+L1633*MSIG_USD)/L1662</f>
        <v>0.353992682965115</v>
      </c>
      <c r="M1668" s="72" t="n">
        <f aca="false">(M1632+M1633*MSIG_USD)/M1662</f>
        <v>0.358913562995778</v>
      </c>
      <c r="N1668" s="72" t="n">
        <f aca="false">(N1632+N1633*MSIG_USD)/N1662</f>
        <v>0.371043177626862</v>
      </c>
      <c r="O1668" s="72" t="n">
        <f aca="false">(O1632+O1633*MSIG_USD)/O1662</f>
        <v>0.375758297635997</v>
      </c>
    </row>
    <row r="1669" customFormat="false" ht="15" hidden="false" customHeight="false" outlineLevel="0" collapsed="false">
      <c r="B1669" s="65" t="s">
        <v>1071</v>
      </c>
      <c r="C1669" s="25"/>
      <c r="D1669" s="65" t="n">
        <f aca="false">IF(AND($AA$9&lt;0.5*Collecte_norm,IF(D1613&lt;=$AA$11,0,$AA$10)&lt;0.5,IF(D1613&lt;=4,$AA$17,($AA$18+$AA$19)/2)&lt;0.7),1,0)</f>
        <v>0</v>
      </c>
      <c r="E1669" s="65" t="n">
        <f aca="false">IF(AND($AA$9&lt;0.5*Collecte_norm,IF(E1613&lt;=$AA$11,0,$AA$10)&lt;0.5,IF(E1613&lt;=4,$AA$17,($AA$18+$AA$19)/2)&lt;0.7),1,0)</f>
        <v>0</v>
      </c>
      <c r="F1669" s="65" t="n">
        <f aca="false">IF(AND($AA$9&lt;0.5*Collecte_norm,IF(F1613&lt;=$AA$11,0,$AA$10)&lt;0.5,IF(F1613&lt;=4,$AA$17,($AA$18+$AA$19)/2)&lt;0.7),1,0)</f>
        <v>0</v>
      </c>
      <c r="G1669" s="65" t="n">
        <f aca="false">IF(AND($AA$9&lt;0.5*Collecte_norm,IF(G1613&lt;=$AA$11,0,$AA$10)&lt;0.5,IF(G1613&lt;=4,$AA$17,($AA$18+$AA$19)/2)&lt;0.7),1,0)</f>
        <v>0</v>
      </c>
      <c r="H1669" s="65" t="n">
        <f aca="false">IF(AND($AA$9&lt;0.5*Collecte_norm,IF(H1613&lt;=$AA$11,0,$AA$10)&lt;0.5,IF(H1613&lt;=4,$AA$17,($AA$18+$AA$19)/2)&lt;0.7),1,0)</f>
        <v>0</v>
      </c>
      <c r="I1669" s="65" t="n">
        <f aca="false">IF(AND($AA$9&lt;0.5*Collecte_norm,IF(I1613&lt;=$AA$11,0,$AA$10)&lt;0.5,IF(I1613&lt;=4,$AA$17,($AA$18+$AA$19)/2)&lt;0.7),1,0)</f>
        <v>0</v>
      </c>
      <c r="J1669" s="65" t="n">
        <f aca="false">IF(AND($AA$9&lt;0.5*Collecte_norm,IF(J1613&lt;=$AA$11,0,$AA$10)&lt;0.5,IF(J1613&lt;=4,$AA$17,($AA$18+$AA$19)/2)&lt;0.7),1,0)</f>
        <v>0</v>
      </c>
      <c r="K1669" s="65" t="n">
        <f aca="false">IF(AND($AA$9&lt;0.5*Collecte_norm,IF(K1613&lt;=$AA$11,0,$AA$10)&lt;0.5,IF(K1613&lt;=4,$AA$17,($AA$18+$AA$19)/2)&lt;0.7),1,0)</f>
        <v>0</v>
      </c>
      <c r="L1669" s="65" t="n">
        <f aca="false">IF(AND($AA$9&lt;0.5*Collecte_norm,IF(L1613&lt;=$AA$11,0,$AA$10)&lt;0.5,IF(L1613&lt;=4,$AA$17,($AA$18+$AA$19)/2)&lt;0.7),1,0)</f>
        <v>0</v>
      </c>
      <c r="M1669" s="65" t="n">
        <f aca="false">IF(AND($AA$9&lt;0.5*Collecte_norm,IF(M1613&lt;=$AA$11,0,$AA$10)&lt;0.5,IF(M1613&lt;=4,$AA$17,($AA$18+$AA$19)/2)&lt;0.7),1,0)</f>
        <v>0</v>
      </c>
      <c r="N1669" s="65" t="n">
        <f aca="false">IF(AND($AA$9&lt;0.5*Collecte_norm,IF(N1613&lt;=$AA$11,0,$AA$10)&lt;0.5,IF(N1613&lt;=4,$AA$17,($AA$18+$AA$19)/2)&lt;0.7),1,0)</f>
        <v>0</v>
      </c>
      <c r="O1669" s="65" t="n">
        <f aca="false">IF(AND($AA$9&lt;0.5*Collecte_norm,IF(O1613&lt;=$AA$11,0,$AA$10)&lt;0.5,IF(O1613&lt;=4,$AA$17,($AA$18+$AA$19)/2)&lt;0.7),1,0)</f>
        <v>0</v>
      </c>
    </row>
    <row r="1670" customFormat="false" ht="15" hidden="false" customHeight="false" outlineLevel="0" collapsed="false">
      <c r="B1670" s="76" t="s">
        <v>1072</v>
      </c>
      <c r="C1670" s="76" t="n">
        <v>99</v>
      </c>
      <c r="D1670" s="76" t="n">
        <f aca="false">IF(D1630=1,D1616,99)</f>
        <v>1</v>
      </c>
      <c r="E1670" s="76" t="n">
        <f aca="false">IF(E1630=1,E1616,99)</f>
        <v>99</v>
      </c>
      <c r="F1670" s="76" t="n">
        <f aca="false">IF(F1630=1,F1616,99)</f>
        <v>2</v>
      </c>
      <c r="G1670" s="76" t="n">
        <f aca="false">IF(G1630=1,G1616,99)</f>
        <v>99</v>
      </c>
      <c r="H1670" s="76" t="n">
        <f aca="false">IF(H1630=1,H1616,99)</f>
        <v>99</v>
      </c>
      <c r="I1670" s="76" t="n">
        <f aca="false">IF(I1630=1,I1616,99)</f>
        <v>99</v>
      </c>
      <c r="J1670" s="76" t="n">
        <f aca="false">IF(J1630=1,J1616,99)</f>
        <v>99</v>
      </c>
      <c r="K1670" s="76" t="n">
        <f aca="false">IF(K1630=1,K1616,99)</f>
        <v>99</v>
      </c>
      <c r="L1670" s="76" t="n">
        <f aca="false">IF(L1630=1,L1616,99)</f>
        <v>99</v>
      </c>
      <c r="M1670" s="76" t="n">
        <f aca="false">IF(M1630=1,M1616,99)</f>
        <v>99</v>
      </c>
      <c r="N1670" s="76" t="n">
        <f aca="false">IF(N1630=1,N1616,99)</f>
        <v>99</v>
      </c>
      <c r="O1670" s="76" t="n">
        <f aca="false">IF(O1630=1,O1616,99)</f>
        <v>99</v>
      </c>
    </row>
    <row r="1671" customFormat="false" ht="15" hidden="false" customHeight="false" outlineLevel="0" collapsed="false">
      <c r="B1671" s="76" t="s">
        <v>1073</v>
      </c>
      <c r="C1671" s="76" t="n">
        <v>99</v>
      </c>
      <c r="D1671" s="76" t="n">
        <f aca="false">IF(AND(D1615=1,D1616&gt;MIN($D1670:$O1670),D1629&lt;=0.000001),D1616,99)</f>
        <v>99</v>
      </c>
      <c r="E1671" s="76" t="n">
        <f aca="false">IF(AND(E1615=1,E1616&gt;MIN($D1670:$O1670),E1629&lt;=0.000001),E1616,99)</f>
        <v>99</v>
      </c>
      <c r="F1671" s="76" t="n">
        <f aca="false">IF(AND(F1615=1,F1616&gt;MIN($D1670:$O1670),F1629&lt;=0.000001),F1616,99)</f>
        <v>99</v>
      </c>
      <c r="G1671" s="76" t="n">
        <f aca="false">IF(AND(G1615=1,G1616&gt;MIN($D1670:$O1670),G1629&lt;=0.000001),G1616,99)</f>
        <v>99</v>
      </c>
      <c r="H1671" s="76" t="n">
        <f aca="false">IF(AND(H1615=1,H1616&gt;MIN($D1670:$O1670),H1629&lt;=0.000001),H1616,99)</f>
        <v>3</v>
      </c>
      <c r="I1671" s="76" t="n">
        <f aca="false">IF(AND(I1615=1,I1616&gt;MIN($D1670:$O1670),I1629&lt;=0.000001),I1616,99)</f>
        <v>99</v>
      </c>
      <c r="J1671" s="76" t="n">
        <f aca="false">IF(AND(J1615=1,J1616&gt;MIN($D1670:$O1670),J1629&lt;=0.000001),J1616,99)</f>
        <v>4</v>
      </c>
      <c r="K1671" s="76" t="n">
        <f aca="false">IF(AND(K1615=1,K1616&gt;MIN($D1670:$O1670),K1629&lt;=0.000001),K1616,99)</f>
        <v>99</v>
      </c>
      <c r="L1671" s="76" t="n">
        <f aca="false">IF(AND(L1615=1,L1616&gt;MIN($D1670:$O1670),L1629&lt;=0.000001),L1616,99)</f>
        <v>5</v>
      </c>
      <c r="M1671" s="76" t="n">
        <f aca="false">IF(AND(M1615=1,M1616&gt;MIN($D1670:$O1670),M1629&lt;=0.000001),M1616,99)</f>
        <v>99</v>
      </c>
      <c r="N1671" s="76" t="n">
        <f aca="false">IF(AND(N1615=1,N1616&gt;MIN($D1670:$O1670),N1629&lt;=0.000001),N1616,99)</f>
        <v>6</v>
      </c>
      <c r="O1671" s="76" t="n">
        <f aca="false">IF(AND(O1615=1,O1616&gt;MIN($D1670:$O1670),O1629&lt;=0.000001),O1616,99)</f>
        <v>99</v>
      </c>
    </row>
    <row r="1672" customFormat="false" ht="15" hidden="false" customHeight="false" outlineLevel="0" collapsed="false">
      <c r="B1672" s="76" t="s">
        <v>1074</v>
      </c>
      <c r="C1672" s="76" t="n">
        <v>9999999</v>
      </c>
      <c r="D1672" s="76" t="n">
        <f aca="false">IF(D1627=1,D1614,9999999)</f>
        <v>9999999</v>
      </c>
      <c r="E1672" s="76" t="n">
        <f aca="false">IF(E1627=1,E1614,9999999)</f>
        <v>9999999</v>
      </c>
      <c r="F1672" s="76" t="n">
        <f aca="false">IF(F1627=1,F1614,9999999)</f>
        <v>9999999</v>
      </c>
      <c r="G1672" s="76" t="n">
        <f aca="false">IF(G1627=1,G1614,9999999)</f>
        <v>9999999</v>
      </c>
      <c r="H1672" s="76" t="n">
        <f aca="false">IF(H1627=1,H1614,9999999)</f>
        <v>9999999</v>
      </c>
      <c r="I1672" s="76" t="n">
        <f aca="false">IF(I1627=1,I1614,9999999)</f>
        <v>9999999</v>
      </c>
      <c r="J1672" s="76" t="n">
        <f aca="false">IF(J1627=1,J1614,9999999)</f>
        <v>9999999</v>
      </c>
      <c r="K1672" s="76" t="n">
        <f aca="false">IF(K1627=1,K1614,9999999)</f>
        <v>9999999</v>
      </c>
      <c r="L1672" s="76" t="n">
        <f aca="false">IF(L1627=1,L1614,9999999)</f>
        <v>9999999</v>
      </c>
      <c r="M1672" s="76" t="n">
        <f aca="false">IF(M1627=1,M1614,9999999)</f>
        <v>9999999</v>
      </c>
      <c r="N1672" s="76" t="n">
        <f aca="false">IF(N1627=1,N1614,9999999)</f>
        <v>9999999</v>
      </c>
      <c r="O1672" s="76" t="n">
        <f aca="false">IF(O1627=1,O1614,9999999)</f>
        <v>9999999</v>
      </c>
    </row>
    <row r="1673" customFormat="false" ht="15" hidden="false" customHeight="false" outlineLevel="0" collapsed="false">
      <c r="B1673" s="76" t="s">
        <v>1075</v>
      </c>
      <c r="C1673" s="76" t="n">
        <v>9999999</v>
      </c>
      <c r="D1673" s="76" t="n">
        <f aca="false">IF(D1669=1,D1614,9999999)</f>
        <v>9999999</v>
      </c>
      <c r="E1673" s="76" t="n">
        <f aca="false">IF(E1669=1,E1614,9999999)</f>
        <v>9999999</v>
      </c>
      <c r="F1673" s="76" t="n">
        <f aca="false">IF(F1669=1,F1614,9999999)</f>
        <v>9999999</v>
      </c>
      <c r="G1673" s="76" t="n">
        <f aca="false">IF(G1669=1,G1614,9999999)</f>
        <v>9999999</v>
      </c>
      <c r="H1673" s="76" t="n">
        <f aca="false">IF(H1669=1,H1614,9999999)</f>
        <v>9999999</v>
      </c>
      <c r="I1673" s="76" t="n">
        <f aca="false">IF(I1669=1,I1614,9999999)</f>
        <v>9999999</v>
      </c>
      <c r="J1673" s="76" t="n">
        <f aca="false">IF(J1669=1,J1614,9999999)</f>
        <v>9999999</v>
      </c>
      <c r="K1673" s="76" t="n">
        <f aca="false">IF(K1669=1,K1614,9999999)</f>
        <v>9999999</v>
      </c>
      <c r="L1673" s="76" t="n">
        <f aca="false">IF(L1669=1,L1614,9999999)</f>
        <v>9999999</v>
      </c>
      <c r="M1673" s="76" t="n">
        <f aca="false">IF(M1669=1,M1614,9999999)</f>
        <v>9999999</v>
      </c>
      <c r="N1673" s="76" t="n">
        <f aca="false">IF(N1669=1,N1614,9999999)</f>
        <v>9999999</v>
      </c>
      <c r="O1673" s="76" t="n">
        <f aca="false">IF(O1669=1,O1614,9999999)</f>
        <v>9999999</v>
      </c>
    </row>
    <row r="1678" customFormat="false" ht="15" hidden="false" customHeight="false" outlineLevel="0" collapsed="false">
      <c r="B1678" s="45" t="str">
        <f aca="false">AB$5</f>
        <v>Porteur unique 15 % à une date</v>
      </c>
      <c r="C1678" s="45" t="s">
        <v>55</v>
      </c>
      <c r="D1678" s="45" t="n">
        <v>26</v>
      </c>
      <c r="E1678" s="2"/>
      <c r="F1678" s="2"/>
      <c r="G1678" s="2"/>
      <c r="H1678" s="2"/>
      <c r="I1678" s="2"/>
      <c r="J1678" s="2"/>
      <c r="K1678" s="2"/>
      <c r="L1678" s="2"/>
      <c r="M1678" s="2"/>
      <c r="N1678" s="2"/>
      <c r="O1678" s="2"/>
    </row>
    <row r="1679" customFormat="false" ht="15" hidden="false" customHeight="false" outlineLevel="0" collapsed="false">
      <c r="B1679" s="65" t="s">
        <v>1019</v>
      </c>
      <c r="C1679" s="65" t="n">
        <v>0</v>
      </c>
      <c r="D1679" s="65" t="n">
        <v>1</v>
      </c>
      <c r="E1679" s="65" t="n">
        <v>2</v>
      </c>
      <c r="F1679" s="65" t="n">
        <v>3</v>
      </c>
      <c r="G1679" s="65" t="n">
        <v>4</v>
      </c>
      <c r="H1679" s="65" t="n">
        <v>5</v>
      </c>
      <c r="I1679" s="65" t="n">
        <v>6</v>
      </c>
      <c r="J1679" s="65" t="n">
        <v>7</v>
      </c>
      <c r="K1679" s="65" t="n">
        <v>8</v>
      </c>
      <c r="L1679" s="65" t="n">
        <v>9</v>
      </c>
      <c r="M1679" s="65" t="n">
        <v>10</v>
      </c>
      <c r="N1679" s="65" t="n">
        <v>11</v>
      </c>
      <c r="O1679" s="65" t="n">
        <v>12</v>
      </c>
    </row>
    <row r="1680" customFormat="false" ht="15" hidden="false" customHeight="false" outlineLevel="0" collapsed="false">
      <c r="B1680" s="65" t="s">
        <v>209</v>
      </c>
      <c r="C1680" s="71" t="n">
        <f aca="false">Date_depart</f>
        <v>47026</v>
      </c>
      <c r="D1680" s="71" t="n">
        <f aca="false">EOMONTH(Date_depart,3*D1679)</f>
        <v>47118</v>
      </c>
      <c r="E1680" s="71" t="n">
        <f aca="false">EOMONTH(Date_depart,3*E1679)</f>
        <v>47208</v>
      </c>
      <c r="F1680" s="71" t="n">
        <f aca="false">EOMONTH(Date_depart,3*F1679)</f>
        <v>47299</v>
      </c>
      <c r="G1680" s="71" t="n">
        <f aca="false">EOMONTH(Date_depart,3*G1679)</f>
        <v>47391</v>
      </c>
      <c r="H1680" s="71" t="n">
        <f aca="false">EOMONTH(Date_depart,3*H1679)</f>
        <v>47483</v>
      </c>
      <c r="I1680" s="71" t="n">
        <f aca="false">EOMONTH(Date_depart,3*I1679)</f>
        <v>47573</v>
      </c>
      <c r="J1680" s="71" t="n">
        <f aca="false">EOMONTH(Date_depart,3*J1679)</f>
        <v>47664</v>
      </c>
      <c r="K1680" s="71" t="n">
        <f aca="false">EOMONTH(Date_depart,3*K1679)</f>
        <v>47756</v>
      </c>
      <c r="L1680" s="71" t="n">
        <f aca="false">EOMONTH(Date_depart,3*L1679)</f>
        <v>47848</v>
      </c>
      <c r="M1680" s="71" t="n">
        <f aca="false">EOMONTH(Date_depart,3*M1679)</f>
        <v>47938</v>
      </c>
      <c r="N1680" s="71" t="n">
        <f aca="false">EOMONTH(Date_depart,3*N1679)</f>
        <v>48029</v>
      </c>
      <c r="O1680" s="71" t="n">
        <f aca="false">EOMONTH(Date_depart,3*O1679)</f>
        <v>48121</v>
      </c>
    </row>
    <row r="1681" customFormat="false" ht="15" hidden="false" customHeight="false" outlineLevel="0" collapsed="false">
      <c r="B1681" s="65" t="s">
        <v>1020</v>
      </c>
      <c r="C1681" s="65" t="n">
        <v>0</v>
      </c>
      <c r="D1681" s="65" t="n">
        <f aca="false">IF(OR(MONTH(D1680)=6,MONTH(D1680)=12),1,0)</f>
        <v>1</v>
      </c>
      <c r="E1681" s="65" t="n">
        <f aca="false">IF(OR(MONTH(E1680)=6,MONTH(E1680)=12),1,0)</f>
        <v>0</v>
      </c>
      <c r="F1681" s="65" t="n">
        <f aca="false">IF(OR(MONTH(F1680)=6,MONTH(F1680)=12),1,0)</f>
        <v>1</v>
      </c>
      <c r="G1681" s="65" t="n">
        <f aca="false">IF(OR(MONTH(G1680)=6,MONTH(G1680)=12),1,0)</f>
        <v>0</v>
      </c>
      <c r="H1681" s="65" t="n">
        <f aca="false">IF(OR(MONTH(H1680)=6,MONTH(H1680)=12),1,0)</f>
        <v>1</v>
      </c>
      <c r="I1681" s="65" t="n">
        <f aca="false">IF(OR(MONTH(I1680)=6,MONTH(I1680)=12),1,0)</f>
        <v>0</v>
      </c>
      <c r="J1681" s="65" t="n">
        <f aca="false">IF(OR(MONTH(J1680)=6,MONTH(J1680)=12),1,0)</f>
        <v>1</v>
      </c>
      <c r="K1681" s="65" t="n">
        <f aca="false">IF(OR(MONTH(K1680)=6,MONTH(K1680)=12),1,0)</f>
        <v>0</v>
      </c>
      <c r="L1681" s="65" t="n">
        <f aca="false">IF(OR(MONTH(L1680)=6,MONTH(L1680)=12),1,0)</f>
        <v>1</v>
      </c>
      <c r="M1681" s="65" t="n">
        <f aca="false">IF(OR(MONTH(M1680)=6,MONTH(M1680)=12),1,0)</f>
        <v>0</v>
      </c>
      <c r="N1681" s="65" t="n">
        <f aca="false">IF(OR(MONTH(N1680)=6,MONTH(N1680)=12),1,0)</f>
        <v>1</v>
      </c>
      <c r="O1681" s="65" t="n">
        <f aca="false">IF(OR(MONTH(O1680)=6,MONTH(O1680)=12),1,0)</f>
        <v>0</v>
      </c>
    </row>
    <row r="1682" customFormat="false" ht="15" hidden="false" customHeight="false" outlineLevel="0" collapsed="false">
      <c r="B1682" s="65" t="s">
        <v>1021</v>
      </c>
      <c r="C1682" s="65" t="n">
        <v>0</v>
      </c>
      <c r="D1682" s="65" t="n">
        <f aca="false">C1682+D1681</f>
        <v>1</v>
      </c>
      <c r="E1682" s="65" t="n">
        <f aca="false">D1682+E1681</f>
        <v>1</v>
      </c>
      <c r="F1682" s="65" t="n">
        <f aca="false">E1682+F1681</f>
        <v>2</v>
      </c>
      <c r="G1682" s="65" t="n">
        <f aca="false">F1682+G1681</f>
        <v>2</v>
      </c>
      <c r="H1682" s="65" t="n">
        <f aca="false">G1682+H1681</f>
        <v>3</v>
      </c>
      <c r="I1682" s="65" t="n">
        <f aca="false">H1682+I1681</f>
        <v>3</v>
      </c>
      <c r="J1682" s="65" t="n">
        <f aca="false">I1682+J1681</f>
        <v>4</v>
      </c>
      <c r="K1682" s="65" t="n">
        <f aca="false">J1682+K1681</f>
        <v>4</v>
      </c>
      <c r="L1682" s="65" t="n">
        <f aca="false">K1682+L1681</f>
        <v>5</v>
      </c>
      <c r="M1682" s="65" t="n">
        <f aca="false">L1682+M1681</f>
        <v>5</v>
      </c>
      <c r="N1682" s="65" t="n">
        <f aca="false">M1682+N1681</f>
        <v>6</v>
      </c>
      <c r="O1682" s="65" t="n">
        <f aca="false">N1682+O1681</f>
        <v>6</v>
      </c>
    </row>
    <row r="1683" customFormat="false" ht="15" hidden="false" customHeight="false" outlineLevel="0" collapsed="false">
      <c r="B1683" s="65" t="s">
        <v>1022</v>
      </c>
      <c r="C1683" s="25"/>
      <c r="D1683" s="72" t="n">
        <f aca="false">IF(D1681=1,IF(C1693=1,0,IF(D1682=1,$AB$6,IF(D1682=2,$AB$7,$AB$8))),0)</f>
        <v>0.15</v>
      </c>
      <c r="E1683" s="72" t="n">
        <f aca="false">IF(E1681=1,IF(D1693=1,0,IF(E1682=1,$AB$6,IF(E1682=2,$AB$7,$AB$8))),0)</f>
        <v>0</v>
      </c>
      <c r="F1683" s="72" t="n">
        <f aca="false">IF(F1681=1,IF(E1693=1,0,IF(F1682=1,$AB$6,IF(F1682=2,$AB$7,$AB$8))),0)</f>
        <v>0.02</v>
      </c>
      <c r="G1683" s="72" t="n">
        <f aca="false">IF(G1681=1,IF(F1693=1,0,IF(G1682=1,$AB$6,IF(G1682=2,$AB$7,$AB$8))),0)</f>
        <v>0</v>
      </c>
      <c r="H1683" s="72" t="n">
        <f aca="false">IF(H1681=1,IF(G1693=1,0,IF(H1682=1,$AB$6,IF(H1682=2,$AB$7,$AB$8))),0)</f>
        <v>0.02</v>
      </c>
      <c r="I1683" s="72" t="n">
        <f aca="false">IF(I1681=1,IF(H1693=1,0,IF(I1682=1,$AB$6,IF(I1682=2,$AB$7,$AB$8))),0)</f>
        <v>0</v>
      </c>
      <c r="J1683" s="72" t="n">
        <f aca="false">IF(J1681=1,IF(I1693=1,0,IF(J1682=1,$AB$6,IF(J1682=2,$AB$7,$AB$8))),0)</f>
        <v>0.02</v>
      </c>
      <c r="K1683" s="72" t="n">
        <f aca="false">IF(K1681=1,IF(J1693=1,0,IF(K1682=1,$AB$6,IF(K1682=2,$AB$7,$AB$8))),0)</f>
        <v>0</v>
      </c>
      <c r="L1683" s="72" t="n">
        <f aca="false">IF(L1681=1,IF(K1693=1,0,IF(L1682=1,$AB$6,IF(L1682=2,$AB$7,$AB$8))),0)</f>
        <v>0.02</v>
      </c>
      <c r="M1683" s="72" t="n">
        <f aca="false">IF(M1681=1,IF(L1693=1,0,IF(M1682=1,$AB$6,IF(M1682=2,$AB$7,$AB$8))),0)</f>
        <v>0</v>
      </c>
      <c r="N1683" s="72" t="n">
        <f aca="false">IF(N1681=1,IF(M1693=1,0,IF(N1682=1,$AB$6,IF(N1682=2,$AB$7,$AB$8))),0)</f>
        <v>0.02</v>
      </c>
      <c r="O1683" s="72" t="n">
        <f aca="false">IF(O1681=1,IF(N1693=1,0,IF(O1682=1,$AB$6,IF(O1682=2,$AB$7,$AB$8))),0)</f>
        <v>0</v>
      </c>
    </row>
    <row r="1684" customFormat="false" ht="15" hidden="false" customHeight="false" outlineLevel="0" collapsed="false">
      <c r="B1684" s="65" t="s">
        <v>1023</v>
      </c>
      <c r="C1684" s="25"/>
      <c r="D1684" s="73" t="n">
        <f aca="false">C1728</f>
        <v>50000000</v>
      </c>
      <c r="E1684" s="73" t="n">
        <f aca="false">D1728</f>
        <v>48100643.75</v>
      </c>
      <c r="F1684" s="73" t="n">
        <f aca="false">E1728</f>
        <v>48823151.7132813</v>
      </c>
      <c r="G1684" s="73" t="n">
        <f aca="false">F1728</f>
        <v>47105173.9904901</v>
      </c>
      <c r="H1684" s="73" t="n">
        <f aca="false">G1728</f>
        <v>47826489.4455393</v>
      </c>
      <c r="I1684" s="73" t="n">
        <f aca="false">H1728</f>
        <v>46183889.2303444</v>
      </c>
      <c r="J1684" s="73" t="n">
        <f aca="false">I1728</f>
        <v>46930729.0550004</v>
      </c>
      <c r="K1684" s="73" t="n">
        <f aca="false">J1728</f>
        <v>45332651.4154555</v>
      </c>
      <c r="L1684" s="73" t="n">
        <f aca="false">K1728</f>
        <v>46080299.0246774</v>
      </c>
      <c r="M1684" s="73" t="n">
        <f aca="false">L1728</f>
        <v>45216358.6252577</v>
      </c>
      <c r="N1684" s="73" t="n">
        <f aca="false">M1728</f>
        <v>45967676.9525741</v>
      </c>
      <c r="O1684" s="73" t="n">
        <f aca="false">N1728</f>
        <v>45803182.2759156</v>
      </c>
    </row>
    <row r="1685" customFormat="false" ht="15" hidden="false" customHeight="false" outlineLevel="0" collapsed="false">
      <c r="B1685" s="65" t="s">
        <v>177</v>
      </c>
      <c r="C1685" s="25"/>
      <c r="D1685" s="73" t="n">
        <f aca="false">IF(C1693=1,0,$AB$9*D1684)</f>
        <v>0</v>
      </c>
      <c r="E1685" s="73" t="n">
        <f aca="false">IF(D1693=1,0,$AB$9*E1684)</f>
        <v>0</v>
      </c>
      <c r="F1685" s="73" t="n">
        <f aca="false">IF(E1693=1,0,$AB$9*F1684)</f>
        <v>0</v>
      </c>
      <c r="G1685" s="73" t="n">
        <f aca="false">IF(F1693=1,0,$AB$9*G1684)</f>
        <v>0</v>
      </c>
      <c r="H1685" s="73" t="n">
        <f aca="false">IF(G1693=1,0,$AB$9*H1684)</f>
        <v>0</v>
      </c>
      <c r="I1685" s="73" t="n">
        <f aca="false">IF(H1693=1,0,$AB$9*I1684)</f>
        <v>0</v>
      </c>
      <c r="J1685" s="73" t="n">
        <f aca="false">IF(I1693=1,0,$AB$9*J1684)</f>
        <v>0</v>
      </c>
      <c r="K1685" s="73" t="n">
        <f aca="false">IF(J1693=1,0,$AB$9*K1684)</f>
        <v>0</v>
      </c>
      <c r="L1685" s="73" t="n">
        <f aca="false">IF(K1693=1,0,$AB$9*L1684)</f>
        <v>0</v>
      </c>
      <c r="M1685" s="73" t="n">
        <f aca="false">IF(L1693=1,0,$AB$9*M1684)</f>
        <v>0</v>
      </c>
      <c r="N1685" s="73" t="n">
        <f aca="false">IF(M1693=1,0,$AB$9*N1684)</f>
        <v>0</v>
      </c>
      <c r="O1685" s="73" t="n">
        <f aca="false">IF(N1693=1,0,$AB$9*O1684)</f>
        <v>0</v>
      </c>
    </row>
    <row r="1686" customFormat="false" ht="15" hidden="false" customHeight="false" outlineLevel="0" collapsed="false">
      <c r="B1686" s="65" t="s">
        <v>1024</v>
      </c>
      <c r="C1686" s="25"/>
      <c r="D1686" s="73" t="n">
        <f aca="false">D1683*D1684</f>
        <v>7500000</v>
      </c>
      <c r="E1686" s="73" t="n">
        <f aca="false">E1683*E1684</f>
        <v>0</v>
      </c>
      <c r="F1686" s="73" t="n">
        <f aca="false">F1683*F1684</f>
        <v>976463.034265625</v>
      </c>
      <c r="G1686" s="73" t="n">
        <f aca="false">G1683*G1684</f>
        <v>0</v>
      </c>
      <c r="H1686" s="73" t="n">
        <f aca="false">H1683*H1684</f>
        <v>956529.788910786</v>
      </c>
      <c r="I1686" s="73" t="n">
        <f aca="false">I1683*I1684</f>
        <v>0</v>
      </c>
      <c r="J1686" s="73" t="n">
        <f aca="false">J1683*J1684</f>
        <v>938614.581100009</v>
      </c>
      <c r="K1686" s="73" t="n">
        <f aca="false">K1683*K1684</f>
        <v>0</v>
      </c>
      <c r="L1686" s="73" t="n">
        <f aca="false">L1683*L1684</f>
        <v>921605.980493548</v>
      </c>
      <c r="M1686" s="73" t="n">
        <f aca="false">M1683*M1684</f>
        <v>0</v>
      </c>
      <c r="N1686" s="73" t="n">
        <f aca="false">N1683*N1684</f>
        <v>919353.539051481</v>
      </c>
      <c r="O1686" s="73" t="n">
        <f aca="false">O1683*O1684</f>
        <v>0</v>
      </c>
    </row>
    <row r="1687" customFormat="false" ht="15" hidden="false" customHeight="false" outlineLevel="0" collapsed="false">
      <c r="B1687" s="65" t="s">
        <v>1025</v>
      </c>
      <c r="C1687" s="25"/>
      <c r="D1687" s="73" t="n">
        <f aca="false">C1695</f>
        <v>0</v>
      </c>
      <c r="E1687" s="73" t="n">
        <f aca="false">D1695</f>
        <v>5000000</v>
      </c>
      <c r="F1687" s="73" t="n">
        <f aca="false">E1695</f>
        <v>5000000</v>
      </c>
      <c r="G1687" s="73" t="n">
        <f aca="false">F1695</f>
        <v>3535305.44860156</v>
      </c>
      <c r="H1687" s="73" t="n">
        <f aca="false">G1695</f>
        <v>3535305.44860156</v>
      </c>
      <c r="I1687" s="73" t="n">
        <f aca="false">H1695</f>
        <v>2100510.76523538</v>
      </c>
      <c r="J1687" s="73" t="n">
        <f aca="false">I1695</f>
        <v>2100510.76523538</v>
      </c>
      <c r="K1687" s="73" t="n">
        <f aca="false">J1695</f>
        <v>692588.893585371</v>
      </c>
      <c r="L1687" s="73" t="n">
        <f aca="false">K1695</f>
        <v>692588.893585371</v>
      </c>
      <c r="M1687" s="73" t="n">
        <f aca="false">L1695</f>
        <v>0</v>
      </c>
      <c r="N1687" s="73" t="n">
        <f aca="false">M1695</f>
        <v>0</v>
      </c>
      <c r="O1687" s="73" t="n">
        <f aca="false">N1695</f>
        <v>0</v>
      </c>
    </row>
    <row r="1688" customFormat="false" ht="15" hidden="false" customHeight="false" outlineLevel="0" collapsed="false">
      <c r="B1688" s="65" t="s">
        <v>1026</v>
      </c>
      <c r="C1688" s="25"/>
      <c r="D1688" s="73" t="n">
        <f aca="false">D1686+D1687</f>
        <v>7500000</v>
      </c>
      <c r="E1688" s="73" t="n">
        <f aca="false">E1686+E1687</f>
        <v>5000000</v>
      </c>
      <c r="F1688" s="73" t="n">
        <f aca="false">F1686+F1687</f>
        <v>5976463.03426563</v>
      </c>
      <c r="G1688" s="73" t="n">
        <f aca="false">G1686+G1687</f>
        <v>3535305.44860156</v>
      </c>
      <c r="H1688" s="73" t="n">
        <f aca="false">H1686+H1687</f>
        <v>4491835.23751235</v>
      </c>
      <c r="I1688" s="73" t="n">
        <f aca="false">I1686+I1687</f>
        <v>2100510.76523538</v>
      </c>
      <c r="J1688" s="73" t="n">
        <f aca="false">J1686+J1687</f>
        <v>3039125.34633539</v>
      </c>
      <c r="K1688" s="73" t="n">
        <f aca="false">K1686+K1687</f>
        <v>692588.893585371</v>
      </c>
      <c r="L1688" s="73" t="n">
        <f aca="false">L1686+L1687</f>
        <v>1614194.87407892</v>
      </c>
      <c r="M1688" s="73" t="n">
        <f aca="false">M1686+M1687</f>
        <v>0</v>
      </c>
      <c r="N1688" s="73" t="n">
        <f aca="false">N1686+N1687</f>
        <v>919353.539051481</v>
      </c>
      <c r="O1688" s="73" t="n">
        <f aca="false">O1686+O1687</f>
        <v>0</v>
      </c>
    </row>
    <row r="1689" customFormat="false" ht="15" hidden="false" customHeight="false" outlineLevel="0" collapsed="false">
      <c r="B1689" s="65" t="s">
        <v>1027</v>
      </c>
      <c r="C1689" s="25"/>
      <c r="D1689" s="73" t="n">
        <f aca="false">IF($AB$21=1,Gate*D1684+D1685,D1688)</f>
        <v>2500000</v>
      </c>
      <c r="E1689" s="73" t="n">
        <f aca="false">IF($AB$21=1,Gate*E1684+E1685,E1688)</f>
        <v>2405032.1875</v>
      </c>
      <c r="F1689" s="73" t="n">
        <f aca="false">IF($AB$21=1,Gate*F1684+F1685,F1688)</f>
        <v>2441157.58566406</v>
      </c>
      <c r="G1689" s="73" t="n">
        <f aca="false">IF($AB$21=1,Gate*G1684+G1685,G1688)</f>
        <v>2355258.6995245</v>
      </c>
      <c r="H1689" s="73" t="n">
        <f aca="false">IF($AB$21=1,Gate*H1684+H1685,H1688)</f>
        <v>2391324.47227697</v>
      </c>
      <c r="I1689" s="73" t="n">
        <f aca="false">IF($AB$21=1,Gate*I1684+I1685,I1688)</f>
        <v>2309194.46151722</v>
      </c>
      <c r="J1689" s="73" t="n">
        <f aca="false">IF($AB$21=1,Gate*J1684+J1685,J1688)</f>
        <v>2346536.45275002</v>
      </c>
      <c r="K1689" s="73" t="n">
        <f aca="false">IF($AB$21=1,Gate*K1684+K1685,K1688)</f>
        <v>2266632.57077278</v>
      </c>
      <c r="L1689" s="73" t="n">
        <f aca="false">IF($AB$21=1,Gate*L1684+L1685,L1688)</f>
        <v>2304014.95123387</v>
      </c>
      <c r="M1689" s="73" t="n">
        <f aca="false">IF($AB$21=1,Gate*M1684+M1685,M1688)</f>
        <v>2260817.93126288</v>
      </c>
      <c r="N1689" s="73" t="n">
        <f aca="false">IF($AB$21=1,Gate*N1684+N1685,N1688)</f>
        <v>2298383.8476287</v>
      </c>
      <c r="O1689" s="73" t="n">
        <f aca="false">IF($AB$21=1,Gate*O1684+O1685,O1688)</f>
        <v>2290159.11379578</v>
      </c>
    </row>
    <row r="1690" customFormat="false" ht="15" hidden="false" customHeight="false" outlineLevel="0" collapsed="false">
      <c r="B1690" s="65" t="s">
        <v>1028</v>
      </c>
      <c r="C1690" s="25"/>
      <c r="D1690" s="73" t="n">
        <f aca="false">IF(D1681=1,MIN(D1688,D1689),0)</f>
        <v>2500000</v>
      </c>
      <c r="E1690" s="73" t="n">
        <f aca="false">IF(E1681=1,MIN(E1688,E1689),0)</f>
        <v>0</v>
      </c>
      <c r="F1690" s="73" t="n">
        <f aca="false">IF(F1681=1,MIN(F1688,F1689),0)</f>
        <v>2441157.58566406</v>
      </c>
      <c r="G1690" s="73" t="n">
        <f aca="false">IF(G1681=1,MIN(G1688,G1689),0)</f>
        <v>0</v>
      </c>
      <c r="H1690" s="73" t="n">
        <f aca="false">IF(H1681=1,MIN(H1688,H1689),0)</f>
        <v>2391324.47227697</v>
      </c>
      <c r="I1690" s="73" t="n">
        <f aca="false">IF(I1681=1,MIN(I1688,I1689),0)</f>
        <v>0</v>
      </c>
      <c r="J1690" s="73" t="n">
        <f aca="false">IF(J1681=1,MIN(J1688,J1689),0)</f>
        <v>2346536.45275002</v>
      </c>
      <c r="K1690" s="73" t="n">
        <f aca="false">IF(K1681=1,MIN(K1688,K1689),0)</f>
        <v>0</v>
      </c>
      <c r="L1690" s="73" t="n">
        <f aca="false">IF(L1681=1,MIN(L1688,L1689),0)</f>
        <v>1614194.87407892</v>
      </c>
      <c r="M1690" s="73" t="n">
        <f aca="false">IF(M1681=1,MIN(M1688,M1689),0)</f>
        <v>0</v>
      </c>
      <c r="N1690" s="73" t="n">
        <f aca="false">IF(N1681=1,MIN(N1688,N1689),0)</f>
        <v>919353.539051481</v>
      </c>
      <c r="O1690" s="73" t="n">
        <f aca="false">IF(O1681=1,MIN(O1688,O1689),0)</f>
        <v>0</v>
      </c>
    </row>
    <row r="1691" customFormat="false" ht="15" hidden="false" customHeight="false" outlineLevel="0" collapsed="false">
      <c r="B1691" s="65" t="s">
        <v>1029</v>
      </c>
      <c r="C1691" s="25"/>
      <c r="D1691" s="73" t="n">
        <f aca="false">MAX(0,D1719+D1710+D1711-Poche_min_exec*D1684-D1690-SUM(E1716:F1716)+MAX(0,MIN($AB$20*AN_cible,Emprunt_max*D1684)-C1727))</f>
        <v>0</v>
      </c>
      <c r="E1691" s="73" t="n">
        <f aca="false">MAX(0,E1719+E1710+E1711-Poche_min_exec*E1684-E1690-SUM(F1716:G1716)+MAX(0,MIN($AB$20*AN_cible,Emprunt_max*E1684)-D1727))</f>
        <v>502827.0625</v>
      </c>
      <c r="F1691" s="73" t="n">
        <f aca="false">MAX(0,F1719+F1710+F1711-Poche_min_exec*F1684-F1690-SUM(G1716:H1716)+MAX(0,MIN($AB$20*AN_cible,Emprunt_max*F1684)-E1727))</f>
        <v>0</v>
      </c>
      <c r="G1691" s="73" t="n">
        <f aca="false">MAX(0,G1719+G1710+G1711-Poche_min_exec*G1684-G1690-SUM(H1716:I1716)+MAX(0,MIN($AB$20*AN_cible,Emprunt_max*G1684)-F1727))</f>
        <v>0</v>
      </c>
      <c r="H1691" s="73" t="n">
        <f aca="false">MAX(0,H1719+H1710+H1711-Poche_min_exec*H1684-H1690-SUM(I1716:J1716)+MAX(0,MIN($AB$20*AN_cible,Emprunt_max*H1684)-G1727))</f>
        <v>0</v>
      </c>
      <c r="I1691" s="73" t="n">
        <f aca="false">MAX(0,I1719+I1710+I1711-Poche_min_exec*I1684-I1690-SUM(J1716:K1716)+MAX(0,MIN($AB$20*AN_cible,Emprunt_max*I1684)-H1727))</f>
        <v>0</v>
      </c>
      <c r="J1691" s="73" t="n">
        <f aca="false">MAX(0,J1719+J1710+J1711-Poche_min_exec*J1684-J1690-SUM(K1716:L1716)+MAX(0,MIN($AB$20*AN_cible,Emprunt_max*J1684)-I1727))</f>
        <v>0</v>
      </c>
      <c r="K1691" s="73" t="n">
        <f aca="false">MAX(0,K1719+K1710+K1711-Poche_min_exec*K1684-K1690-SUM(L1716:M1716)+MAX(0,MIN($AB$20*AN_cible,Emprunt_max*K1684)-J1727))</f>
        <v>0</v>
      </c>
      <c r="L1691" s="73" t="n">
        <f aca="false">MAX(0,L1719+L1710+L1711-Poche_min_exec*L1684-L1690-SUM(M1716:N1716)+MAX(0,MIN($AB$20*AN_cible,Emprunt_max*L1684)-K1727))</f>
        <v>0</v>
      </c>
      <c r="M1691" s="73" t="n">
        <f aca="false">MAX(0,M1719+M1710+M1711-Poche_min_exec*M1684-M1690-SUM(N1716:O1716)+MAX(0,MIN($AB$20*AN_cible,Emprunt_max*M1684)-L1727))</f>
        <v>0</v>
      </c>
      <c r="N1691" s="73" t="n">
        <f aca="false">MAX(0,N1719+N1710+N1711-Poche_min_exec*N1684-N1690-SUM(O1716:O1716)+MAX(0,MIN($AB$20*AN_cible,Emprunt_max*N1684)-M1727))</f>
        <v>0</v>
      </c>
      <c r="O1691" s="73" t="n">
        <f aca="false">MAX(0,O1719+O1710+O1711-Poche_min_exec*O1684-O1690-0+MAX(0,MIN($AB$20*AN_cible,Emprunt_max*O1684)-N1727))</f>
        <v>0</v>
      </c>
    </row>
    <row r="1692" customFormat="false" ht="15" hidden="false" customHeight="false" outlineLevel="0" collapsed="false">
      <c r="B1692" s="65" t="s">
        <v>1030</v>
      </c>
      <c r="C1692" s="25"/>
      <c r="D1692" s="73" t="n">
        <f aca="false">IF(AND(D1681=1,$AB$21=1,$AB$22=1),MIN(D1688-D1690,D1691),0)</f>
        <v>0</v>
      </c>
      <c r="E1692" s="73" t="n">
        <f aca="false">IF(AND(E1681=1,$AB$21=1,$AB$22=1),MIN(E1688-E1690,E1691),0)</f>
        <v>0</v>
      </c>
      <c r="F1692" s="73" t="n">
        <f aca="false">IF(AND(F1681=1,$AB$21=1,$AB$22=1),MIN(F1688-F1690,F1691),0)</f>
        <v>0</v>
      </c>
      <c r="G1692" s="73" t="n">
        <f aca="false">IF(AND(G1681=1,$AB$21=1,$AB$22=1),MIN(G1688-G1690,G1691),0)</f>
        <v>0</v>
      </c>
      <c r="H1692" s="73" t="n">
        <f aca="false">IF(AND(H1681=1,$AB$21=1,$AB$22=1),MIN(H1688-H1690,H1691),0)</f>
        <v>0</v>
      </c>
      <c r="I1692" s="73" t="n">
        <f aca="false">IF(AND(I1681=1,$AB$21=1,$AB$22=1),MIN(I1688-I1690,I1691),0)</f>
        <v>0</v>
      </c>
      <c r="J1692" s="73" t="n">
        <f aca="false">IF(AND(J1681=1,$AB$21=1,$AB$22=1),MIN(J1688-J1690,J1691),0)</f>
        <v>0</v>
      </c>
      <c r="K1692" s="73" t="n">
        <f aca="false">IF(AND(K1681=1,$AB$21=1,$AB$22=1),MIN(K1688-K1690,K1691),0)</f>
        <v>0</v>
      </c>
      <c r="L1692" s="73" t="n">
        <f aca="false">IF(AND(L1681=1,$AB$21=1,$AB$22=1),MIN(L1688-L1690,L1691),0)</f>
        <v>0</v>
      </c>
      <c r="M1692" s="73" t="n">
        <f aca="false">IF(AND(M1681=1,$AB$21=1,$AB$22=1),MIN(M1688-M1690,M1691),0)</f>
        <v>0</v>
      </c>
      <c r="N1692" s="73" t="n">
        <f aca="false">IF(AND(N1681=1,$AB$21=1,$AB$22=1),MIN(N1688-N1690,N1691),0)</f>
        <v>0</v>
      </c>
      <c r="O1692" s="73" t="n">
        <f aca="false">IF(AND(O1681=1,$AB$21=1,$AB$22=1),MIN(O1688-O1690,O1691),0)</f>
        <v>0</v>
      </c>
    </row>
    <row r="1693" customFormat="false" ht="15" hidden="false" customHeight="false" outlineLevel="0" collapsed="false">
      <c r="B1693" s="65" t="s">
        <v>1031</v>
      </c>
      <c r="C1693" s="65" t="n">
        <v>0</v>
      </c>
      <c r="D1693" s="65" t="n">
        <f aca="false">IF(C1693=1,1,IF(AND(D1681=1,$AB$21=1,C1697&gt;=Gate_dates,D1688-D1690-D1692&gt;0.000001),1,0))</f>
        <v>0</v>
      </c>
      <c r="E1693" s="65" t="n">
        <f aca="false">IF(D1693=1,1,IF(AND(E1681=1,$AB$21=1,D1697&gt;=Gate_dates,E1688-E1690-E1692&gt;0.000001),1,0))</f>
        <v>0</v>
      </c>
      <c r="F1693" s="65" t="n">
        <f aca="false">IF(E1693=1,1,IF(AND(F1681=1,$AB$21=1,E1697&gt;=Gate_dates,F1688-F1690-F1692&gt;0.000001),1,0))</f>
        <v>0</v>
      </c>
      <c r="G1693" s="65" t="n">
        <f aca="false">IF(F1693=1,1,IF(AND(G1681=1,$AB$21=1,F1697&gt;=Gate_dates,G1688-G1690-G1692&gt;0.000001),1,0))</f>
        <v>0</v>
      </c>
      <c r="H1693" s="65" t="n">
        <f aca="false">IF(G1693=1,1,IF(AND(H1681=1,$AB$21=1,G1697&gt;=Gate_dates,H1688-H1690-H1692&gt;0.000001),1,0))</f>
        <v>0</v>
      </c>
      <c r="I1693" s="65" t="n">
        <f aca="false">IF(H1693=1,1,IF(AND(I1681=1,$AB$21=1,H1697&gt;=Gate_dates,I1688-I1690-I1692&gt;0.000001),1,0))</f>
        <v>0</v>
      </c>
      <c r="J1693" s="65" t="n">
        <f aca="false">IF(I1693=1,1,IF(AND(J1681=1,$AB$21=1,I1697&gt;=Gate_dates,J1688-J1690-J1692&gt;0.000001),1,0))</f>
        <v>0</v>
      </c>
      <c r="K1693" s="65" t="n">
        <f aca="false">IF(J1693=1,1,IF(AND(K1681=1,$AB$21=1,J1697&gt;=Gate_dates,K1688-K1690-K1692&gt;0.000001),1,0))</f>
        <v>0</v>
      </c>
      <c r="L1693" s="65" t="n">
        <f aca="false">IF(K1693=1,1,IF(AND(L1681=1,$AB$21=1,K1697&gt;=Gate_dates,L1688-L1690-L1692&gt;0.000001),1,0))</f>
        <v>0</v>
      </c>
      <c r="M1693" s="65" t="n">
        <f aca="false">IF(L1693=1,1,IF(AND(M1681=1,$AB$21=1,L1697&gt;=Gate_dates,M1688-M1690-M1692&gt;0.000001),1,0))</f>
        <v>0</v>
      </c>
      <c r="N1693" s="65" t="n">
        <f aca="false">IF(M1693=1,1,IF(AND(N1681=1,$AB$21=1,M1697&gt;=Gate_dates,N1688-N1690-N1692&gt;0.000001),1,0))</f>
        <v>0</v>
      </c>
      <c r="O1693" s="65" t="n">
        <f aca="false">IF(N1693=1,1,IF(AND(O1681=1,$AB$21=1,N1697&gt;=Gate_dates,O1688-O1690-O1692&gt;0.000001),1,0))</f>
        <v>0</v>
      </c>
    </row>
    <row r="1694" customFormat="false" ht="15" hidden="false" customHeight="false" outlineLevel="0" collapsed="false">
      <c r="B1694" s="65" t="s">
        <v>1032</v>
      </c>
      <c r="C1694" s="25"/>
      <c r="D1694" s="73" t="n">
        <f aca="false">IF(D1693=1,0,D1690+D1692)</f>
        <v>2500000</v>
      </c>
      <c r="E1694" s="73" t="n">
        <f aca="false">IF(E1693=1,0,E1690+E1692)</f>
        <v>0</v>
      </c>
      <c r="F1694" s="73" t="n">
        <f aca="false">IF(F1693=1,0,F1690+F1692)</f>
        <v>2441157.58566406</v>
      </c>
      <c r="G1694" s="73" t="n">
        <f aca="false">IF(G1693=1,0,G1690+G1692)</f>
        <v>0</v>
      </c>
      <c r="H1694" s="73" t="n">
        <f aca="false">IF(H1693=1,0,H1690+H1692)</f>
        <v>2391324.47227697</v>
      </c>
      <c r="I1694" s="73" t="n">
        <f aca="false">IF(I1693=1,0,I1690+I1692)</f>
        <v>0</v>
      </c>
      <c r="J1694" s="73" t="n">
        <f aca="false">IF(J1693=1,0,J1690+J1692)</f>
        <v>2346536.45275002</v>
      </c>
      <c r="K1694" s="73" t="n">
        <f aca="false">IF(K1693=1,0,K1690+K1692)</f>
        <v>0</v>
      </c>
      <c r="L1694" s="73" t="n">
        <f aca="false">IF(L1693=1,0,L1690+L1692)</f>
        <v>1614194.87407892</v>
      </c>
      <c r="M1694" s="73" t="n">
        <f aca="false">IF(M1693=1,0,M1690+M1692)</f>
        <v>0</v>
      </c>
      <c r="N1694" s="73" t="n">
        <f aca="false">IF(N1693=1,0,N1690+N1692)</f>
        <v>919353.539051481</v>
      </c>
      <c r="O1694" s="73" t="n">
        <f aca="false">IF(O1693=1,0,O1690+O1692)</f>
        <v>0</v>
      </c>
    </row>
    <row r="1695" customFormat="false" ht="15" hidden="false" customHeight="false" outlineLevel="0" collapsed="false">
      <c r="B1695" s="65" t="s">
        <v>1033</v>
      </c>
      <c r="C1695" s="73" t="n">
        <v>0</v>
      </c>
      <c r="D1695" s="73" t="n">
        <f aca="false">D1688-D1694</f>
        <v>5000000</v>
      </c>
      <c r="E1695" s="73" t="n">
        <f aca="false">E1688-E1694</f>
        <v>5000000</v>
      </c>
      <c r="F1695" s="73" t="n">
        <f aca="false">F1688-F1694</f>
        <v>3535305.44860156</v>
      </c>
      <c r="G1695" s="73" t="n">
        <f aca="false">G1688-G1694</f>
        <v>3535305.44860156</v>
      </c>
      <c r="H1695" s="73" t="n">
        <f aca="false">H1688-H1694</f>
        <v>2100510.76523538</v>
      </c>
      <c r="I1695" s="73" t="n">
        <f aca="false">I1688-I1694</f>
        <v>2100510.76523538</v>
      </c>
      <c r="J1695" s="73" t="n">
        <f aca="false">J1688-J1694</f>
        <v>692588.893585371</v>
      </c>
      <c r="K1695" s="73" t="n">
        <f aca="false">K1688-K1694</f>
        <v>692588.893585371</v>
      </c>
      <c r="L1695" s="73" t="n">
        <f aca="false">L1688-L1694</f>
        <v>0</v>
      </c>
      <c r="M1695" s="73" t="n">
        <f aca="false">M1688-M1694</f>
        <v>0</v>
      </c>
      <c r="N1695" s="73" t="n">
        <f aca="false">N1688-N1694</f>
        <v>0</v>
      </c>
      <c r="O1695" s="73" t="n">
        <f aca="false">O1688-O1694</f>
        <v>0</v>
      </c>
    </row>
    <row r="1696" customFormat="false" ht="15" hidden="false" customHeight="false" outlineLevel="0" collapsed="false">
      <c r="B1696" s="65" t="s">
        <v>1034</v>
      </c>
      <c r="C1696" s="25"/>
      <c r="D1696" s="65" t="n">
        <f aca="false">IF(AND(D1681=1,D1693=0,D1695&gt;0.000001),1,0)</f>
        <v>1</v>
      </c>
      <c r="E1696" s="65" t="n">
        <f aca="false">IF(AND(E1681=1,E1693=0,E1695&gt;0.000001),1,0)</f>
        <v>0</v>
      </c>
      <c r="F1696" s="65" t="n">
        <f aca="false">IF(AND(F1681=1,F1693=0,F1695&gt;0.000001),1,0)</f>
        <v>1</v>
      </c>
      <c r="G1696" s="65" t="n">
        <f aca="false">IF(AND(G1681=1,G1693=0,G1695&gt;0.000001),1,0)</f>
        <v>0</v>
      </c>
      <c r="H1696" s="65" t="n">
        <f aca="false">IF(AND(H1681=1,H1693=0,H1695&gt;0.000001),1,0)</f>
        <v>1</v>
      </c>
      <c r="I1696" s="65" t="n">
        <f aca="false">IF(AND(I1681=1,I1693=0,I1695&gt;0.000001),1,0)</f>
        <v>0</v>
      </c>
      <c r="J1696" s="65" t="n">
        <f aca="false">IF(AND(J1681=1,J1693=0,J1695&gt;0.000001),1,0)</f>
        <v>1</v>
      </c>
      <c r="K1696" s="65" t="n">
        <f aca="false">IF(AND(K1681=1,K1693=0,K1695&gt;0.000001),1,0)</f>
        <v>0</v>
      </c>
      <c r="L1696" s="65" t="n">
        <f aca="false">IF(AND(L1681=1,L1693=0,L1695&gt;0.000001),1,0)</f>
        <v>0</v>
      </c>
      <c r="M1696" s="65" t="n">
        <f aca="false">IF(AND(M1681=1,M1693=0,M1695&gt;0.000001),1,0)</f>
        <v>0</v>
      </c>
      <c r="N1696" s="65" t="n">
        <f aca="false">IF(AND(N1681=1,N1693=0,N1695&gt;0.000001),1,0)</f>
        <v>0</v>
      </c>
      <c r="O1696" s="65" t="n">
        <f aca="false">IF(AND(O1681=1,O1693=0,O1695&gt;0.000001),1,0)</f>
        <v>0</v>
      </c>
    </row>
    <row r="1697" customFormat="false" ht="15" hidden="false" customHeight="false" outlineLevel="0" collapsed="false">
      <c r="B1697" s="65" t="s">
        <v>843</v>
      </c>
      <c r="C1697" s="65" t="n">
        <v>0</v>
      </c>
      <c r="D1697" s="65" t="n">
        <f aca="false">IF(D1681=1,IF(D1696=1,C1697+1,0),C1697)</f>
        <v>1</v>
      </c>
      <c r="E1697" s="65" t="n">
        <f aca="false">IF(E1681=1,IF(E1696=1,D1697+1,0),D1697)</f>
        <v>1</v>
      </c>
      <c r="F1697" s="65" t="n">
        <f aca="false">IF(F1681=1,IF(F1696=1,E1697+1,0),E1697)</f>
        <v>2</v>
      </c>
      <c r="G1697" s="65" t="n">
        <f aca="false">IF(G1681=1,IF(G1696=1,F1697+1,0),F1697)</f>
        <v>2</v>
      </c>
      <c r="H1697" s="65" t="n">
        <f aca="false">IF(H1681=1,IF(H1696=1,G1697+1,0),G1697)</f>
        <v>3</v>
      </c>
      <c r="I1697" s="65" t="n">
        <f aca="false">IF(I1681=1,IF(I1696=1,H1697+1,0),H1697)</f>
        <v>3</v>
      </c>
      <c r="J1697" s="65" t="n">
        <f aca="false">IF(J1681=1,IF(J1696=1,I1697+1,0),I1697)</f>
        <v>4</v>
      </c>
      <c r="K1697" s="65" t="n">
        <f aca="false">IF(K1681=1,IF(K1696=1,J1697+1,0),J1697)</f>
        <v>4</v>
      </c>
      <c r="L1697" s="65" t="n">
        <f aca="false">IF(L1681=1,IF(L1696=1,K1697+1,0),K1697)</f>
        <v>0</v>
      </c>
      <c r="M1697" s="65" t="n">
        <f aca="false">IF(M1681=1,IF(M1696=1,L1697+1,0),L1697)</f>
        <v>0</v>
      </c>
      <c r="N1697" s="65" t="n">
        <f aca="false">IF(N1681=1,IF(N1696=1,M1697+1,0),M1697)</f>
        <v>0</v>
      </c>
      <c r="O1697" s="65" t="n">
        <f aca="false">IF(O1681=1,IF(O1696=1,N1697+1,0),N1697)</f>
        <v>0</v>
      </c>
    </row>
    <row r="1698" customFormat="false" ht="15" hidden="false" customHeight="false" outlineLevel="0" collapsed="false">
      <c r="B1698" s="65" t="s">
        <v>1035</v>
      </c>
      <c r="C1698" s="73" t="n">
        <f aca="false">AN_cible*Ws_MAPIF</f>
        <v>12500000</v>
      </c>
      <c r="D1698" s="73" t="n">
        <f aca="false">C1698*(1+Rend_MAPIF/4)*IF(D1679=1,(1-(Cap_MAPIF*$AB$15+(1-Cap_MAPIF)*$AB$16))*(1+1*$AB$14),1)+D1708-D1702-D1723*IF((C1698+C1699+C1700+C1701)&gt;0,C1698/(C1698+C1699+C1700+C1701),0)</f>
        <v>12971562.5</v>
      </c>
      <c r="E1698" s="73" t="n">
        <f aca="false">D1698*(1+Rend_MAPIF/4)*IF(E1679=1,(1-(Cap_MAPIF*$AB$15+(1-Cap_MAPIF)*$AB$16))*(1+1*$AB$14),1)+E1708-E1702-E1723*IF((D1698+D1699+D1700+D1701)&gt;0,D1698/(D1698+D1699+D1700+D1701),0)</f>
        <v>13446767.8203125</v>
      </c>
      <c r="F1698" s="73" t="n">
        <f aca="false">E1698*(1+Rend_MAPIF/4)*IF(F1679=1,(1-(Cap_MAPIF*$AB$15+(1-Cap_MAPIF)*$AB$16))*(1+1*$AB$14),1)+F1708-F1702-F1723*IF((E1698+E1699+E1700+E1701)&gt;0,E1698/(E1698+E1699+E1700+E1701),0)</f>
        <v>13925644.1017244</v>
      </c>
      <c r="G1698" s="73" t="n">
        <f aca="false">F1698*(1+Rend_MAPIF/4)*IF(G1679=1,(1-(Cap_MAPIF*$AB$15+(1-Cap_MAPIF)*$AB$16))*(1+1*$AB$14),1)+G1708-G1702-G1723*IF((F1698+F1699+F1700+F1701)&gt;0,F1698/(F1698+F1699+F1700+F1701),0)</f>
        <v>14408219.7024102</v>
      </c>
      <c r="H1698" s="73" t="n">
        <f aca="false">G1698*(1+Rend_MAPIF/4)*IF(H1679=1,(1-(Cap_MAPIF*$AB$15+(1-Cap_MAPIF)*$AB$16))*(1+1*$AB$14),1)+H1708-H1702-H1723*IF((G1698+G1699+G1700+G1701)&gt;0,G1698/(G1698+G1699+G1700+G1701),0)</f>
        <v>14894523.1996114</v>
      </c>
      <c r="I1698" s="73" t="n">
        <f aca="false">H1698*(1+Rend_MAPIF/4)*IF(I1679=1,(1-(Cap_MAPIF*$AB$15+(1-Cap_MAPIF)*$AB$16))*(1+1*$AB$14),1)+I1708-I1702-I1723*IF((H1698+H1699+H1700+H1701)&gt;0,H1698/(H1698+H1699+H1700+H1701),0)</f>
        <v>15384583.3913284</v>
      </c>
      <c r="J1698" s="73" t="n">
        <f aca="false">I1698*(1+Rend_MAPIF/4)*IF(J1679=1,(1-(Cap_MAPIF*$AB$15+(1-Cap_MAPIF)*$AB$16))*(1+1*$AB$14),1)+J1708-J1702-J1723*IF((I1698+I1699+I1700+I1701)&gt;0,I1698/(I1698+I1699+I1700+I1701),0)</f>
        <v>15878429.2980264</v>
      </c>
      <c r="K1698" s="73" t="n">
        <f aca="false">J1698*(1+Rend_MAPIF/4)*IF(K1679=1,(1-(Cap_MAPIF*$AB$15+(1-Cap_MAPIF)*$AB$16))*(1+1*$AB$14),1)+K1708-K1702-K1723*IF((J1698+J1699+J1700+J1701)&gt;0,J1698/(J1698+J1699+J1700+J1701),0)</f>
        <v>16376090.1643536</v>
      </c>
      <c r="L1698" s="73" t="n">
        <f aca="false">K1698*(1+Rend_MAPIF/4)*IF(L1679=1,(1-(Cap_MAPIF*$AB$15+(1-Cap_MAPIF)*$AB$16))*(1+1*$AB$14),1)+L1708-L1702-L1723*IF((K1698+K1699+K1700+K1701)&gt;0,K1698/(K1698+K1699+K1700+K1701),0)</f>
        <v>16877595.4608733</v>
      </c>
      <c r="M1698" s="73" t="n">
        <f aca="false">L1698*(1+Rend_MAPIF/4)*IF(M1679=1,(1-(Cap_MAPIF*$AB$15+(1-Cap_MAPIF)*$AB$16))*(1+1*$AB$14),1)+M1708-M1702-M1723*IF((L1698+L1699+L1700+L1701)&gt;0,L1698/(L1698+L1699+L1700+L1701),0)</f>
        <v>17382974.8858085</v>
      </c>
      <c r="N1698" s="73" t="n">
        <f aca="false">M1698*(1+Rend_MAPIF/4)*IF(N1679=1,(1-(Cap_MAPIF*$AB$15+(1-Cap_MAPIF)*$AB$16))*(1+1*$AB$14),1)+N1708-N1702-N1723*IF((M1698+M1699+M1700+M1701)&gt;0,M1698/(M1698+M1699+M1700+M1701),0)</f>
        <v>17892258.3668014</v>
      </c>
      <c r="O1698" s="73" t="n">
        <f aca="false">N1698*(1+Rend_MAPIF/4)*IF(O1679=1,(1-(Cap_MAPIF*$AB$15+(1-Cap_MAPIF)*$AB$16))*(1+1*$AB$14),1)+O1708-O1702-O1723*IF((N1698+N1699+N1700+N1701)&gt;0,N1698/(N1698+N1699+N1700+N1701),0)</f>
        <v>18405476.0626849</v>
      </c>
    </row>
    <row r="1699" customFormat="false" ht="15" hidden="false" customHeight="false" outlineLevel="0" collapsed="false">
      <c r="B1699" s="65" t="s">
        <v>1036</v>
      </c>
      <c r="C1699" s="73" t="n">
        <f aca="false">AN_cible*Ws_MSIG</f>
        <v>5500000</v>
      </c>
      <c r="D1699" s="73" t="n">
        <f aca="false">C1699*(1+Rend_MSIG/4)*IF(D1679=1,(1-(Cap_MSIG*$AB$15+(1-Cap_MSIG)*$AB$16))*(1+MSIG_USD*$AB$14),1)+D1709-D1703-D1723*IF((C1698+C1699+C1700+C1701)&gt;0,C1699/(C1698+C1699+C1700+C1701),0)</f>
        <v>5773237.5</v>
      </c>
      <c r="E1699" s="73" t="n">
        <f aca="false">D1699*(1+Rend_MSIG/4)*IF(E1679=1,(1-(Cap_MSIG*$AB$15+(1-Cap_MSIG)*$AB$16))*(1+MSIG_USD*$AB$14),1)+E1709-E1703-E1723*IF((D1698+D1699+D1700+D1701)&gt;0,D1699/(D1698+D1699+D1700+D1701),0)</f>
        <v>6047629.4284375</v>
      </c>
      <c r="F1699" s="73" t="n">
        <f aca="false">E1699*(1+Rend_MSIG/4)*IF(F1679=1,(1-(Cap_MSIG*$AB$15+(1-Cap_MSIG)*$AB$16))*(1+MSIG_USD*$AB$14),1)+F1709-F1703-F1723*IF((E1698+E1699+E1700+E1701)&gt;0,E1699/(E1698+E1699+E1700+E1701),0)</f>
        <v>6323180.66277265</v>
      </c>
      <c r="G1699" s="73" t="n">
        <f aca="false">F1699*(1+Rend_MSIG/4)*IF(G1679=1,(1-(Cap_MSIG*$AB$15+(1-Cap_MSIG)*$AB$16))*(1+MSIG_USD*$AB$14),1)+G1709-G1703-G1723*IF((F1698+F1699+F1700+F1701)&gt;0,F1699/(F1698+F1699+F1700+F1701),0)</f>
        <v>6599896.10107286</v>
      </c>
      <c r="H1699" s="73" t="n">
        <f aca="false">G1699*(1+Rend_MSIG/4)*IF(H1679=1,(1-(Cap_MSIG*$AB$15+(1-Cap_MSIG)*$AB$16))*(1+MSIG_USD*$AB$14),1)+H1709-H1703-H1723*IF((G1698+G1699+G1700+G1701)&gt;0,G1699/(G1698+G1699+G1700+G1701),0)</f>
        <v>6877780.6620999</v>
      </c>
      <c r="I1699" s="73" t="n">
        <f aca="false">H1699*(1+Rend_MSIG/4)*IF(I1679=1,(1-(Cap_MSIG*$AB$15+(1-Cap_MSIG)*$AB$16))*(1+MSIG_USD*$AB$14),1)+I1709-I1703-I1723*IF((H1698+H1699+H1700+H1701)&gt;0,H1699/(H1698+H1699+H1700+H1701),0)</f>
        <v>7156839.28539727</v>
      </c>
      <c r="J1699" s="73" t="n">
        <f aca="false">I1699*(1+Rend_MSIG/4)*IF(J1679=1,(1-(Cap_MSIG*$AB$15+(1-Cap_MSIG)*$AB$16))*(1+MSIG_USD*$AB$14),1)+J1709-J1703-J1723*IF((I1698+I1699+I1700+I1701)&gt;0,I1699/(I1698+I1699+I1700+I1701),0)</f>
        <v>7437076.93137807</v>
      </c>
      <c r="K1699" s="73" t="n">
        <f aca="false">J1699*(1+Rend_MSIG/4)*IF(K1679=1,(1-(Cap_MSIG*$AB$15+(1-Cap_MSIG)*$AB$16))*(1+MSIG_USD*$AB$14),1)+K1709-K1703-K1723*IF((J1698+J1699+J1700+J1701)&gt;0,J1699/(J1698+J1699+J1700+J1701),0)</f>
        <v>7718498.58141314</v>
      </c>
      <c r="L1699" s="73" t="n">
        <f aca="false">K1699*(1+Rend_MSIG/4)*IF(L1679=1,(1-(Cap_MSIG*$AB$15+(1-Cap_MSIG)*$AB$16))*(1+MSIG_USD*$AB$14),1)+L1709-L1703-L1723*IF((K1698+K1699+K1700+K1701)&gt;0,K1699/(K1698+K1699+K1700+K1701),0)</f>
        <v>8001109.23791962</v>
      </c>
      <c r="M1699" s="73" t="n">
        <f aca="false">L1699*(1+Rend_MSIG/4)*IF(M1679=1,(1-(Cap_MSIG*$AB$15+(1-Cap_MSIG)*$AB$16))*(1+MSIG_USD*$AB$14),1)+M1709-M1703-M1723*IF((L1698+L1699+L1700+L1701)&gt;0,L1699/(L1698+L1699+L1700+L1701),0)</f>
        <v>8284913.92444983</v>
      </c>
      <c r="N1699" s="73" t="n">
        <f aca="false">M1699*(1+Rend_MSIG/4)*IF(N1679=1,(1-(Cap_MSIG*$AB$15+(1-Cap_MSIG)*$AB$16))*(1+MSIG_USD*$AB$14),1)+N1709-N1703-N1723*IF((M1698+M1699+M1700+M1701)&gt;0,M1699/(M1698+M1699+M1700+M1701),0)</f>
        <v>8569917.68578063</v>
      </c>
      <c r="O1699" s="73" t="n">
        <f aca="false">N1699*(1+Rend_MSIG/4)*IF(O1679=1,(1-(Cap_MSIG*$AB$15+(1-Cap_MSIG)*$AB$16))*(1+MSIG_USD*$AB$14),1)+O1709-O1703-O1723*IF((N1698+N1699+N1700+N1701)&gt;0,N1699/(N1698+N1699+N1700+N1701),0)</f>
        <v>8856125.58800305</v>
      </c>
    </row>
    <row r="1700" customFormat="false" ht="15" hidden="false" customHeight="false" outlineLevel="0" collapsed="false">
      <c r="B1700" s="65" t="s">
        <v>1037</v>
      </c>
      <c r="C1700" s="73" t="n">
        <f aca="false">AN_cible*Ws_PG</f>
        <v>12250000</v>
      </c>
      <c r="D1700" s="73" t="n">
        <f aca="false">C1700*(1+Rend_PG/4)*IF(D1679=1,(1-(Cap_PG*$AB$15+(1-Cap_PG)*$AB$16))*(1+0*$AB$14),1)-D1704-D1720*IF((D1710+D1711)&gt;0,D1710/(D1710+D1711),0)+D1725/2-D1723*IF((C1698+C1699+C1700+C1701)&gt;0,C1700/(C1698+C1699+C1700+C1701),0)</f>
        <v>11888931.25</v>
      </c>
      <c r="E1700" s="73" t="n">
        <f aca="false">D1700*(1+Rend_PG/4)*IF(E1679=1,(1-(Cap_PG*$AB$15+(1-Cap_PG)*$AB$16))*(1+0*$AB$14),1)-E1704-E1720*IF((E1710+E1711)&gt;0,E1710/(E1710+E1711),0)+E1725/2-E1723*IF((D1698+D1699+D1700+D1701)&gt;0,D1700/(D1698+D1699+D1700+D1701),0)</f>
        <v>11538505.0014063</v>
      </c>
      <c r="F1700" s="73" t="n">
        <f aca="false">E1700*(1+Rend_PG/4)*IF(F1679=1,(1-(Cap_PG*$AB$15+(1-Cap_PG)*$AB$16))*(1+0*$AB$14),1)-F1704-F1720*IF((F1710+F1711)&gt;0,F1710/(F1710+F1711),0)+F1725/2-F1723*IF((E1698+E1699+E1700+E1701)&gt;0,E1700/(E1698+E1699+E1700+E1701),0)</f>
        <v>11198407.5664898</v>
      </c>
      <c r="G1700" s="73" t="n">
        <f aca="false">F1700*(1+Rend_PG/4)*IF(G1679=1,(1-(Cap_PG*$AB$15+(1-Cap_PG)*$AB$16))*(1+0*$AB$14),1)-G1704-G1720*IF((G1710+G1711)&gt;0,G1710/(G1710+G1711),0)+G1725/2-G1723*IF((F1698+F1699+F1700+F1701)&gt;0,F1700/(F1698+F1699+F1700+F1701),0)</f>
        <v>10868334.5034675</v>
      </c>
      <c r="H1700" s="73" t="n">
        <f aca="false">G1700*(1+Rend_PG/4)*IF(H1679=1,(1-(Cap_PG*$AB$15+(1-Cap_PG)*$AB$16))*(1+0*$AB$14),1)-H1704-H1720*IF((H1710+H1711)&gt;0,H1710/(H1710+H1711),0)+H1725/2-H1723*IF((G1698+G1699+G1700+G1701)&gt;0,G1700/(G1698+G1699+G1700+G1701),0)</f>
        <v>10547990.3439778</v>
      </c>
      <c r="I1700" s="73" t="n">
        <f aca="false">H1700*(1+Rend_PG/4)*IF(I1679=1,(1-(Cap_PG*$AB$15+(1-Cap_PG)*$AB$16))*(1+0*$AB$14),1)-I1704-I1720*IF((I1710+I1711)&gt;0,I1710/(I1710+I1711),0)+I1725/2-I1723*IF((H1698+H1699+H1700+H1701)&gt;0,H1700/(H1698+H1699+H1700+H1701),0)</f>
        <v>10237088.3285891</v>
      </c>
      <c r="J1700" s="73" t="n">
        <f aca="false">I1700*(1+Rend_PG/4)*IF(J1679=1,(1-(Cap_PG*$AB$15+(1-Cap_PG)*$AB$16))*(1+0*$AB$14),1)-J1704-J1720*IF((J1710+J1711)&gt;0,J1710/(J1710+J1711),0)+J1725/2-J1723*IF((I1698+I1699+I1700+I1701)&gt;0,I1700/(I1698+I1699+I1700+I1701),0)</f>
        <v>9935350.1501039</v>
      </c>
      <c r="K1700" s="73" t="n">
        <f aca="false">J1700*(1+Rend_PG/4)*IF(K1679=1,(1-(Cap_PG*$AB$15+(1-Cap_PG)*$AB$16))*(1+0*$AB$14),1)-K1704-K1720*IF((K1710+K1711)&gt;0,K1710/(K1710+K1711),0)+K1725/2-K1723*IF((J1698+J1699+J1700+J1701)&gt;0,J1700/(J1698+J1699+J1700+J1701),0)</f>
        <v>9642505.70442959</v>
      </c>
      <c r="L1700" s="73" t="n">
        <f aca="false">K1700*(1+Rend_PG/4)*IF(L1679=1,(1-(Cap_PG*$AB$15+(1-Cap_PG)*$AB$16))*(1+0*$AB$14),1)-L1704-L1720*IF((L1710+L1711)&gt;0,L1710/(L1710+L1711),0)+L1725/2-L1723*IF((K1698+K1699+K1700+K1701)&gt;0,K1700/(K1698+K1699+K1700+K1701),0)</f>
        <v>9358292.84879153</v>
      </c>
      <c r="M1700" s="73" t="n">
        <f aca="false">L1700*(1+Rend_PG/4)*IF(M1679=1,(1-(Cap_PG*$AB$15+(1-Cap_PG)*$AB$16))*(1+0*$AB$14),1)-M1704-M1720*IF((M1710+M1711)&gt;0,M1710/(M1710+M1711),0)+M1725/2-M1723*IF((L1698+L1699+L1700+L1701)&gt;0,L1700/(L1698+L1699+L1700+L1701),0)</f>
        <v>9082457.1670734</v>
      </c>
      <c r="N1700" s="73" t="n">
        <f aca="false">M1700*(1+Rend_PG/4)*IF(N1679=1,(1-(Cap_PG*$AB$15+(1-Cap_PG)*$AB$16))*(1+0*$AB$14),1)-N1704-N1720*IF((N1710+N1711)&gt;0,N1710/(N1710+N1711),0)+N1725/2-N1723*IF((M1698+M1699+M1700+M1701)&gt;0,M1700/(M1698+M1699+M1700+M1701),0)</f>
        <v>8814751.74207391</v>
      </c>
      <c r="O1700" s="73" t="n">
        <f aca="false">N1700*(1+Rend_PG/4)*IF(O1679=1,(1-(Cap_PG*$AB$15+(1-Cap_PG)*$AB$16))*(1+0*$AB$14),1)-O1704-O1720*IF((O1710+O1711)&gt;0,O1710/(O1710+O1711),0)+O1725/2-O1723*IF((N1698+N1699+N1700+N1701)&gt;0,N1700/(N1698+N1699+N1700+N1701),0)</f>
        <v>8554936.93447628</v>
      </c>
    </row>
    <row r="1701" customFormat="false" ht="15" hidden="false" customHeight="false" outlineLevel="0" collapsed="false">
      <c r="B1701" s="65" t="s">
        <v>1038</v>
      </c>
      <c r="C1701" s="73" t="n">
        <f aca="false">AN_cible*Ws_ARES</f>
        <v>12250000</v>
      </c>
      <c r="D1701" s="73" t="n">
        <f aca="false">C1701*(1+Rend_ARES/4)*IF(D1679=1,(1-(Cap_ARES*$AB$15+(1-Cap_ARES)*$AB$16))*(1+0*$AB$14),1)-D1705-D1720*IF((D1710+D1711)&gt;0,D1711/(D1710+D1711),0)/(1-IF(D1679&lt;=Deduc_trim,Deduc_ares,0))+D1725/2-D1723*IF((C1698+C1699+C1700+C1701)&gt;0,C1701/(C1698+C1699+C1700+C1701),0)</f>
        <v>11727537.5</v>
      </c>
      <c r="E1701" s="73" t="n">
        <f aca="false">D1701*(1+Rend_ARES/4)*IF(E1679=1,(1-(Cap_ARES*$AB$15+(1-Cap_ARES)*$AB$16))*(1+0*$AB$14),1)-E1705-E1720*IF((E1710+E1711)&gt;0,E1711/(E1710+E1711),0)/(1-IF(E1679&lt;=Deduc_trim,Deduc_ares,0))+E1725/2-E1723*IF((D1698+D1699+D1700+D1701)&gt;0,D1701/(D1698+D1699+D1700+D1701),0)</f>
        <v>11227358.025625</v>
      </c>
      <c r="F1701" s="73" t="n">
        <f aca="false">E1701*(1+Rend_ARES/4)*IF(F1679=1,(1-(Cap_ARES*$AB$15+(1-Cap_ARES)*$AB$16))*(1+0*$AB$14),1)-F1705-F1720*IF((F1710+F1711)&gt;0,F1711/(F1710+F1711),0)/(1-IF(F1679&lt;=Deduc_trim,Deduc_ares,0))+F1725/2-F1723*IF((E1698+E1699+E1700+E1701)&gt;0,E1701/(E1698+E1699+E1700+E1701),0)</f>
        <v>10748511.2058321</v>
      </c>
      <c r="G1701" s="73" t="n">
        <f aca="false">F1701*(1+Rend_ARES/4)*IF(G1679=1,(1-(Cap_ARES*$AB$15+(1-Cap_ARES)*$AB$16))*(1+0*$AB$14),1)-G1705-G1720*IF((G1710+G1711)&gt;0,G1711/(G1710+G1711),0)/(1-IF(G1679&lt;=Deduc_trim,Deduc_ares,0))+G1725/2-G1723*IF((F1698+F1699+F1700+F1701)&gt;0,F1701/(F1698+F1699+F1700+F1701),0)</f>
        <v>10290087.2029034</v>
      </c>
      <c r="H1701" s="73" t="n">
        <f aca="false">G1701*(1+Rend_ARES/4)*IF(H1679=1,(1-(Cap_ARES*$AB$15+(1-Cap_ARES)*$AB$16))*(1+0*$AB$14),1)-H1705-H1720*IF((H1710+H1711)&gt;0,H1711/(H1710+H1711),0)/(1-IF(H1679&lt;=Deduc_trim,Deduc_ares,0))+H1725/2-H1723*IF((G1698+G1699+G1700+G1701)&gt;0,G1701/(G1698+G1699+G1700+G1701),0)</f>
        <v>9851214.98369952</v>
      </c>
      <c r="I1701" s="73" t="n">
        <f aca="false">H1701*(1+Rend_ARES/4)*IF(I1679=1,(1-(Cap_ARES*$AB$15+(1-Cap_ARES)*$AB$16))*(1+0*$AB$14),1)-I1705-I1720*IF((I1710+I1711)&gt;0,I1711/(I1710+I1711),0)/(1-IF(I1679&lt;=Deduc_trim,Deduc_ares,0))+I1725/2-I1723*IF((H1698+H1699+H1700+H1701)&gt;0,H1701/(H1698+H1699+H1700+H1701),0)</f>
        <v>9431060.66464474</v>
      </c>
      <c r="J1701" s="73" t="n">
        <f aca="false">I1701*(1+Rend_ARES/4)*IF(J1679=1,(1-(Cap_ARES*$AB$15+(1-Cap_ARES)*$AB$16))*(1+0*$AB$14),1)-J1705-J1720*IF((J1710+J1711)&gt;0,J1711/(J1710+J1711),0)/(1-IF(J1679&lt;=Deduc_trim,Deduc_ares,0))+J1725/2-J1723*IF((I1698+I1699+I1700+I1701)&gt;0,I1701/(I1698+I1699+I1700+I1701),0)</f>
        <v>9028825.92729764</v>
      </c>
      <c r="K1701" s="73" t="n">
        <f aca="false">J1701*(1+Rend_ARES/4)*IF(K1679=1,(1-(Cap_ARES*$AB$15+(1-Cap_ARES)*$AB$16))*(1+0*$AB$14),1)-K1705-K1720*IF((K1710+K1711)&gt;0,K1711/(K1710+K1711),0)/(1-IF(K1679&lt;=Deduc_trim,Deduc_ares,0))+K1725/2-K1723*IF((J1698+J1699+J1700+J1701)&gt;0,J1701/(J1698+J1699+J1700+J1701),0)</f>
        <v>8643746.5014984</v>
      </c>
      <c r="L1701" s="73" t="n">
        <f aca="false">K1701*(1+Rend_ARES/4)*IF(L1679=1,(1-(Cap_ARES*$AB$15+(1-Cap_ARES)*$AB$16))*(1+0*$AB$14),1)-L1705-L1720*IF((L1710+L1711)&gt;0,L1711/(L1710+L1711),0)/(1-IF(L1679&lt;=Deduc_trim,Deduc_ares,0))+L1725/2-L1723*IF((K1698+K1699+K1700+K1701)&gt;0,K1701/(K1698+K1699+K1700+K1701),0)</f>
        <v>8275090.71320949</v>
      </c>
      <c r="M1701" s="73" t="n">
        <f aca="false">L1701*(1+Rend_ARES/4)*IF(M1679=1,(1-(Cap_ARES*$AB$15+(1-Cap_ARES)*$AB$16))*(1+0*$AB$14),1)-M1705-M1720*IF((M1710+M1711)&gt;0,M1711/(M1710+M1711),0)/(1-IF(M1679&lt;=Deduc_trim,Deduc_ares,0))+M1725/2-M1723*IF((L1698+L1699+L1700+L1701)&gt;0,L1701/(L1698+L1699+L1700+L1701),0)</f>
        <v>7922158.0942911</v>
      </c>
      <c r="N1701" s="73" t="n">
        <f aca="false">M1701*(1+Rend_ARES/4)*IF(N1679=1,(1-(Cap_ARES*$AB$15+(1-Cap_ARES)*$AB$16))*(1+0*$AB$14),1)-N1705-N1720*IF((N1710+N1711)&gt;0,N1711/(N1710+N1711),0)/(1-IF(N1679&lt;=Deduc_trim,Deduc_ares,0))+N1725/2-N1723*IF((M1698+M1699+M1700+M1701)&gt;0,M1701/(M1698+M1699+M1700+M1701),0)</f>
        <v>7584278.05156959</v>
      </c>
      <c r="O1701" s="73" t="n">
        <f aca="false">N1701*(1+Rend_ARES/4)*IF(O1679=1,(1-(Cap_ARES*$AB$15+(1-Cap_ARES)*$AB$16))*(1+0*$AB$14),1)-O1705-O1720*IF((O1710+O1711)&gt;0,O1711/(O1710+O1711),0)/(1-IF(O1679&lt;=Deduc_trim,Deduc_ares,0))+O1725/2-O1723*IF((N1698+N1699+N1700+N1701)&gt;0,N1701/(N1698+N1699+N1700+N1701),0)</f>
        <v>7260808.59267014</v>
      </c>
    </row>
    <row r="1702" customFormat="false" ht="15" hidden="false" customHeight="false" outlineLevel="0" collapsed="false">
      <c r="B1702" s="65" t="s">
        <v>1039</v>
      </c>
      <c r="C1702" s="25"/>
      <c r="D1702" s="73" t="n">
        <f aca="false">C1698*Dist_MAPIF/4*IF(D1679&lt;=$AB$11,0,$AB$10)</f>
        <v>187500</v>
      </c>
      <c r="E1702" s="73" t="n">
        <f aca="false">D1698*Dist_MAPIF/4*IF(E1679&lt;=$AB$11,0,$AB$10)</f>
        <v>194573.4375</v>
      </c>
      <c r="F1702" s="73" t="n">
        <f aca="false">E1698*Dist_MAPIF/4*IF(F1679&lt;=$AB$11,0,$AB$10)</f>
        <v>201701.517304688</v>
      </c>
      <c r="G1702" s="73" t="n">
        <f aca="false">F1698*Dist_MAPIF/4*IF(G1679&lt;=$AB$11,0,$AB$10)</f>
        <v>208884.661525866</v>
      </c>
      <c r="H1702" s="73" t="n">
        <f aca="false">G1698*Dist_MAPIF/4*IF(H1679&lt;=$AB$11,0,$AB$10)</f>
        <v>216123.295536154</v>
      </c>
      <c r="I1702" s="73" t="n">
        <f aca="false">H1698*Dist_MAPIF/4*IF(I1679&lt;=$AB$11,0,$AB$10)</f>
        <v>223417.84799417</v>
      </c>
      <c r="J1702" s="73" t="n">
        <f aca="false">I1698*Dist_MAPIF/4*IF(J1679&lt;=$AB$11,0,$AB$10)</f>
        <v>230768.750869925</v>
      </c>
      <c r="K1702" s="73" t="n">
        <f aca="false">J1698*Dist_MAPIF/4*IF(K1679&lt;=$AB$11,0,$AB$10)</f>
        <v>238176.439470396</v>
      </c>
      <c r="L1702" s="73" t="n">
        <f aca="false">K1698*Dist_MAPIF/4*IF(L1679&lt;=$AB$11,0,$AB$10)</f>
        <v>245641.352465304</v>
      </c>
      <c r="M1702" s="73" t="n">
        <f aca="false">L1698*Dist_MAPIF/4*IF(M1679&lt;=$AB$11,0,$AB$10)</f>
        <v>253163.931913099</v>
      </c>
      <c r="N1702" s="73" t="n">
        <f aca="false">M1698*Dist_MAPIF/4*IF(N1679&lt;=$AB$11,0,$AB$10)</f>
        <v>260744.623287128</v>
      </c>
      <c r="O1702" s="73" t="n">
        <f aca="false">N1698*Dist_MAPIF/4*IF(O1679&lt;=$AB$11,0,$AB$10)</f>
        <v>268383.875502021</v>
      </c>
    </row>
    <row r="1703" customFormat="false" ht="15" hidden="false" customHeight="false" outlineLevel="0" collapsed="false">
      <c r="B1703" s="65" t="s">
        <v>1040</v>
      </c>
      <c r="C1703" s="25"/>
      <c r="D1703" s="73" t="n">
        <f aca="false">C1699*Dist_MSIG/4*IF(D1679&lt;=$AB$11,0,$AB$10)</f>
        <v>96250</v>
      </c>
      <c r="E1703" s="73" t="n">
        <f aca="false">D1699*Dist_MSIG/4*IF(E1679&lt;=$AB$11,0,$AB$10)</f>
        <v>101031.65625</v>
      </c>
      <c r="F1703" s="73" t="n">
        <f aca="false">E1699*Dist_MSIG/4*IF(F1679&lt;=$AB$11,0,$AB$10)</f>
        <v>105833.514997656</v>
      </c>
      <c r="G1703" s="73" t="n">
        <f aca="false">F1699*Dist_MSIG/4*IF(G1679&lt;=$AB$11,0,$AB$10)</f>
        <v>110655.661598521</v>
      </c>
      <c r="H1703" s="73" t="n">
        <f aca="false">G1699*Dist_MSIG/4*IF(H1679&lt;=$AB$11,0,$AB$10)</f>
        <v>115498.181768775</v>
      </c>
      <c r="I1703" s="73" t="n">
        <f aca="false">H1699*Dist_MSIG/4*IF(I1679&lt;=$AB$11,0,$AB$10)</f>
        <v>120361.161586748</v>
      </c>
      <c r="J1703" s="73" t="n">
        <f aca="false">I1699*Dist_MSIG/4*IF(J1679&lt;=$AB$11,0,$AB$10)</f>
        <v>125244.687494452</v>
      </c>
      <c r="K1703" s="73" t="n">
        <f aca="false">J1699*Dist_MSIG/4*IF(K1679&lt;=$AB$11,0,$AB$10)</f>
        <v>130148.846299116</v>
      </c>
      <c r="L1703" s="73" t="n">
        <f aca="false">K1699*Dist_MSIG/4*IF(L1679&lt;=$AB$11,0,$AB$10)</f>
        <v>135073.72517473</v>
      </c>
      <c r="M1703" s="73" t="n">
        <f aca="false">L1699*Dist_MSIG/4*IF(M1679&lt;=$AB$11,0,$AB$10)</f>
        <v>140019.411663593</v>
      </c>
      <c r="N1703" s="73" t="n">
        <f aca="false">M1699*Dist_MSIG/4*IF(N1679&lt;=$AB$11,0,$AB$10)</f>
        <v>144985.993677872</v>
      </c>
      <c r="O1703" s="73" t="n">
        <f aca="false">N1699*Dist_MSIG/4*IF(O1679&lt;=$AB$11,0,$AB$10)</f>
        <v>149973.559501161</v>
      </c>
    </row>
    <row r="1704" customFormat="false" ht="15" hidden="false" customHeight="false" outlineLevel="0" collapsed="false">
      <c r="B1704" s="65" t="s">
        <v>1041</v>
      </c>
      <c r="C1704" s="25"/>
      <c r="D1704" s="73" t="n">
        <f aca="false">C1700*Dist_PG/4*IF(D1679&lt;=$AB$11,0,$AB$10)</f>
        <v>61250</v>
      </c>
      <c r="E1704" s="73" t="n">
        <f aca="false">D1700*Dist_PG/4*IF(E1679&lt;=$AB$11,0,$AB$10)</f>
        <v>59444.65625</v>
      </c>
      <c r="F1704" s="73" t="n">
        <f aca="false">E1700*Dist_PG/4*IF(F1679&lt;=$AB$11,0,$AB$10)</f>
        <v>57692.5250070313</v>
      </c>
      <c r="G1704" s="73" t="n">
        <f aca="false">F1700*Dist_PG/4*IF(G1679&lt;=$AB$11,0,$AB$10)</f>
        <v>55992.037832449</v>
      </c>
      <c r="H1704" s="73" t="n">
        <f aca="false">G1700*Dist_PG/4*IF(H1679&lt;=$AB$11,0,$AB$10)</f>
        <v>54341.6725173376</v>
      </c>
      <c r="I1704" s="73" t="n">
        <f aca="false">H1700*Dist_PG/4*IF(I1679&lt;=$AB$11,0,$AB$10)</f>
        <v>52739.9517198891</v>
      </c>
      <c r="J1704" s="73" t="n">
        <f aca="false">I1700*Dist_PG/4*IF(J1679&lt;=$AB$11,0,$AB$10)</f>
        <v>51185.4416429453</v>
      </c>
      <c r="K1704" s="73" t="n">
        <f aca="false">J1700*Dist_PG/4*IF(K1679&lt;=$AB$11,0,$AB$10)</f>
        <v>49676.7507505195</v>
      </c>
      <c r="L1704" s="73" t="n">
        <f aca="false">K1700*Dist_PG/4*IF(L1679&lt;=$AB$11,0,$AB$10)</f>
        <v>48212.528522148</v>
      </c>
      <c r="M1704" s="73" t="n">
        <f aca="false">L1700*Dist_PG/4*IF(M1679&lt;=$AB$11,0,$AB$10)</f>
        <v>46791.4642439576</v>
      </c>
      <c r="N1704" s="73" t="n">
        <f aca="false">M1700*Dist_PG/4*IF(N1679&lt;=$AB$11,0,$AB$10)</f>
        <v>45412.285835367</v>
      </c>
      <c r="O1704" s="73" t="n">
        <f aca="false">N1700*Dist_PG/4*IF(O1679&lt;=$AB$11,0,$AB$10)</f>
        <v>44073.7587103696</v>
      </c>
    </row>
    <row r="1705" customFormat="false" ht="15" hidden="false" customHeight="false" outlineLevel="0" collapsed="false">
      <c r="B1705" s="65" t="s">
        <v>1042</v>
      </c>
      <c r="C1705" s="25"/>
      <c r="D1705" s="73" t="n">
        <f aca="false">C1701*Dist_ARES/4*IF(D1679&lt;=$AB$11,0,$AB$10)</f>
        <v>153125</v>
      </c>
      <c r="E1705" s="73" t="n">
        <f aca="false">D1701*Dist_ARES/4*IF(E1679&lt;=$AB$11,0,$AB$10)</f>
        <v>146594.21875</v>
      </c>
      <c r="F1705" s="73" t="n">
        <f aca="false">E1701*Dist_ARES/4*IF(F1679&lt;=$AB$11,0,$AB$10)</f>
        <v>140341.975320313</v>
      </c>
      <c r="G1705" s="73" t="n">
        <f aca="false">F1701*Dist_ARES/4*IF(G1679&lt;=$AB$11,0,$AB$10)</f>
        <v>134356.390072901</v>
      </c>
      <c r="H1705" s="73" t="n">
        <f aca="false">G1701*Dist_ARES/4*IF(H1679&lt;=$AB$11,0,$AB$10)</f>
        <v>128626.090036292</v>
      </c>
      <c r="I1705" s="73" t="n">
        <f aca="false">H1701*Dist_ARES/4*IF(I1679&lt;=$AB$11,0,$AB$10)</f>
        <v>123140.187296244</v>
      </c>
      <c r="J1705" s="73" t="n">
        <f aca="false">I1701*Dist_ARES/4*IF(J1679&lt;=$AB$11,0,$AB$10)</f>
        <v>117888.258308059</v>
      </c>
      <c r="K1705" s="73" t="n">
        <f aca="false">J1701*Dist_ARES/4*IF(K1679&lt;=$AB$11,0,$AB$10)</f>
        <v>112860.324091221</v>
      </c>
      <c r="L1705" s="73" t="n">
        <f aca="false">K1701*Dist_ARES/4*IF(L1679&lt;=$AB$11,0,$AB$10)</f>
        <v>108046.83126873</v>
      </c>
      <c r="M1705" s="73" t="n">
        <f aca="false">L1701*Dist_ARES/4*IF(M1679&lt;=$AB$11,0,$AB$10)</f>
        <v>103438.633915119</v>
      </c>
      <c r="N1705" s="73" t="n">
        <f aca="false">M1701*Dist_ARES/4*IF(N1679&lt;=$AB$11,0,$AB$10)</f>
        <v>99026.9761786388</v>
      </c>
      <c r="O1705" s="73" t="n">
        <f aca="false">N1701*Dist_ARES/4*IF(O1679&lt;=$AB$11,0,$AB$10)</f>
        <v>94803.4756446198</v>
      </c>
    </row>
    <row r="1706" customFormat="false" ht="15" hidden="false" customHeight="false" outlineLevel="0" collapsed="false">
      <c r="B1706" s="65" t="s">
        <v>1043</v>
      </c>
      <c r="C1706" s="73" t="n">
        <f aca="false">AN_cible*$AB$12*Part_MAPIF_NA</f>
        <v>4500000</v>
      </c>
      <c r="D1706" s="73" t="n">
        <f aca="false">C1706*IF(D1679=1,1+$AB$14,1)-D1708</f>
        <v>4125000</v>
      </c>
      <c r="E1706" s="73" t="n">
        <f aca="false">D1706*IF(E1679=1,1+$AB$14,1)-E1708</f>
        <v>3750000</v>
      </c>
      <c r="F1706" s="73" t="n">
        <f aca="false">E1706*IF(F1679=1,1+$AB$14,1)-F1708</f>
        <v>3375000</v>
      </c>
      <c r="G1706" s="73" t="n">
        <f aca="false">F1706*IF(G1679=1,1+$AB$14,1)-G1708</f>
        <v>3000000</v>
      </c>
      <c r="H1706" s="73" t="n">
        <f aca="false">G1706*IF(H1679=1,1+$AB$14,1)-H1708</f>
        <v>2625000</v>
      </c>
      <c r="I1706" s="73" t="n">
        <f aca="false">H1706*IF(I1679=1,1+$AB$14,1)-I1708</f>
        <v>2250000</v>
      </c>
      <c r="J1706" s="73" t="n">
        <f aca="false">I1706*IF(J1679=1,1+$AB$14,1)-J1708</f>
        <v>1875000</v>
      </c>
      <c r="K1706" s="73" t="n">
        <f aca="false">J1706*IF(K1679=1,1+$AB$14,1)-K1708</f>
        <v>1500000</v>
      </c>
      <c r="L1706" s="73" t="n">
        <f aca="false">K1706*IF(L1679=1,1+$AB$14,1)-L1708</f>
        <v>1125000</v>
      </c>
      <c r="M1706" s="73" t="n">
        <f aca="false">L1706*IF(M1679=1,1+$AB$14,1)-M1708</f>
        <v>750000</v>
      </c>
      <c r="N1706" s="73" t="n">
        <f aca="false">M1706*IF(N1679=1,1+$AB$14,1)-N1708</f>
        <v>375000</v>
      </c>
      <c r="O1706" s="73" t="n">
        <f aca="false">N1706*IF(O1679=1,1+$AB$14,1)-O1708</f>
        <v>0</v>
      </c>
    </row>
    <row r="1707" customFormat="false" ht="15" hidden="false" customHeight="false" outlineLevel="0" collapsed="false">
      <c r="B1707" s="65" t="s">
        <v>1044</v>
      </c>
      <c r="C1707" s="73" t="n">
        <f aca="false">AN_cible*$AB$12*(1-Part_MAPIF_NA)</f>
        <v>3000000</v>
      </c>
      <c r="D1707" s="73" t="n">
        <f aca="false">C1707*IF(D1679=1,1+MSIG_USD*$AB$14,1)-D1709</f>
        <v>2750000</v>
      </c>
      <c r="E1707" s="73" t="n">
        <f aca="false">D1707*IF(E1679=1,1+MSIG_USD*$AB$14,1)-E1709</f>
        <v>2500000</v>
      </c>
      <c r="F1707" s="73" t="n">
        <f aca="false">E1707*IF(F1679=1,1+MSIG_USD*$AB$14,1)-F1709</f>
        <v>2250000</v>
      </c>
      <c r="G1707" s="73" t="n">
        <f aca="false">F1707*IF(G1679=1,1+MSIG_USD*$AB$14,1)-G1709</f>
        <v>2000000</v>
      </c>
      <c r="H1707" s="73" t="n">
        <f aca="false">G1707*IF(H1679=1,1+MSIG_USD*$AB$14,1)-H1709</f>
        <v>1750000</v>
      </c>
      <c r="I1707" s="73" t="n">
        <f aca="false">H1707*IF(I1679=1,1+MSIG_USD*$AB$14,1)-I1709</f>
        <v>1500000</v>
      </c>
      <c r="J1707" s="73" t="n">
        <f aca="false">I1707*IF(J1679=1,1+MSIG_USD*$AB$14,1)-J1709</f>
        <v>1250000</v>
      </c>
      <c r="K1707" s="73" t="n">
        <f aca="false">J1707*IF(K1679=1,1+MSIG_USD*$AB$14,1)-K1709</f>
        <v>1000000</v>
      </c>
      <c r="L1707" s="73" t="n">
        <f aca="false">K1707*IF(L1679=1,1+MSIG_USD*$AB$14,1)-L1709</f>
        <v>750000</v>
      </c>
      <c r="M1707" s="73" t="n">
        <f aca="false">L1707*IF(M1679=1,1+MSIG_USD*$AB$14,1)-M1709</f>
        <v>500000</v>
      </c>
      <c r="N1707" s="73" t="n">
        <f aca="false">M1707*IF(N1679=1,1+MSIG_USD*$AB$14,1)-N1709</f>
        <v>250000</v>
      </c>
      <c r="O1707" s="73" t="n">
        <f aca="false">N1707*IF(O1679=1,1+MSIG_USD*$AB$14,1)-O1709</f>
        <v>0</v>
      </c>
    </row>
    <row r="1708" customFormat="false" ht="15" hidden="false" customHeight="false" outlineLevel="0" collapsed="false">
      <c r="B1708" s="65" t="s">
        <v>1045</v>
      </c>
      <c r="C1708" s="25"/>
      <c r="D1708" s="73" t="n">
        <f aca="false">MIN(C1706*IF(D1679=1,1+$AB$14,1),$C1706*(1+$AB$14)*IF(D1679&lt;=4,$AB$13/4,Appels_base))</f>
        <v>375000</v>
      </c>
      <c r="E1708" s="73" t="n">
        <f aca="false">MIN(D1706*IF(E1679=1,1+$AB$14,1),$C1706*(1+$AB$14)*IF(E1679&lt;=4,$AB$13/4,Appels_base))</f>
        <v>375000</v>
      </c>
      <c r="F1708" s="73" t="n">
        <f aca="false">MIN(E1706*IF(F1679=1,1+$AB$14,1),$C1706*(1+$AB$14)*IF(F1679&lt;=4,$AB$13/4,Appels_base))</f>
        <v>375000</v>
      </c>
      <c r="G1708" s="73" t="n">
        <f aca="false">MIN(F1706*IF(G1679=1,1+$AB$14,1),$C1706*(1+$AB$14)*IF(G1679&lt;=4,$AB$13/4,Appels_base))</f>
        <v>375000</v>
      </c>
      <c r="H1708" s="73" t="n">
        <f aca="false">MIN(G1706*IF(H1679=1,1+$AB$14,1),$C1706*(1+$AB$14)*IF(H1679&lt;=4,$AB$13/4,Appels_base))</f>
        <v>375000</v>
      </c>
      <c r="I1708" s="73" t="n">
        <f aca="false">MIN(H1706*IF(I1679=1,1+$AB$14,1),$C1706*(1+$AB$14)*IF(I1679&lt;=4,$AB$13/4,Appels_base))</f>
        <v>375000</v>
      </c>
      <c r="J1708" s="73" t="n">
        <f aca="false">MIN(I1706*IF(J1679=1,1+$AB$14,1),$C1706*(1+$AB$14)*IF(J1679&lt;=4,$AB$13/4,Appels_base))</f>
        <v>375000</v>
      </c>
      <c r="K1708" s="73" t="n">
        <f aca="false">MIN(J1706*IF(K1679=1,1+$AB$14,1),$C1706*(1+$AB$14)*IF(K1679&lt;=4,$AB$13/4,Appels_base))</f>
        <v>375000</v>
      </c>
      <c r="L1708" s="73" t="n">
        <f aca="false">MIN(K1706*IF(L1679=1,1+$AB$14,1),$C1706*(1+$AB$14)*IF(L1679&lt;=4,$AB$13/4,Appels_base))</f>
        <v>375000</v>
      </c>
      <c r="M1708" s="73" t="n">
        <f aca="false">MIN(L1706*IF(M1679=1,1+$AB$14,1),$C1706*(1+$AB$14)*IF(M1679&lt;=4,$AB$13/4,Appels_base))</f>
        <v>375000</v>
      </c>
      <c r="N1708" s="73" t="n">
        <f aca="false">MIN(M1706*IF(N1679=1,1+$AB$14,1),$C1706*(1+$AB$14)*IF(N1679&lt;=4,$AB$13/4,Appels_base))</f>
        <v>375000</v>
      </c>
      <c r="O1708" s="73" t="n">
        <f aca="false">MIN(N1706*IF(O1679=1,1+$AB$14,1),$C1706*(1+$AB$14)*IF(O1679&lt;=4,$AB$13/4,Appels_base))</f>
        <v>375000</v>
      </c>
    </row>
    <row r="1709" customFormat="false" ht="15" hidden="false" customHeight="false" outlineLevel="0" collapsed="false">
      <c r="B1709" s="65" t="s">
        <v>1046</v>
      </c>
      <c r="C1709" s="25"/>
      <c r="D1709" s="73" t="n">
        <f aca="false">MIN(C1707*IF(D1679=1,1+MSIG_USD*$AB$14,1),$C1707*(1+MSIG_USD*$AB$14)*IF(D1679&lt;=4,$AB$13/4,Appels_base))</f>
        <v>250000</v>
      </c>
      <c r="E1709" s="73" t="n">
        <f aca="false">MIN(D1707*IF(E1679=1,1+MSIG_USD*$AB$14,1),$C1707*(1+MSIG_USD*$AB$14)*IF(E1679&lt;=4,$AB$13/4,Appels_base))</f>
        <v>250000</v>
      </c>
      <c r="F1709" s="73" t="n">
        <f aca="false">MIN(E1707*IF(F1679=1,1+MSIG_USD*$AB$14,1),$C1707*(1+MSIG_USD*$AB$14)*IF(F1679&lt;=4,$AB$13/4,Appels_base))</f>
        <v>250000</v>
      </c>
      <c r="G1709" s="73" t="n">
        <f aca="false">MIN(F1707*IF(G1679=1,1+MSIG_USD*$AB$14,1),$C1707*(1+MSIG_USD*$AB$14)*IF(G1679&lt;=4,$AB$13/4,Appels_base))</f>
        <v>250000</v>
      </c>
      <c r="H1709" s="73" t="n">
        <f aca="false">MIN(G1707*IF(H1679=1,1+MSIG_USD*$AB$14,1),$C1707*(1+MSIG_USD*$AB$14)*IF(H1679&lt;=4,$AB$13/4,Appels_base))</f>
        <v>250000</v>
      </c>
      <c r="I1709" s="73" t="n">
        <f aca="false">MIN(H1707*IF(I1679=1,1+MSIG_USD*$AB$14,1),$C1707*(1+MSIG_USD*$AB$14)*IF(I1679&lt;=4,$AB$13/4,Appels_base))</f>
        <v>250000</v>
      </c>
      <c r="J1709" s="73" t="n">
        <f aca="false">MIN(I1707*IF(J1679=1,1+MSIG_USD*$AB$14,1),$C1707*(1+MSIG_USD*$AB$14)*IF(J1679&lt;=4,$AB$13/4,Appels_base))</f>
        <v>250000</v>
      </c>
      <c r="K1709" s="73" t="n">
        <f aca="false">MIN(J1707*IF(K1679=1,1+MSIG_USD*$AB$14,1),$C1707*(1+MSIG_USD*$AB$14)*IF(K1679&lt;=4,$AB$13/4,Appels_base))</f>
        <v>250000</v>
      </c>
      <c r="L1709" s="73" t="n">
        <f aca="false">MIN(K1707*IF(L1679=1,1+MSIG_USD*$AB$14,1),$C1707*(1+MSIG_USD*$AB$14)*IF(L1679&lt;=4,$AB$13/4,Appels_base))</f>
        <v>250000</v>
      </c>
      <c r="M1709" s="73" t="n">
        <f aca="false">MIN(L1707*IF(M1679=1,1+MSIG_USD*$AB$14,1),$C1707*(1+MSIG_USD*$AB$14)*IF(M1679&lt;=4,$AB$13/4,Appels_base))</f>
        <v>250000</v>
      </c>
      <c r="N1709" s="73" t="n">
        <f aca="false">MIN(M1707*IF(N1679=1,1+MSIG_USD*$AB$14,1),$C1707*(1+MSIG_USD*$AB$14)*IF(N1679&lt;=4,$AB$13/4,Appels_base))</f>
        <v>250000</v>
      </c>
      <c r="O1709" s="73" t="n">
        <f aca="false">MIN(N1707*IF(O1679=1,1+MSIG_USD*$AB$14,1),$C1707*(1+MSIG_USD*$AB$14)*IF(O1679&lt;=4,$AB$13/4,Appels_base))</f>
        <v>250000</v>
      </c>
    </row>
    <row r="1710" customFormat="false" ht="15" hidden="false" customHeight="false" outlineLevel="0" collapsed="false">
      <c r="B1710" s="65" t="s">
        <v>1047</v>
      </c>
      <c r="C1710" s="25"/>
      <c r="D1710" s="73" t="n">
        <f aca="false">C1700*Capacite_evg*IF(D1679&lt;=4,$AB$17,$AB$18)</f>
        <v>612500</v>
      </c>
      <c r="E1710" s="73" t="n">
        <f aca="false">D1700*Capacite_evg*IF(E1679&lt;=4,$AB$17,$AB$18)</f>
        <v>594446.5625</v>
      </c>
      <c r="F1710" s="73" t="n">
        <f aca="false">E1700*Capacite_evg*IF(F1679&lt;=4,$AB$17,$AB$18)</f>
        <v>576925.250070313</v>
      </c>
      <c r="G1710" s="73" t="n">
        <f aca="false">F1700*Capacite_evg*IF(G1679&lt;=4,$AB$17,$AB$18)</f>
        <v>559920.37832449</v>
      </c>
      <c r="H1710" s="73" t="n">
        <f aca="false">G1700*Capacite_evg*IF(H1679&lt;=4,$AB$17,$AB$18)</f>
        <v>543416.725173376</v>
      </c>
      <c r="I1710" s="73" t="n">
        <f aca="false">H1700*Capacite_evg*IF(I1679&lt;=4,$AB$17,$AB$18)</f>
        <v>527399.517198891</v>
      </c>
      <c r="J1710" s="73" t="n">
        <f aca="false">I1700*Capacite_evg*IF(J1679&lt;=4,$AB$17,$AB$18)</f>
        <v>511854.416429453</v>
      </c>
      <c r="K1710" s="73" t="n">
        <f aca="false">J1700*Capacite_evg*IF(K1679&lt;=4,$AB$17,$AB$18)</f>
        <v>496767.507505195</v>
      </c>
      <c r="L1710" s="73" t="n">
        <f aca="false">K1700*Capacite_evg*IF(L1679&lt;=4,$AB$17,$AB$18)</f>
        <v>482125.28522148</v>
      </c>
      <c r="M1710" s="73" t="n">
        <f aca="false">L1700*Capacite_evg*IF(M1679&lt;=4,$AB$17,$AB$18)</f>
        <v>467914.642439576</v>
      </c>
      <c r="N1710" s="73" t="n">
        <f aca="false">M1700*Capacite_evg*IF(N1679&lt;=4,$AB$17,$AB$18)</f>
        <v>454122.85835367</v>
      </c>
      <c r="O1710" s="73" t="n">
        <f aca="false">N1700*Capacite_evg*IF(O1679&lt;=4,$AB$17,$AB$18)</f>
        <v>440737.587103696</v>
      </c>
    </row>
    <row r="1711" customFormat="false" ht="15" hidden="false" customHeight="false" outlineLevel="0" collapsed="false">
      <c r="B1711" s="65" t="s">
        <v>1048</v>
      </c>
      <c r="C1711" s="25"/>
      <c r="D1711" s="73" t="n">
        <f aca="false">C1701*Capacite_evg*IF(D1679&lt;=4,$AB$17,$AB$19)*(1-IF(D1679&lt;=Deduc_trim,Deduc_ares,0))</f>
        <v>581875</v>
      </c>
      <c r="E1711" s="73" t="n">
        <f aca="false">D1701*Capacite_evg*IF(E1679&lt;=4,$AB$17,$AB$19)*(1-IF(E1679&lt;=Deduc_trim,Deduc_ares,0))</f>
        <v>557058.03125</v>
      </c>
      <c r="F1711" s="73" t="n">
        <f aca="false">E1701*Capacite_evg*IF(F1679&lt;=4,$AB$17,$AB$19)*(1-IF(F1679&lt;=Deduc_trim,Deduc_ares,0))</f>
        <v>533299.506217187</v>
      </c>
      <c r="G1711" s="73" t="n">
        <f aca="false">F1701*Capacite_evg*IF(G1679&lt;=4,$AB$17,$AB$19)*(1-IF(G1679&lt;=Deduc_trim,Deduc_ares,0))</f>
        <v>510554.282277024</v>
      </c>
      <c r="H1711" s="73" t="n">
        <f aca="false">G1701*Capacite_evg*IF(H1679&lt;=4,$AB$17,$AB$19)*(1-IF(H1679&lt;=Deduc_trim,Deduc_ares,0))</f>
        <v>514504.360145168</v>
      </c>
      <c r="I1711" s="73" t="n">
        <f aca="false">H1701*Capacite_evg*IF(I1679&lt;=4,$AB$17,$AB$19)*(1-IF(I1679&lt;=Deduc_trim,Deduc_ares,0))</f>
        <v>492560.749184976</v>
      </c>
      <c r="J1711" s="73" t="n">
        <f aca="false">I1701*Capacite_evg*IF(J1679&lt;=4,$AB$17,$AB$19)*(1-IF(J1679&lt;=Deduc_trim,Deduc_ares,0))</f>
        <v>471553.033232237</v>
      </c>
      <c r="K1711" s="73" t="n">
        <f aca="false">J1701*Capacite_evg*IF(K1679&lt;=4,$AB$17,$AB$19)*(1-IF(K1679&lt;=Deduc_trim,Deduc_ares,0))</f>
        <v>451441.296364882</v>
      </c>
      <c r="L1711" s="73" t="n">
        <f aca="false">K1701*Capacite_evg*IF(L1679&lt;=4,$AB$17,$AB$19)*(1-IF(L1679&lt;=Deduc_trim,Deduc_ares,0))</f>
        <v>432187.32507492</v>
      </c>
      <c r="M1711" s="73" t="n">
        <f aca="false">L1701*Capacite_evg*IF(M1679&lt;=4,$AB$17,$AB$19)*(1-IF(M1679&lt;=Deduc_trim,Deduc_ares,0))</f>
        <v>413754.535660474</v>
      </c>
      <c r="N1711" s="73" t="n">
        <f aca="false">M1701*Capacite_evg*IF(N1679&lt;=4,$AB$17,$AB$19)*(1-IF(N1679&lt;=Deduc_trim,Deduc_ares,0))</f>
        <v>396107.904714555</v>
      </c>
      <c r="O1711" s="73" t="n">
        <f aca="false">N1701*Capacite_evg*IF(O1679&lt;=4,$AB$17,$AB$19)*(1-IF(O1679&lt;=Deduc_trim,Deduc_ares,0))</f>
        <v>379213.902578479</v>
      </c>
    </row>
    <row r="1712" customFormat="false" ht="15" hidden="false" customHeight="false" outlineLevel="0" collapsed="false">
      <c r="B1712" s="65" t="s">
        <v>1049</v>
      </c>
      <c r="C1712" s="25"/>
      <c r="D1712" s="73" t="n">
        <f aca="false">C1726</f>
        <v>7500000</v>
      </c>
      <c r="E1712" s="73" t="n">
        <f aca="false">D1726</f>
        <v>5739375</v>
      </c>
      <c r="F1712" s="73" t="n">
        <f aca="false">E1726</f>
        <v>6562891.4375</v>
      </c>
      <c r="G1712" s="73" t="n">
        <f aca="false">F1726</f>
        <v>4909430.45367109</v>
      </c>
      <c r="H1712" s="73" t="n">
        <f aca="false">G1726</f>
        <v>5659951.93568534</v>
      </c>
      <c r="I1712" s="73" t="n">
        <f aca="false">H1726</f>
        <v>4012380.04095581</v>
      </c>
      <c r="J1712" s="73" t="n">
        <f aca="false">I1726</f>
        <v>4721157.38504098</v>
      </c>
      <c r="K1712" s="73" t="n">
        <f aca="false">J1726</f>
        <v>3052969.10864954</v>
      </c>
      <c r="L1712" s="73" t="n">
        <f aca="false">K1726</f>
        <v>3699458.07298265</v>
      </c>
      <c r="M1712" s="73" t="n">
        <f aca="false">L1726</f>
        <v>2704270.3644638</v>
      </c>
      <c r="N1712" s="73" t="n">
        <f aca="false">M1726</f>
        <v>3295172.88095123</v>
      </c>
      <c r="O1712" s="73" t="n">
        <f aca="false">N1726</f>
        <v>2941976.42969005</v>
      </c>
    </row>
    <row r="1713" customFormat="false" ht="15" hidden="false" customHeight="false" outlineLevel="0" collapsed="false">
      <c r="B1713" s="65" t="s">
        <v>1050</v>
      </c>
      <c r="C1713" s="25"/>
      <c r="D1713" s="73" t="n">
        <f aca="false">D1712*Taux_treso/4</f>
        <v>46875</v>
      </c>
      <c r="E1713" s="73" t="n">
        <f aca="false">E1712*Taux_treso/4</f>
        <v>35871.09375</v>
      </c>
      <c r="F1713" s="73" t="n">
        <f aca="false">F1712*Taux_treso/4</f>
        <v>41018.071484375</v>
      </c>
      <c r="G1713" s="73" t="n">
        <f aca="false">G1712*Taux_treso/4</f>
        <v>30683.9403354443</v>
      </c>
      <c r="H1713" s="73" t="n">
        <f aca="false">H1712*Taux_treso/4</f>
        <v>35374.6995980334</v>
      </c>
      <c r="I1713" s="73" t="n">
        <f aca="false">I1712*Taux_treso/4</f>
        <v>25077.3752559738</v>
      </c>
      <c r="J1713" s="73" t="n">
        <f aca="false">J1712*Taux_treso/4</f>
        <v>29507.2336565061</v>
      </c>
      <c r="K1713" s="73" t="n">
        <f aca="false">K1712*Taux_treso/4</f>
        <v>19081.0569290596</v>
      </c>
      <c r="L1713" s="73" t="n">
        <f aca="false">L1712*Taux_treso/4</f>
        <v>23121.6129561415</v>
      </c>
      <c r="M1713" s="73" t="n">
        <f aca="false">M1712*Taux_treso/4</f>
        <v>16901.6897778987</v>
      </c>
      <c r="N1713" s="73" t="n">
        <f aca="false">N1712*Taux_treso/4</f>
        <v>20594.8305059452</v>
      </c>
      <c r="O1713" s="73" t="n">
        <f aca="false">O1712*Taux_treso/4</f>
        <v>18387.3526855628</v>
      </c>
    </row>
    <row r="1714" customFormat="false" ht="15" hidden="false" customHeight="false" outlineLevel="0" collapsed="false">
      <c r="B1714" s="65" t="s">
        <v>1051</v>
      </c>
      <c r="C1714" s="25"/>
      <c r="D1714" s="73" t="n">
        <f aca="false">SUM(D1702:D1705)</f>
        <v>498125</v>
      </c>
      <c r="E1714" s="73" t="n">
        <f aca="false">SUM(E1702:E1705)</f>
        <v>501643.96875</v>
      </c>
      <c r="F1714" s="73" t="n">
        <f aca="false">SUM(F1702:F1705)</f>
        <v>505569.532629688</v>
      </c>
      <c r="G1714" s="73" t="n">
        <f aca="false">SUM(G1702:G1705)</f>
        <v>509888.751029738</v>
      </c>
      <c r="H1714" s="73" t="n">
        <f aca="false">SUM(H1702:H1705)</f>
        <v>514589.239858558</v>
      </c>
      <c r="I1714" s="73" t="n">
        <f aca="false">SUM(I1702:I1705)</f>
        <v>519659.148597052</v>
      </c>
      <c r="J1714" s="73" t="n">
        <f aca="false">SUM(J1702:J1705)</f>
        <v>525087.138315382</v>
      </c>
      <c r="K1714" s="73" t="n">
        <f aca="false">SUM(K1702:K1705)</f>
        <v>530862.360611252</v>
      </c>
      <c r="L1714" s="73" t="n">
        <f aca="false">SUM(L1702:L1705)</f>
        <v>536974.437430912</v>
      </c>
      <c r="M1714" s="73" t="n">
        <f aca="false">SUM(M1702:M1705)</f>
        <v>543413.441735769</v>
      </c>
      <c r="N1714" s="73" t="n">
        <f aca="false">SUM(N1702:N1705)</f>
        <v>550169.878979005</v>
      </c>
      <c r="O1714" s="73" t="n">
        <f aca="false">SUM(O1702:O1705)</f>
        <v>557234.669358171</v>
      </c>
    </row>
    <row r="1715" customFormat="false" ht="15" hidden="false" customHeight="false" outlineLevel="0" collapsed="false">
      <c r="B1715" s="65" t="s">
        <v>1052</v>
      </c>
      <c r="C1715" s="25"/>
      <c r="D1715" s="73" t="n">
        <f aca="false">IF(AND(Distrib_tension=1,OR(D1687&gt;0.000001,C1729&lt;Liq_min,C1693=1)),0,MIN(Dist_porteurs/4*Part_d*D1684,D1714))</f>
        <v>125000</v>
      </c>
      <c r="E1715" s="73" t="n">
        <f aca="false">IF(AND(Distrib_tension=1,OR(E1687&gt;0.000001,D1729&lt;Liq_min,D1693=1)),0,MIN(Dist_porteurs/4*Part_d*E1684,E1714))</f>
        <v>0</v>
      </c>
      <c r="F1715" s="73" t="n">
        <f aca="false">IF(AND(Distrib_tension=1,OR(F1687&gt;0.000001,E1729&lt;Liq_min,E1693=1)),0,MIN(Dist_porteurs/4*Part_d*F1684,F1714))</f>
        <v>0</v>
      </c>
      <c r="G1715" s="73" t="n">
        <f aca="false">IF(AND(Distrib_tension=1,OR(G1687&gt;0.000001,F1729&lt;Liq_min,F1693=1)),0,MIN(Dist_porteurs/4*Part_d*G1684,G1714))</f>
        <v>0</v>
      </c>
      <c r="H1715" s="73" t="n">
        <f aca="false">IF(AND(Distrib_tension=1,OR(H1687&gt;0.000001,G1729&lt;Liq_min,G1693=1)),0,MIN(Dist_porteurs/4*Part_d*H1684,H1714))</f>
        <v>0</v>
      </c>
      <c r="I1715" s="73" t="n">
        <f aca="false">IF(AND(Distrib_tension=1,OR(I1687&gt;0.000001,H1729&lt;Liq_min,H1693=1)),0,MIN(Dist_porteurs/4*Part_d*I1684,I1714))</f>
        <v>0</v>
      </c>
      <c r="J1715" s="73" t="n">
        <f aca="false">IF(AND(Distrib_tension=1,OR(J1687&gt;0.000001,I1729&lt;Liq_min,I1693=1)),0,MIN(Dist_porteurs/4*Part_d*J1684,J1714))</f>
        <v>0</v>
      </c>
      <c r="K1715" s="73" t="n">
        <f aca="false">IF(AND(Distrib_tension=1,OR(K1687&gt;0.000001,J1729&lt;Liq_min,J1693=1)),0,MIN(Dist_porteurs/4*Part_d*K1684,K1714))</f>
        <v>0</v>
      </c>
      <c r="L1715" s="73" t="n">
        <f aca="false">IF(AND(Distrib_tension=1,OR(L1687&gt;0.000001,K1729&lt;Liq_min,K1693=1)),0,MIN(Dist_porteurs/4*Part_d*L1684,L1714))</f>
        <v>0</v>
      </c>
      <c r="M1715" s="73" t="n">
        <f aca="false">IF(AND(Distrib_tension=1,OR(M1687&gt;0.000001,L1729&lt;Liq_min,L1693=1)),0,MIN(Dist_porteurs/4*Part_d*M1684,M1714))</f>
        <v>0</v>
      </c>
      <c r="N1715" s="73" t="n">
        <f aca="false">IF(AND(Distrib_tension=1,OR(N1687&gt;0.000001,M1729&lt;Liq_min,M1693=1)),0,MIN(Dist_porteurs/4*Part_d*N1684,N1714))</f>
        <v>0</v>
      </c>
      <c r="O1715" s="73" t="n">
        <f aca="false">IF(AND(Distrib_tension=1,OR(O1687&gt;0.000001,N1729&lt;Liq_min,N1693=1)),0,MIN(Dist_porteurs/4*Part_d*O1684,O1714))</f>
        <v>0</v>
      </c>
    </row>
    <row r="1716" customFormat="false" ht="15" hidden="false" customHeight="false" outlineLevel="0" collapsed="false">
      <c r="B1716" s="65" t="s">
        <v>1053</v>
      </c>
      <c r="C1716" s="25"/>
      <c r="D1716" s="73" t="n">
        <f aca="false">D1708+D1709</f>
        <v>625000</v>
      </c>
      <c r="E1716" s="73" t="n">
        <f aca="false">E1708+E1709</f>
        <v>625000</v>
      </c>
      <c r="F1716" s="73" t="n">
        <f aca="false">F1708+F1709</f>
        <v>625000</v>
      </c>
      <c r="G1716" s="73" t="n">
        <f aca="false">G1708+G1709</f>
        <v>625000</v>
      </c>
      <c r="H1716" s="73" t="n">
        <f aca="false">H1708+H1709</f>
        <v>625000</v>
      </c>
      <c r="I1716" s="73" t="n">
        <f aca="false">I1708+I1709</f>
        <v>625000</v>
      </c>
      <c r="J1716" s="73" t="n">
        <f aca="false">J1708+J1709</f>
        <v>625000</v>
      </c>
      <c r="K1716" s="73" t="n">
        <f aca="false">K1708+K1709</f>
        <v>625000</v>
      </c>
      <c r="L1716" s="73" t="n">
        <f aca="false">L1708+L1709</f>
        <v>625000</v>
      </c>
      <c r="M1716" s="73" t="n">
        <f aca="false">M1708+M1709</f>
        <v>625000</v>
      </c>
      <c r="N1716" s="73" t="n">
        <f aca="false">N1708+N1709</f>
        <v>625000</v>
      </c>
      <c r="O1716" s="73" t="n">
        <f aca="false">O1708+O1709</f>
        <v>625000</v>
      </c>
    </row>
    <row r="1717" customFormat="false" ht="15" hidden="false" customHeight="false" outlineLevel="0" collapsed="false">
      <c r="B1717" s="65" t="s">
        <v>1054</v>
      </c>
      <c r="C1717" s="25"/>
      <c r="D1717" s="73" t="n">
        <f aca="false">D1684*Frais_an/4</f>
        <v>250000</v>
      </c>
      <c r="E1717" s="73" t="n">
        <f aca="false">E1684*Frais_an/4</f>
        <v>240503.21875</v>
      </c>
      <c r="F1717" s="73" t="n">
        <f aca="false">F1684*Frais_an/4</f>
        <v>244115.758566406</v>
      </c>
      <c r="G1717" s="73" t="n">
        <f aca="false">G1684*Frais_an/4</f>
        <v>235525.86995245</v>
      </c>
      <c r="H1717" s="73" t="n">
        <f aca="false">H1684*Frais_an/4</f>
        <v>239132.447227697</v>
      </c>
      <c r="I1717" s="73" t="n">
        <f aca="false">I1684*Frais_an/4</f>
        <v>230919.446151722</v>
      </c>
      <c r="J1717" s="73" t="n">
        <f aca="false">J1684*Frais_an/4</f>
        <v>234653.645275002</v>
      </c>
      <c r="K1717" s="73" t="n">
        <f aca="false">K1684*Frais_an/4</f>
        <v>226663.257077278</v>
      </c>
      <c r="L1717" s="73" t="n">
        <f aca="false">L1684*Frais_an/4</f>
        <v>230401.495123387</v>
      </c>
      <c r="M1717" s="73" t="n">
        <f aca="false">M1684*Frais_an/4</f>
        <v>226081.793126288</v>
      </c>
      <c r="N1717" s="73" t="n">
        <f aca="false">N1684*Frais_an/4</f>
        <v>229838.38476287</v>
      </c>
      <c r="O1717" s="73" t="n">
        <f aca="false">O1684*Frais_an/4</f>
        <v>229015.911379578</v>
      </c>
    </row>
    <row r="1718" customFormat="false" ht="15" hidden="false" customHeight="false" outlineLevel="0" collapsed="false">
      <c r="B1718" s="65" t="s">
        <v>1055</v>
      </c>
      <c r="C1718" s="25"/>
      <c r="D1718" s="73" t="n">
        <f aca="false">C1727*Taux_emprunt/4</f>
        <v>0</v>
      </c>
      <c r="E1718" s="73" t="n">
        <f aca="false">D1727*Taux_emprunt/4</f>
        <v>0</v>
      </c>
      <c r="F1718" s="73" t="n">
        <f aca="false">E1727*Taux_emprunt/4</f>
        <v>0</v>
      </c>
      <c r="G1718" s="73" t="n">
        <f aca="false">F1727*Taux_emprunt/4</f>
        <v>0</v>
      </c>
      <c r="H1718" s="73" t="n">
        <f aca="false">G1727*Taux_emprunt/4</f>
        <v>0</v>
      </c>
      <c r="I1718" s="73" t="n">
        <f aca="false">H1727*Taux_emprunt/4</f>
        <v>0</v>
      </c>
      <c r="J1718" s="73" t="n">
        <f aca="false">I1727*Taux_emprunt/4</f>
        <v>0</v>
      </c>
      <c r="K1718" s="73" t="n">
        <f aca="false">J1727*Taux_emprunt/4</f>
        <v>0</v>
      </c>
      <c r="L1718" s="73" t="n">
        <f aca="false">K1727*Taux_emprunt/4</f>
        <v>0</v>
      </c>
      <c r="M1718" s="73" t="n">
        <f aca="false">L1727*Taux_emprunt/4</f>
        <v>0</v>
      </c>
      <c r="N1718" s="73" t="n">
        <f aca="false">M1727*Taux_emprunt/4</f>
        <v>0</v>
      </c>
      <c r="O1718" s="73" t="n">
        <f aca="false">N1727*Taux_emprunt/4</f>
        <v>0</v>
      </c>
    </row>
    <row r="1719" customFormat="false" ht="15" hidden="false" customHeight="false" outlineLevel="0" collapsed="false">
      <c r="B1719" s="65" t="s">
        <v>1056</v>
      </c>
      <c r="C1719" s="25"/>
      <c r="D1719" s="73" t="n">
        <f aca="false">D1712+D1713+D1714-D1715+D1685-D1716-D1717-D1718</f>
        <v>7045000</v>
      </c>
      <c r="E1719" s="73" t="n">
        <f aca="false">E1712+E1713+E1714-E1715+E1685-E1716-E1717-E1718</f>
        <v>5411386.84375</v>
      </c>
      <c r="F1719" s="73" t="n">
        <f aca="false">F1712+F1713+F1714-F1715+F1685-F1716-F1717-F1718</f>
        <v>6240363.28304766</v>
      </c>
      <c r="G1719" s="73" t="n">
        <f aca="false">G1712+G1713+G1714-G1715+G1685-G1716-G1717-G1718</f>
        <v>4589477.27508382</v>
      </c>
      <c r="H1719" s="73" t="n">
        <f aca="false">H1712+H1713+H1714-H1715+H1685-H1716-H1717-H1718</f>
        <v>5345783.42791423</v>
      </c>
      <c r="I1719" s="73" t="n">
        <f aca="false">I1712+I1713+I1714-I1715+I1685-I1716-I1717-I1718</f>
        <v>3701197.11865711</v>
      </c>
      <c r="J1719" s="73" t="n">
        <f aca="false">J1712+J1713+J1714-J1715+J1685-J1716-J1717-J1718</f>
        <v>4416098.11173787</v>
      </c>
      <c r="K1719" s="73" t="n">
        <f aca="false">K1712+K1713+K1714-K1715+K1685-K1716-K1717-K1718</f>
        <v>2751249.26911257</v>
      </c>
      <c r="L1719" s="73" t="n">
        <f aca="false">L1712+L1713+L1714-L1715+L1685-L1716-L1717-L1718</f>
        <v>3404152.62824631</v>
      </c>
      <c r="M1719" s="73" t="n">
        <f aca="false">M1712+M1713+M1714-M1715+M1685-M1716-M1717-M1718</f>
        <v>2413503.70285117</v>
      </c>
      <c r="N1719" s="73" t="n">
        <f aca="false">N1712+N1713+N1714-N1715+N1685-N1716-N1717-N1718</f>
        <v>3011099.20567331</v>
      </c>
      <c r="O1719" s="73" t="n">
        <f aca="false">O1712+O1713+O1714-O1715+O1685-O1716-O1717-O1718</f>
        <v>2663582.54035421</v>
      </c>
    </row>
    <row r="1720" customFormat="false" ht="15" hidden="false" customHeight="false" outlineLevel="0" collapsed="false">
      <c r="B1720" s="65" t="s">
        <v>1057</v>
      </c>
      <c r="C1720" s="25"/>
      <c r="D1720" s="73" t="n">
        <f aca="false">MIN(D1710+D1711,MAX(0,Liq_cible*D1684-(D1719-D1694)))</f>
        <v>1194375</v>
      </c>
      <c r="E1720" s="73" t="n">
        <f aca="false">MIN(E1710+E1711,MAX(0,Liq_cible*E1684-(E1719-E1694)))</f>
        <v>1151504.59375</v>
      </c>
      <c r="F1720" s="73" t="n">
        <f aca="false">MIN(F1710+F1711,MAX(0,Liq_cible*F1684-(F1719-F1694)))</f>
        <v>1110224.7562875</v>
      </c>
      <c r="G1720" s="73" t="n">
        <f aca="false">MIN(G1710+G1711,MAX(0,Liq_cible*G1684-(G1719-G1694)))</f>
        <v>1070474.66060151</v>
      </c>
      <c r="H1720" s="73" t="n">
        <f aca="false">MIN(H1710+H1711,MAX(0,Liq_cible*H1684-(H1719-H1694)))</f>
        <v>1057921.08531854</v>
      </c>
      <c r="I1720" s="73" t="n">
        <f aca="false">MIN(I1710+I1711,MAX(0,Liq_cible*I1684-(I1719-I1694)))</f>
        <v>1019960.26638387</v>
      </c>
      <c r="J1720" s="73" t="n">
        <f aca="false">MIN(J1710+J1711,MAX(0,Liq_cible*J1684-(J1719-J1694)))</f>
        <v>983407.44966169</v>
      </c>
      <c r="K1720" s="73" t="n">
        <f aca="false">MIN(K1710+K1711,MAX(0,Liq_cible*K1684-(K1719-K1694)))</f>
        <v>948208.803870077</v>
      </c>
      <c r="L1720" s="73" t="n">
        <f aca="false">MIN(L1710+L1711,MAX(0,Liq_cible*L1684-(L1719-L1694)))</f>
        <v>914312.610296399</v>
      </c>
      <c r="M1720" s="73" t="n">
        <f aca="false">MIN(M1710+M1711,MAX(0,Liq_cible*M1684-(M1719-M1694)))</f>
        <v>881669.178100051</v>
      </c>
      <c r="N1720" s="73" t="n">
        <f aca="false">MIN(N1710+N1711,MAX(0,Liq_cible*N1684-(N1719-N1694)))</f>
        <v>850230.763068225</v>
      </c>
      <c r="O1720" s="73" t="n">
        <f aca="false">MIN(O1710+O1711,MAX(0,Liq_cible*O1684-(O1719-O1694)))</f>
        <v>819951.489682175</v>
      </c>
    </row>
    <row r="1721" customFormat="false" ht="15" hidden="false" customHeight="false" outlineLevel="0" collapsed="false">
      <c r="B1721" s="65" t="s">
        <v>1058</v>
      </c>
      <c r="C1721" s="25"/>
      <c r="D1721" s="73" t="n">
        <f aca="false">D1719-D1694+D1720</f>
        <v>5739375</v>
      </c>
      <c r="E1721" s="73" t="n">
        <f aca="false">E1719-E1694+E1720</f>
        <v>6562891.4375</v>
      </c>
      <c r="F1721" s="73" t="n">
        <f aca="false">F1719-F1694+F1720</f>
        <v>4909430.45367109</v>
      </c>
      <c r="G1721" s="73" t="n">
        <f aca="false">G1719-G1694+G1720</f>
        <v>5659951.93568534</v>
      </c>
      <c r="H1721" s="73" t="n">
        <f aca="false">H1719-H1694+H1720</f>
        <v>4012380.04095581</v>
      </c>
      <c r="I1721" s="73" t="n">
        <f aca="false">I1719-I1694+I1720</f>
        <v>4721157.38504098</v>
      </c>
      <c r="J1721" s="73" t="n">
        <f aca="false">J1719-J1694+J1720</f>
        <v>3052969.10864954</v>
      </c>
      <c r="K1721" s="73" t="n">
        <f aca="false">K1719-K1694+K1720</f>
        <v>3699458.07298265</v>
      </c>
      <c r="L1721" s="73" t="n">
        <f aca="false">L1719-L1694+L1720</f>
        <v>2704270.3644638</v>
      </c>
      <c r="M1721" s="73" t="n">
        <f aca="false">M1719-M1694+M1720</f>
        <v>3295172.88095123</v>
      </c>
      <c r="N1721" s="73" t="n">
        <f aca="false">N1719-N1694+N1720</f>
        <v>2941976.42969005</v>
      </c>
      <c r="O1721" s="73" t="n">
        <f aca="false">O1719-O1694+O1720</f>
        <v>3483534.03003638</v>
      </c>
    </row>
    <row r="1722" customFormat="false" ht="15" hidden="false" customHeight="false" outlineLevel="0" collapsed="false">
      <c r="B1722" s="65" t="s">
        <v>1059</v>
      </c>
      <c r="C1722" s="25"/>
      <c r="D1722" s="73" t="n">
        <f aca="false">MIN(MAX(0,MIN($AB$20*AN_cible,Emprunt_max*D1684)-C1727),MAX(0,IF($AB$20&gt;0,Poche_min_exec*D1684,0)-D1721))-IF(D1721&gt;Liq_cible*D1684,MIN(C1727,D1721-Liq_cible*D1684),0)</f>
        <v>0</v>
      </c>
      <c r="E1722" s="73" t="n">
        <f aca="false">MIN(MAX(0,MIN($AB$20*AN_cible,Emprunt_max*E1684)-D1727),MAX(0,IF($AB$20&gt;0,Poche_min_exec*E1684,0)-E1721))-IF(E1721&gt;Liq_cible*E1684,MIN(D1727,E1721-Liq_cible*E1684),0)</f>
        <v>0</v>
      </c>
      <c r="F1722" s="73" t="n">
        <f aca="false">MIN(MAX(0,MIN($AB$20*AN_cible,Emprunt_max*F1684)-E1727),MAX(0,IF($AB$20&gt;0,Poche_min_exec*F1684,0)-F1721))-IF(F1721&gt;Liq_cible*F1684,MIN(E1727,F1721-Liq_cible*F1684),0)</f>
        <v>0</v>
      </c>
      <c r="G1722" s="73" t="n">
        <f aca="false">MIN(MAX(0,MIN($AB$20*AN_cible,Emprunt_max*G1684)-F1727),MAX(0,IF($AB$20&gt;0,Poche_min_exec*G1684,0)-G1721))-IF(G1721&gt;Liq_cible*G1684,MIN(F1727,G1721-Liq_cible*G1684),0)</f>
        <v>0</v>
      </c>
      <c r="H1722" s="73" t="n">
        <f aca="false">MIN(MAX(0,MIN($AB$20*AN_cible,Emprunt_max*H1684)-G1727),MAX(0,IF($AB$20&gt;0,Poche_min_exec*H1684,0)-H1721))-IF(H1721&gt;Liq_cible*H1684,MIN(G1727,H1721-Liq_cible*H1684),0)</f>
        <v>0</v>
      </c>
      <c r="I1722" s="73" t="n">
        <f aca="false">MIN(MAX(0,MIN($AB$20*AN_cible,Emprunt_max*I1684)-H1727),MAX(0,IF($AB$20&gt;0,Poche_min_exec*I1684,0)-I1721))-IF(I1721&gt;Liq_cible*I1684,MIN(H1727,I1721-Liq_cible*I1684),0)</f>
        <v>0</v>
      </c>
      <c r="J1722" s="73" t="n">
        <f aca="false">MIN(MAX(0,MIN($AB$20*AN_cible,Emprunt_max*J1684)-I1727),MAX(0,IF($AB$20&gt;0,Poche_min_exec*J1684,0)-J1721))-IF(J1721&gt;Liq_cible*J1684,MIN(I1727,J1721-Liq_cible*J1684),0)</f>
        <v>0</v>
      </c>
      <c r="K1722" s="73" t="n">
        <f aca="false">MIN(MAX(0,MIN($AB$20*AN_cible,Emprunt_max*K1684)-J1727),MAX(0,IF($AB$20&gt;0,Poche_min_exec*K1684,0)-K1721))-IF(K1721&gt;Liq_cible*K1684,MIN(J1727,K1721-Liq_cible*K1684),0)</f>
        <v>0</v>
      </c>
      <c r="L1722" s="73" t="n">
        <f aca="false">MIN(MAX(0,MIN($AB$20*AN_cible,Emprunt_max*L1684)-K1727),MAX(0,IF($AB$20&gt;0,Poche_min_exec*L1684,0)-L1721))-IF(L1721&gt;Liq_cible*L1684,MIN(K1727,L1721-Liq_cible*L1684),0)</f>
        <v>0</v>
      </c>
      <c r="M1722" s="73" t="n">
        <f aca="false">MIN(MAX(0,MIN($AB$20*AN_cible,Emprunt_max*M1684)-L1727),MAX(0,IF($AB$20&gt;0,Poche_min_exec*M1684,0)-M1721))-IF(M1721&gt;Liq_cible*M1684,MIN(L1727,M1721-Liq_cible*M1684),0)</f>
        <v>0</v>
      </c>
      <c r="N1722" s="73" t="n">
        <f aca="false">MIN(MAX(0,MIN($AB$20*AN_cible,Emprunt_max*N1684)-M1727),MAX(0,IF($AB$20&gt;0,Poche_min_exec*N1684,0)-N1721))-IF(N1721&gt;Liq_cible*N1684,MIN(M1727,N1721-Liq_cible*N1684),0)</f>
        <v>0</v>
      </c>
      <c r="O1722" s="73" t="n">
        <f aca="false">MIN(MAX(0,MIN($AB$20*AN_cible,Emprunt_max*O1684)-N1727),MAX(0,IF($AB$20&gt;0,Poche_min_exec*O1684,0)-O1721))-IF(O1721&gt;Liq_cible*O1684,MIN(N1727,O1721-Liq_cible*O1684),0)</f>
        <v>0</v>
      </c>
    </row>
    <row r="1723" customFormat="false" ht="15" hidden="false" customHeight="false" outlineLevel="0" collapsed="false">
      <c r="B1723" s="65" t="s">
        <v>1060</v>
      </c>
      <c r="C1723" s="25"/>
      <c r="D1723" s="73" t="n">
        <f aca="false">MIN((C1698+C1699+C1700+C1701),MAX(0,-(D1721+D1722))/(1-Decote))</f>
        <v>0</v>
      </c>
      <c r="E1723" s="73" t="n">
        <f aca="false">MIN((D1698+D1699+D1700+D1701),MAX(0,-(E1721+E1722))/(1-Decote))</f>
        <v>0</v>
      </c>
      <c r="F1723" s="73" t="n">
        <f aca="false">MIN((E1698+E1699+E1700+E1701),MAX(0,-(F1721+F1722))/(1-Decote))</f>
        <v>0</v>
      </c>
      <c r="G1723" s="73" t="n">
        <f aca="false">MIN((F1698+F1699+F1700+F1701),MAX(0,-(G1721+G1722))/(1-Decote))</f>
        <v>0</v>
      </c>
      <c r="H1723" s="73" t="n">
        <f aca="false">MIN((G1698+G1699+G1700+G1701),MAX(0,-(H1721+H1722))/(1-Decote))</f>
        <v>0</v>
      </c>
      <c r="I1723" s="73" t="n">
        <f aca="false">MIN((H1698+H1699+H1700+H1701),MAX(0,-(I1721+I1722))/(1-Decote))</f>
        <v>0</v>
      </c>
      <c r="J1723" s="73" t="n">
        <f aca="false">MIN((I1698+I1699+I1700+I1701),MAX(0,-(J1721+J1722))/(1-Decote))</f>
        <v>0</v>
      </c>
      <c r="K1723" s="73" t="n">
        <f aca="false">MIN((J1698+J1699+J1700+J1701),MAX(0,-(K1721+K1722))/(1-Decote))</f>
        <v>0</v>
      </c>
      <c r="L1723" s="73" t="n">
        <f aca="false">MIN((K1698+K1699+K1700+K1701),MAX(0,-(L1721+L1722))/(1-Decote))</f>
        <v>0</v>
      </c>
      <c r="M1723" s="73" t="n">
        <f aca="false">MIN((L1698+L1699+L1700+L1701),MAX(0,-(M1721+M1722))/(1-Decote))</f>
        <v>0</v>
      </c>
      <c r="N1723" s="73" t="n">
        <f aca="false">MIN((M1698+M1699+M1700+M1701),MAX(0,-(N1721+N1722))/(1-Decote))</f>
        <v>0</v>
      </c>
      <c r="O1723" s="73" t="n">
        <f aca="false">MIN((N1698+N1699+N1700+N1701),MAX(0,-(O1721+O1722))/(1-Decote))</f>
        <v>0</v>
      </c>
    </row>
    <row r="1724" customFormat="false" ht="15" hidden="false" customHeight="false" outlineLevel="0" collapsed="false">
      <c r="B1724" s="65" t="s">
        <v>1061</v>
      </c>
      <c r="C1724" s="25"/>
      <c r="D1724" s="73" t="n">
        <f aca="false">D1723*Decote</f>
        <v>0</v>
      </c>
      <c r="E1724" s="73" t="n">
        <f aca="false">E1723*Decote</f>
        <v>0</v>
      </c>
      <c r="F1724" s="73" t="n">
        <f aca="false">F1723*Decote</f>
        <v>0</v>
      </c>
      <c r="G1724" s="73" t="n">
        <f aca="false">G1723*Decote</f>
        <v>0</v>
      </c>
      <c r="H1724" s="73" t="n">
        <f aca="false">H1723*Decote</f>
        <v>0</v>
      </c>
      <c r="I1724" s="73" t="n">
        <f aca="false">I1723*Decote</f>
        <v>0</v>
      </c>
      <c r="J1724" s="73" t="n">
        <f aca="false">J1723*Decote</f>
        <v>0</v>
      </c>
      <c r="K1724" s="73" t="n">
        <f aca="false">K1723*Decote</f>
        <v>0</v>
      </c>
      <c r="L1724" s="73" t="n">
        <f aca="false">L1723*Decote</f>
        <v>0</v>
      </c>
      <c r="M1724" s="73" t="n">
        <f aca="false">M1723*Decote</f>
        <v>0</v>
      </c>
      <c r="N1724" s="73" t="n">
        <f aca="false">N1723*Decote</f>
        <v>0</v>
      </c>
      <c r="O1724" s="73" t="n">
        <f aca="false">O1723*Decote</f>
        <v>0</v>
      </c>
    </row>
    <row r="1725" customFormat="false" ht="15" hidden="false" customHeight="false" outlineLevel="0" collapsed="false">
      <c r="B1725" s="65" t="s">
        <v>1062</v>
      </c>
      <c r="C1725" s="25"/>
      <c r="D1725" s="73" t="n">
        <f aca="false">IF(AND(D1695&lt;0.000001,C1727+D1722&lt;0.000001),MAX(0,D1721+D1722-Seuil_reinv*D1684),0)</f>
        <v>0</v>
      </c>
      <c r="E1725" s="73" t="n">
        <f aca="false">IF(AND(E1695&lt;0.000001,D1727+E1722&lt;0.000001),MAX(0,E1721+E1722-Seuil_reinv*E1684),0)</f>
        <v>0</v>
      </c>
      <c r="F1725" s="73" t="n">
        <f aca="false">IF(AND(F1695&lt;0.000001,E1727+F1722&lt;0.000001),MAX(0,F1721+F1722-Seuil_reinv*F1684),0)</f>
        <v>0</v>
      </c>
      <c r="G1725" s="73" t="n">
        <f aca="false">IF(AND(G1695&lt;0.000001,F1727+G1722&lt;0.000001),MAX(0,G1721+G1722-Seuil_reinv*G1684),0)</f>
        <v>0</v>
      </c>
      <c r="H1725" s="73" t="n">
        <f aca="false">IF(AND(H1695&lt;0.000001,G1727+H1722&lt;0.000001),MAX(0,H1721+H1722-Seuil_reinv*H1684),0)</f>
        <v>0</v>
      </c>
      <c r="I1725" s="73" t="n">
        <f aca="false">IF(AND(I1695&lt;0.000001,H1727+I1722&lt;0.000001),MAX(0,I1721+I1722-Seuil_reinv*I1684),0)</f>
        <v>0</v>
      </c>
      <c r="J1725" s="73" t="n">
        <f aca="false">IF(AND(J1695&lt;0.000001,I1727+J1722&lt;0.000001),MAX(0,J1721+J1722-Seuil_reinv*J1684),0)</f>
        <v>0</v>
      </c>
      <c r="K1725" s="73" t="n">
        <f aca="false">IF(AND(K1695&lt;0.000001,J1727+K1722&lt;0.000001),MAX(0,K1721+K1722-Seuil_reinv*K1684),0)</f>
        <v>0</v>
      </c>
      <c r="L1725" s="73" t="n">
        <f aca="false">IF(AND(L1695&lt;0.000001,K1727+L1722&lt;0.000001),MAX(0,L1721+L1722-Seuil_reinv*L1684),0)</f>
        <v>0</v>
      </c>
      <c r="M1725" s="73" t="n">
        <f aca="false">IF(AND(M1695&lt;0.000001,L1727+M1722&lt;0.000001),MAX(0,M1721+M1722-Seuil_reinv*M1684),0)</f>
        <v>0</v>
      </c>
      <c r="N1725" s="73" t="n">
        <f aca="false">IF(AND(N1695&lt;0.000001,M1727+N1722&lt;0.000001),MAX(0,N1721+N1722-Seuil_reinv*N1684),0)</f>
        <v>0</v>
      </c>
      <c r="O1725" s="73" t="n">
        <f aca="false">IF(AND(O1695&lt;0.000001,N1727+O1722&lt;0.000001),MAX(0,O1721+O1722-Seuil_reinv*O1684),0)</f>
        <v>0</v>
      </c>
    </row>
    <row r="1726" customFormat="false" ht="15" hidden="false" customHeight="false" outlineLevel="0" collapsed="false">
      <c r="B1726" s="65" t="s">
        <v>1063</v>
      </c>
      <c r="C1726" s="73" t="n">
        <f aca="false">AN_cible*Ws_LIQ</f>
        <v>7500000</v>
      </c>
      <c r="D1726" s="73" t="n">
        <f aca="false">D1721+D1722+D1723-D1724-D1725</f>
        <v>5739375</v>
      </c>
      <c r="E1726" s="73" t="n">
        <f aca="false">E1721+E1722+E1723-E1724-E1725</f>
        <v>6562891.4375</v>
      </c>
      <c r="F1726" s="73" t="n">
        <f aca="false">F1721+F1722+F1723-F1724-F1725</f>
        <v>4909430.45367109</v>
      </c>
      <c r="G1726" s="73" t="n">
        <f aca="false">G1721+G1722+G1723-G1724-G1725</f>
        <v>5659951.93568534</v>
      </c>
      <c r="H1726" s="73" t="n">
        <f aca="false">H1721+H1722+H1723-H1724-H1725</f>
        <v>4012380.04095581</v>
      </c>
      <c r="I1726" s="73" t="n">
        <f aca="false">I1721+I1722+I1723-I1724-I1725</f>
        <v>4721157.38504098</v>
      </c>
      <c r="J1726" s="73" t="n">
        <f aca="false">J1721+J1722+J1723-J1724-J1725</f>
        <v>3052969.10864954</v>
      </c>
      <c r="K1726" s="73" t="n">
        <f aca="false">K1721+K1722+K1723-K1724-K1725</f>
        <v>3699458.07298265</v>
      </c>
      <c r="L1726" s="73" t="n">
        <f aca="false">L1721+L1722+L1723-L1724-L1725</f>
        <v>2704270.3644638</v>
      </c>
      <c r="M1726" s="73" t="n">
        <f aca="false">M1721+M1722+M1723-M1724-M1725</f>
        <v>3295172.88095123</v>
      </c>
      <c r="N1726" s="73" t="n">
        <f aca="false">N1721+N1722+N1723-N1724-N1725</f>
        <v>2941976.42969005</v>
      </c>
      <c r="O1726" s="73" t="n">
        <f aca="false">O1721+O1722+O1723-O1724-O1725</f>
        <v>3483534.03003638</v>
      </c>
    </row>
    <row r="1727" customFormat="false" ht="15" hidden="false" customHeight="false" outlineLevel="0" collapsed="false">
      <c r="B1727" s="65" t="s">
        <v>1064</v>
      </c>
      <c r="C1727" s="73" t="n">
        <v>0</v>
      </c>
      <c r="D1727" s="73" t="n">
        <f aca="false">C1727+D1722</f>
        <v>0</v>
      </c>
      <c r="E1727" s="73" t="n">
        <f aca="false">D1727+E1722</f>
        <v>0</v>
      </c>
      <c r="F1727" s="73" t="n">
        <f aca="false">E1727+F1722</f>
        <v>0</v>
      </c>
      <c r="G1727" s="73" t="n">
        <f aca="false">F1727+G1722</f>
        <v>0</v>
      </c>
      <c r="H1727" s="73" t="n">
        <f aca="false">G1727+H1722</f>
        <v>0</v>
      </c>
      <c r="I1727" s="73" t="n">
        <f aca="false">H1727+I1722</f>
        <v>0</v>
      </c>
      <c r="J1727" s="73" t="n">
        <f aca="false">I1727+J1722</f>
        <v>0</v>
      </c>
      <c r="K1727" s="73" t="n">
        <f aca="false">J1727+K1722</f>
        <v>0</v>
      </c>
      <c r="L1727" s="73" t="n">
        <f aca="false">K1727+L1722</f>
        <v>0</v>
      </c>
      <c r="M1727" s="73" t="n">
        <f aca="false">L1727+M1722</f>
        <v>0</v>
      </c>
      <c r="N1727" s="73" t="n">
        <f aca="false">M1727+N1722</f>
        <v>0</v>
      </c>
      <c r="O1727" s="73" t="n">
        <f aca="false">N1727+O1722</f>
        <v>0</v>
      </c>
    </row>
    <row r="1728" customFormat="false" ht="15" hidden="false" customHeight="false" outlineLevel="0" collapsed="false">
      <c r="B1728" s="74" t="s">
        <v>1065</v>
      </c>
      <c r="C1728" s="73" t="n">
        <f aca="false">C1698+C1699+C1700+C1701+C1726-C1727</f>
        <v>50000000</v>
      </c>
      <c r="D1728" s="73" t="n">
        <f aca="false">D1698+D1699+D1700+D1701+D1726-D1727</f>
        <v>48100643.75</v>
      </c>
      <c r="E1728" s="73" t="n">
        <f aca="false">E1698+E1699+E1700+E1701+E1726-E1727</f>
        <v>48823151.7132813</v>
      </c>
      <c r="F1728" s="73" t="n">
        <f aca="false">F1698+F1699+F1700+F1701+F1726-F1727</f>
        <v>47105173.9904901</v>
      </c>
      <c r="G1728" s="73" t="n">
        <f aca="false">G1698+G1699+G1700+G1701+G1726-G1727</f>
        <v>47826489.4455393</v>
      </c>
      <c r="H1728" s="73" t="n">
        <f aca="false">H1698+H1699+H1700+H1701+H1726-H1727</f>
        <v>46183889.2303444</v>
      </c>
      <c r="I1728" s="73" t="n">
        <f aca="false">I1698+I1699+I1700+I1701+I1726-I1727</f>
        <v>46930729.0550004</v>
      </c>
      <c r="J1728" s="73" t="n">
        <f aca="false">J1698+J1699+J1700+J1701+J1726-J1727</f>
        <v>45332651.4154555</v>
      </c>
      <c r="K1728" s="73" t="n">
        <f aca="false">K1698+K1699+K1700+K1701+K1726-K1727</f>
        <v>46080299.0246774</v>
      </c>
      <c r="L1728" s="73" t="n">
        <f aca="false">L1698+L1699+L1700+L1701+L1726-L1727</f>
        <v>45216358.6252577</v>
      </c>
      <c r="M1728" s="73" t="n">
        <f aca="false">M1698+M1699+M1700+M1701+M1726-M1727</f>
        <v>45967676.9525741</v>
      </c>
      <c r="N1728" s="73" t="n">
        <f aca="false">N1698+N1699+N1700+N1701+N1726-N1727</f>
        <v>45803182.2759156</v>
      </c>
      <c r="O1728" s="73" t="n">
        <f aca="false">O1698+O1699+O1700+O1701+O1726-O1727</f>
        <v>46560881.2078708</v>
      </c>
    </row>
    <row r="1729" customFormat="false" ht="15" hidden="false" customHeight="false" outlineLevel="0" collapsed="false">
      <c r="B1729" s="65" t="s">
        <v>1066</v>
      </c>
      <c r="C1729" s="72" t="n">
        <f aca="false">IF((C1728+C1727)&gt;0,C1726/(C1728+C1727),0)</f>
        <v>0.15</v>
      </c>
      <c r="D1729" s="72" t="n">
        <f aca="false">IF((D1728+D1727)&gt;0,D1726/(D1728+D1727),0)</f>
        <v>0.119320128641729</v>
      </c>
      <c r="E1729" s="72" t="n">
        <f aca="false">IF((E1728+E1727)&gt;0,E1726/(E1728+E1727),0)</f>
        <v>0.134421707882384</v>
      </c>
      <c r="F1729" s="72" t="n">
        <f aca="false">IF((F1728+F1727)&gt;0,F1726/(F1728+F1727),0)</f>
        <v>0.104222743231184</v>
      </c>
      <c r="G1729" s="72" t="n">
        <f aca="false">IF((G1728+G1727)&gt;0,G1726/(G1728+G1727),0)</f>
        <v>0.118343453623758</v>
      </c>
      <c r="H1729" s="72" t="n">
        <f aca="false">IF((H1728+H1727)&gt;0,H1726/(H1728+H1727),0)</f>
        <v>0.0868783488749479</v>
      </c>
      <c r="I1729" s="72" t="n">
        <f aca="false">IF((I1728+I1727)&gt;0,I1726/(I1728+I1727),0)</f>
        <v>0.100598424105196</v>
      </c>
      <c r="J1729" s="72" t="n">
        <f aca="false">IF((J1728+J1727)&gt;0,J1726/(J1728+J1727),0)</f>
        <v>0.0673459198463885</v>
      </c>
      <c r="K1729" s="72" t="n">
        <f aca="false">IF((K1728+K1727)&gt;0,K1726/(K1728+K1727),0)</f>
        <v>0.0802828573443387</v>
      </c>
      <c r="L1729" s="72" t="n">
        <f aca="false">IF((L1728+L1727)&gt;0,L1726/(L1728+L1727),0)</f>
        <v>0.059807345099948</v>
      </c>
      <c r="M1729" s="72" t="n">
        <f aca="false">IF((M1728+M1727)&gt;0,M1726/(M1728+M1727),0)</f>
        <v>0.0716845640111623</v>
      </c>
      <c r="N1729" s="72" t="n">
        <f aca="false">IF((N1728+N1727)&gt;0,N1726/(N1728+N1727),0)</f>
        <v>0.0642308303376775</v>
      </c>
      <c r="O1729" s="72" t="n">
        <f aca="false">IF((O1728+O1727)&gt;0,O1726/(O1728+O1727),0)</f>
        <v>0.0748167547449148</v>
      </c>
    </row>
    <row r="1730" customFormat="false" ht="15" hidden="false" customHeight="false" outlineLevel="0" collapsed="false">
      <c r="B1730" s="65" t="s">
        <v>1067</v>
      </c>
      <c r="C1730" s="72" t="n">
        <f aca="false">0</f>
        <v>0</v>
      </c>
      <c r="D1730" s="72" t="n">
        <f aca="false">IF(D1728&gt;0,D1695/D1728,0)</f>
        <v>0.103948712744619</v>
      </c>
      <c r="E1730" s="72" t="n">
        <f aca="false">IF(E1728&gt;0,E1695/E1728,0)</f>
        <v>0.102410430800596</v>
      </c>
      <c r="F1730" s="72" t="n">
        <f aca="false">IF(F1728&gt;0,F1695/F1728,0)</f>
        <v>0.0750513191887434</v>
      </c>
      <c r="G1730" s="72" t="n">
        <f aca="false">IF(G1728&gt;0,G1695/G1728,0)</f>
        <v>0.0739194009342305</v>
      </c>
      <c r="H1730" s="72" t="n">
        <f aca="false">IF(H1728&gt;0,H1695/H1728,0)</f>
        <v>0.0454814611813869</v>
      </c>
      <c r="I1730" s="72" t="n">
        <f aca="false">IF(I1728&gt;0,I1695/I1728,0)</f>
        <v>0.0447576845178282</v>
      </c>
      <c r="J1730" s="72" t="n">
        <f aca="false">IF(J1728&gt;0,J1695/J1728,0)</f>
        <v>0.0152779259972701</v>
      </c>
      <c r="K1730" s="72" t="n">
        <f aca="false">IF(K1728&gt;0,K1695/K1728,0)</f>
        <v>0.0150300433861002</v>
      </c>
      <c r="L1730" s="72" t="n">
        <f aca="false">IF(L1728&gt;0,L1695/L1728,0)</f>
        <v>0</v>
      </c>
      <c r="M1730" s="72" t="n">
        <f aca="false">IF(M1728&gt;0,M1695/M1728,0)</f>
        <v>0</v>
      </c>
      <c r="N1730" s="72" t="n">
        <f aca="false">IF(N1728&gt;0,N1695/N1728,0)</f>
        <v>0</v>
      </c>
      <c r="O1730" s="72" t="n">
        <f aca="false">IF(O1728&gt;0,O1695/O1728,0)</f>
        <v>0</v>
      </c>
    </row>
    <row r="1731" customFormat="false" ht="15" hidden="false" customHeight="false" outlineLevel="0" collapsed="false">
      <c r="B1731" s="65" t="s">
        <v>1068</v>
      </c>
      <c r="C1731" s="75" t="n">
        <f aca="false">IF((C1695+SUM(D1686:G1686)+SUM(D1716:G1716)+SUM(D1717:G1717)+SUM(D1715:G1715))&lt;=0,9.99,MIN(9.99,(C1726+SUM(D1714:G1714)+SUM(D1710:G1711)+MAX(0,MIN($AB$20*AN_cible,Emprunt_max*C1728)-C1727))/(C1695+SUM(D1686:G1686)+SUM(D1716:G1716)+SUM(D1717:G1717)+SUM(D1715:G1715))))</f>
        <v>1.16320927591822</v>
      </c>
      <c r="D1731" s="73" t="n">
        <f aca="false">IF((D1695+SUM(E1686:H1686)+SUM(E1716:H1716)+SUM(E1717:H1717)+SUM(E1715:H1715))&lt;=0,9.99,MIN(9.99,(D1726+SUM(E1714:H1714)+SUM(E1710:H1711)+MAX(0,MIN($AB$20*AN_cible,Emprunt_max*D1728)-D1727))/(D1695+SUM(E1686:H1686)+SUM(E1716:H1716)+SUM(E1717:H1717)+SUM(E1715:H1715))))</f>
        <v>1.17021511667065</v>
      </c>
      <c r="E1731" s="73" t="n">
        <f aca="false">IF((E1695+SUM(F1686:I1686)+SUM(F1716:I1716)+SUM(F1717:I1717)+SUM(F1715:I1715))&lt;=0,9.99,MIN(9.99,(E1726+SUM(F1714:I1714)+SUM(F1710:I1711)+MAX(0,MIN($AB$20*AN_cible,Emprunt_max*E1728)-E1727))/(E1695+SUM(F1686:I1686)+SUM(F1716:I1716)+SUM(F1717:I1717)+SUM(F1715:I1715))))</f>
        <v>1.23967713657384</v>
      </c>
      <c r="F1731" s="73" t="n">
        <f aca="false">IF((F1695+SUM(G1686:J1686)+SUM(G1716:J1716)+SUM(G1717:J1717)+SUM(G1715:J1715))&lt;=0,9.99,MIN(9.99,(F1726+SUM(G1714:J1714)+SUM(G1710:J1711)+MAX(0,MIN($AB$20*AN_cible,Emprunt_max*F1728)-F1727))/(F1695+SUM(G1686:J1686)+SUM(G1716:J1716)+SUM(G1717:J1717)+SUM(G1715:J1715))))</f>
        <v>1.25248759467826</v>
      </c>
      <c r="G1731" s="73" t="n">
        <f aca="false">IF((G1695+SUM(H1686:K1686)+SUM(H1716:K1716)+SUM(H1717:K1717)+SUM(H1715:K1715))&lt;=0,9.99,MIN(9.99,(G1726+SUM(H1714:K1714)+SUM(H1710:K1711)+MAX(0,MIN($AB$20*AN_cible,Emprunt_max*G1728)-G1727))/(G1695+SUM(H1686:K1686)+SUM(H1716:K1716)+SUM(H1717:K1717)+SUM(H1715:K1715))))</f>
        <v>1.32700159414989</v>
      </c>
      <c r="H1731" s="73" t="n">
        <f aca="false">IF((H1695+SUM(I1686:L1686)+SUM(I1716:L1716)+SUM(I1717:L1717)+SUM(I1715:L1715))&lt;=0,9.99,MIN(9.99,(H1726+SUM(I1714:L1714)+SUM(I1710:L1711)+MAX(0,MIN($AB$20*AN_cible,Emprunt_max*H1728)-H1727))/(H1695+SUM(I1686:L1686)+SUM(I1716:L1716)+SUM(I1717:L1717)+SUM(I1715:L1715))))</f>
        <v>1.35315626585484</v>
      </c>
      <c r="I1731" s="73" t="n">
        <f aca="false">IF((I1695+SUM(J1686:M1686)+SUM(J1716:M1716)+SUM(J1717:M1717)+SUM(J1715:M1715))&lt;=0,9.99,MIN(9.99,(I1726+SUM(J1714:M1714)+SUM(J1710:M1711)+MAX(0,MIN($AB$20*AN_cible,Emprunt_max*I1728)-I1727))/(I1695+SUM(J1686:M1686)+SUM(J1716:M1716)+SUM(J1717:M1717)+SUM(J1715:M1715))))</f>
        <v>1.43457987270997</v>
      </c>
      <c r="J1731" s="73" t="n">
        <f aca="false">IF((J1695+SUM(K1686:N1686)+SUM(K1716:N1716)+SUM(K1717:N1717)+SUM(K1715:N1715))&lt;=0,9.99,MIN(9.99,(J1726+SUM(K1714:N1714)+SUM(K1710:N1711)+MAX(0,MIN($AB$20*AN_cible,Emprunt_max*J1728)-J1727))/(J1695+SUM(K1686:N1686)+SUM(K1716:N1716)+SUM(K1717:N1717)+SUM(K1715:N1715))))</f>
        <v>1.48133543937567</v>
      </c>
      <c r="K1731" s="73" t="n">
        <f aca="false">IF((K1695+SUM(L1686:O1686)+SUM(L1716:O1716)+SUM(L1717:O1717)+SUM(L1715:O1715))&lt;=0,9.99,MIN(9.99,(K1726+SUM(L1714:O1714)+SUM(L1710:O1711)+MAX(0,MIN($AB$20*AN_cible,Emprunt_max*K1728)-K1727))/(K1695+SUM(L1686:O1686)+SUM(L1716:O1716)+SUM(L1717:O1717)+SUM(L1715:O1715))))</f>
        <v>1.57229682087179</v>
      </c>
      <c r="L1731" s="73" t="n">
        <f aca="false">IF((L1695+SUM(M1686:O1686)+SUM(M1716:O1716)+SUM(M1717:O1717)+SUM(M1715:O1715))&lt;=0,9.99,MIN(9.99,(L1726+SUM(M1714:O1714)+SUM(M1710:O1711)+MAX(0,MIN($AB$20*AN_cible,Emprunt_max*L1728)-L1727))/(L1695+SUM(M1686:O1686)+SUM(M1716:O1716)+SUM(M1717:O1717)+SUM(M1715:O1715))))</f>
        <v>1.9851580417931</v>
      </c>
      <c r="M1731" s="73" t="n">
        <f aca="false">IF((M1695+SUM(N1686:O1686)+SUM(N1716:O1716)+SUM(N1717:O1717)+SUM(N1715:O1715))&lt;=0,9.99,MIN(9.99,(M1726+SUM(N1714:O1714)+SUM(N1710:O1711)+MAX(0,MIN($AB$20*AN_cible,Emprunt_max*M1728)-M1727))/(M1695+SUM(N1686:O1686)+SUM(N1716:O1716)+SUM(N1717:O1717)+SUM(N1715:O1715))))</f>
        <v>2.31060862109891</v>
      </c>
      <c r="N1731" s="73" t="n">
        <f aca="false">IF((N1695+SUM(O1686:O1686)+SUM(O1716:O1716)+SUM(O1717:O1717)+SUM(O1715:O1715))&lt;=0,9.99,MIN(9.99,(N1726+SUM(O1714:O1714)+SUM(O1710:O1711)+MAX(0,MIN($AB$20*AN_cible,Emprunt_max*N1728)-N1727))/(N1695+SUM(O1686:O1686)+SUM(O1716:O1716)+SUM(O1717:O1717)+SUM(O1715:O1715))))</f>
        <v>5.05747320533316</v>
      </c>
      <c r="O1731" s="73" t="n">
        <f aca="false">9.99</f>
        <v>9.99</v>
      </c>
    </row>
    <row r="1732" customFormat="false" ht="15" hidden="false" customHeight="false" outlineLevel="0" collapsed="false">
      <c r="B1732" s="65" t="s">
        <v>1069</v>
      </c>
      <c r="C1732" s="72" t="n">
        <f aca="false">(C1698+C1699+C1700+C1701+C1706+C1707)/C1728</f>
        <v>1</v>
      </c>
      <c r="D1732" s="72" t="n">
        <f aca="false">(D1698+D1699+D1700+D1701+D1706+D1707)/D1728</f>
        <v>1.02360935138212</v>
      </c>
      <c r="E1732" s="72" t="n">
        <f aca="false">(E1698+E1699+E1700+E1701+E1706+E1707)/E1728</f>
        <v>0.993591330618362</v>
      </c>
      <c r="F1732" s="72" t="n">
        <f aca="false">(F1698+F1699+F1700+F1701+F1706+F1707)/F1728</f>
        <v>1.01519089063281</v>
      </c>
      <c r="G1732" s="72" t="n">
        <f aca="false">(G1698+G1699+G1700+G1701+G1706+G1707)/G1728</f>
        <v>0.986201121108067</v>
      </c>
      <c r="H1732" s="72" t="n">
        <f aca="false">(H1698+H1699+H1700+H1701+H1706+H1707)/H1728</f>
        <v>1.00785165487548</v>
      </c>
      <c r="I1732" s="72" t="n">
        <f aca="false">(I1698+I1699+I1700+I1701+I1706+I1707)/I1728</f>
        <v>0.979306577916085</v>
      </c>
      <c r="J1732" s="72" t="n">
        <f aca="false">(J1698+J1699+J1700+J1701+J1706+J1707)/J1728</f>
        <v>1.0015889406223</v>
      </c>
      <c r="K1732" s="72" t="n">
        <f aca="false">(K1698+K1699+K1700+K1701+K1706+K1707)/K1728</f>
        <v>0.97397026281578</v>
      </c>
      <c r="L1732" s="72" t="n">
        <f aca="false">(L1698+L1699+L1700+L1701+L1706+L1707)/L1728</f>
        <v>0.98165994808789</v>
      </c>
      <c r="M1732" s="72" t="n">
        <f aca="false">(M1698+M1699+M1700+M1701+M1706+M1707)/M1728</f>
        <v>0.955508456886754</v>
      </c>
      <c r="N1732" s="72" t="n">
        <f aca="false">(N1698+N1699+N1700+N1701+N1706+N1707)/N1728</f>
        <v>0.949414509766314</v>
      </c>
      <c r="O1732" s="72" t="n">
        <f aca="false">(O1698+O1699+O1700+O1701+O1706+O1707)/O1728</f>
        <v>0.925183245255085</v>
      </c>
    </row>
    <row r="1733" customFormat="false" ht="15" hidden="false" customHeight="false" outlineLevel="0" collapsed="false">
      <c r="B1733" s="65" t="s">
        <v>849</v>
      </c>
      <c r="C1733" s="72" t="n">
        <f aca="false">(C1728+C1727)/C1728</f>
        <v>1</v>
      </c>
      <c r="D1733" s="72" t="n">
        <f aca="false">(D1728+D1727)/D1728</f>
        <v>1</v>
      </c>
      <c r="E1733" s="72" t="n">
        <f aca="false">(E1728+E1727)/E1728</f>
        <v>1</v>
      </c>
      <c r="F1733" s="72" t="n">
        <f aca="false">(F1728+F1727)/F1728</f>
        <v>1</v>
      </c>
      <c r="G1733" s="72" t="n">
        <f aca="false">(G1728+G1727)/G1728</f>
        <v>1</v>
      </c>
      <c r="H1733" s="72" t="n">
        <f aca="false">(H1728+H1727)/H1728</f>
        <v>1</v>
      </c>
      <c r="I1733" s="72" t="n">
        <f aca="false">(I1728+I1727)/I1728</f>
        <v>1</v>
      </c>
      <c r="J1733" s="72" t="n">
        <f aca="false">(J1728+J1727)/J1728</f>
        <v>1</v>
      </c>
      <c r="K1733" s="72" t="n">
        <f aca="false">(K1728+K1727)/K1728</f>
        <v>1</v>
      </c>
      <c r="L1733" s="72" t="n">
        <f aca="false">(L1728+L1727)/L1728</f>
        <v>1</v>
      </c>
      <c r="M1733" s="72" t="n">
        <f aca="false">(M1728+M1727)/M1728</f>
        <v>1</v>
      </c>
      <c r="N1733" s="72" t="n">
        <f aca="false">(N1728+N1727)/N1728</f>
        <v>1</v>
      </c>
      <c r="O1733" s="72" t="n">
        <f aca="false">(O1728+O1727)/O1728</f>
        <v>1</v>
      </c>
    </row>
    <row r="1734" customFormat="false" ht="15" hidden="false" customHeight="false" outlineLevel="0" collapsed="false">
      <c r="B1734" s="65" t="s">
        <v>1070</v>
      </c>
      <c r="C1734" s="72" t="n">
        <f aca="false">(C1698+C1699*MSIG_USD)/C1728</f>
        <v>0.25</v>
      </c>
      <c r="D1734" s="72" t="n">
        <f aca="false">(D1698+D1699*MSIG_USD)/D1728</f>
        <v>0.269675444832274</v>
      </c>
      <c r="E1734" s="72" t="n">
        <f aca="false">(E1698+E1699*MSIG_USD)/E1728</f>
        <v>0.27541785707076</v>
      </c>
      <c r="F1734" s="72" t="n">
        <f aca="false">(F1698+F1699*MSIG_USD)/F1728</f>
        <v>0.295628758414858</v>
      </c>
      <c r="G1734" s="72" t="n">
        <f aca="false">(G1698+G1699*MSIG_USD)/G1728</f>
        <v>0.301260240286235</v>
      </c>
      <c r="H1734" s="72" t="n">
        <f aca="false">(H1698+H1699*MSIG_USD)/H1728</f>
        <v>0.3225047402423</v>
      </c>
      <c r="I1734" s="72" t="n">
        <f aca="false">(I1698+I1699*MSIG_USD)/I1728</f>
        <v>0.327814711194842</v>
      </c>
      <c r="J1734" s="72" t="n">
        <f aca="false">(J1698+J1699*MSIG_USD)/J1728</f>
        <v>0.350264738598829</v>
      </c>
      <c r="K1734" s="72" t="n">
        <f aca="false">(K1698+K1699*MSIG_USD)/K1728</f>
        <v>0.355381594975843</v>
      </c>
      <c r="L1734" s="72" t="n">
        <f aca="false">(L1698+L1699*MSIG_USD)/L1728</f>
        <v>0.373263039616939</v>
      </c>
      <c r="M1734" s="72" t="n">
        <f aca="false">(M1698+M1699*MSIG_USD)/M1728</f>
        <v>0.378156479470192</v>
      </c>
      <c r="N1734" s="72" t="n">
        <f aca="false">(N1698+N1699*MSIG_USD)/N1728</f>
        <v>0.390633521029598</v>
      </c>
      <c r="O1734" s="72" t="n">
        <f aca="false">(O1698+O1699*MSIG_USD)/O1728</f>
        <v>0.395299134922163</v>
      </c>
    </row>
    <row r="1735" customFormat="false" ht="15" hidden="false" customHeight="false" outlineLevel="0" collapsed="false">
      <c r="B1735" s="65" t="s">
        <v>1071</v>
      </c>
      <c r="C1735" s="25"/>
      <c r="D1735" s="65" t="n">
        <f aca="false">IF(AND($AB$9&lt;0.5*Collecte_norm,IF(D1679&lt;=$AB$11,0,$AB$10)&lt;0.5,IF(D1679&lt;=4,$AB$17,($AB$18+$AB$19)/2)&lt;0.7),1,0)</f>
        <v>0</v>
      </c>
      <c r="E1735" s="65" t="n">
        <f aca="false">IF(AND($AB$9&lt;0.5*Collecte_norm,IF(E1679&lt;=$AB$11,0,$AB$10)&lt;0.5,IF(E1679&lt;=4,$AB$17,($AB$18+$AB$19)/2)&lt;0.7),1,0)</f>
        <v>0</v>
      </c>
      <c r="F1735" s="65" t="n">
        <f aca="false">IF(AND($AB$9&lt;0.5*Collecte_norm,IF(F1679&lt;=$AB$11,0,$AB$10)&lt;0.5,IF(F1679&lt;=4,$AB$17,($AB$18+$AB$19)/2)&lt;0.7),1,0)</f>
        <v>0</v>
      </c>
      <c r="G1735" s="65" t="n">
        <f aca="false">IF(AND($AB$9&lt;0.5*Collecte_norm,IF(G1679&lt;=$AB$11,0,$AB$10)&lt;0.5,IF(G1679&lt;=4,$AB$17,($AB$18+$AB$19)/2)&lt;0.7),1,0)</f>
        <v>0</v>
      </c>
      <c r="H1735" s="65" t="n">
        <f aca="false">IF(AND($AB$9&lt;0.5*Collecte_norm,IF(H1679&lt;=$AB$11,0,$AB$10)&lt;0.5,IF(H1679&lt;=4,$AB$17,($AB$18+$AB$19)/2)&lt;0.7),1,0)</f>
        <v>0</v>
      </c>
      <c r="I1735" s="65" t="n">
        <f aca="false">IF(AND($AB$9&lt;0.5*Collecte_norm,IF(I1679&lt;=$AB$11,0,$AB$10)&lt;0.5,IF(I1679&lt;=4,$AB$17,($AB$18+$AB$19)/2)&lt;0.7),1,0)</f>
        <v>0</v>
      </c>
      <c r="J1735" s="65" t="n">
        <f aca="false">IF(AND($AB$9&lt;0.5*Collecte_norm,IF(J1679&lt;=$AB$11,0,$AB$10)&lt;0.5,IF(J1679&lt;=4,$AB$17,($AB$18+$AB$19)/2)&lt;0.7),1,0)</f>
        <v>0</v>
      </c>
      <c r="K1735" s="65" t="n">
        <f aca="false">IF(AND($AB$9&lt;0.5*Collecte_norm,IF(K1679&lt;=$AB$11,0,$AB$10)&lt;0.5,IF(K1679&lt;=4,$AB$17,($AB$18+$AB$19)/2)&lt;0.7),1,0)</f>
        <v>0</v>
      </c>
      <c r="L1735" s="65" t="n">
        <f aca="false">IF(AND($AB$9&lt;0.5*Collecte_norm,IF(L1679&lt;=$AB$11,0,$AB$10)&lt;0.5,IF(L1679&lt;=4,$AB$17,($AB$18+$AB$19)/2)&lt;0.7),1,0)</f>
        <v>0</v>
      </c>
      <c r="M1735" s="65" t="n">
        <f aca="false">IF(AND($AB$9&lt;0.5*Collecte_norm,IF(M1679&lt;=$AB$11,0,$AB$10)&lt;0.5,IF(M1679&lt;=4,$AB$17,($AB$18+$AB$19)/2)&lt;0.7),1,0)</f>
        <v>0</v>
      </c>
      <c r="N1735" s="65" t="n">
        <f aca="false">IF(AND($AB$9&lt;0.5*Collecte_norm,IF(N1679&lt;=$AB$11,0,$AB$10)&lt;0.5,IF(N1679&lt;=4,$AB$17,($AB$18+$AB$19)/2)&lt;0.7),1,0)</f>
        <v>0</v>
      </c>
      <c r="O1735" s="65" t="n">
        <f aca="false">IF(AND($AB$9&lt;0.5*Collecte_norm,IF(O1679&lt;=$AB$11,0,$AB$10)&lt;0.5,IF(O1679&lt;=4,$AB$17,($AB$18+$AB$19)/2)&lt;0.7),1,0)</f>
        <v>0</v>
      </c>
    </row>
    <row r="1736" customFormat="false" ht="15" hidden="false" customHeight="false" outlineLevel="0" collapsed="false">
      <c r="B1736" s="76" t="s">
        <v>1072</v>
      </c>
      <c r="C1736" s="76" t="n">
        <v>99</v>
      </c>
      <c r="D1736" s="76" t="n">
        <f aca="false">IF(D1696=1,D1682,99)</f>
        <v>1</v>
      </c>
      <c r="E1736" s="76" t="n">
        <f aca="false">IF(E1696=1,E1682,99)</f>
        <v>99</v>
      </c>
      <c r="F1736" s="76" t="n">
        <f aca="false">IF(F1696=1,F1682,99)</f>
        <v>2</v>
      </c>
      <c r="G1736" s="76" t="n">
        <f aca="false">IF(G1696=1,G1682,99)</f>
        <v>99</v>
      </c>
      <c r="H1736" s="76" t="n">
        <f aca="false">IF(H1696=1,H1682,99)</f>
        <v>3</v>
      </c>
      <c r="I1736" s="76" t="n">
        <f aca="false">IF(I1696=1,I1682,99)</f>
        <v>99</v>
      </c>
      <c r="J1736" s="76" t="n">
        <f aca="false">IF(J1696=1,J1682,99)</f>
        <v>4</v>
      </c>
      <c r="K1736" s="76" t="n">
        <f aca="false">IF(K1696=1,K1682,99)</f>
        <v>99</v>
      </c>
      <c r="L1736" s="76" t="n">
        <f aca="false">IF(L1696=1,L1682,99)</f>
        <v>99</v>
      </c>
      <c r="M1736" s="76" t="n">
        <f aca="false">IF(M1696=1,M1682,99)</f>
        <v>99</v>
      </c>
      <c r="N1736" s="76" t="n">
        <f aca="false">IF(N1696=1,N1682,99)</f>
        <v>99</v>
      </c>
      <c r="O1736" s="76" t="n">
        <f aca="false">IF(O1696=1,O1682,99)</f>
        <v>99</v>
      </c>
    </row>
    <row r="1737" customFormat="false" ht="15" hidden="false" customHeight="false" outlineLevel="0" collapsed="false">
      <c r="B1737" s="76" t="s">
        <v>1073</v>
      </c>
      <c r="C1737" s="76" t="n">
        <v>99</v>
      </c>
      <c r="D1737" s="76" t="n">
        <f aca="false">IF(AND(D1681=1,D1682&gt;MIN($D1736:$O1736),D1695&lt;=0.000001),D1682,99)</f>
        <v>99</v>
      </c>
      <c r="E1737" s="76" t="n">
        <f aca="false">IF(AND(E1681=1,E1682&gt;MIN($D1736:$O1736),E1695&lt;=0.000001),E1682,99)</f>
        <v>99</v>
      </c>
      <c r="F1737" s="76" t="n">
        <f aca="false">IF(AND(F1681=1,F1682&gt;MIN($D1736:$O1736),F1695&lt;=0.000001),F1682,99)</f>
        <v>99</v>
      </c>
      <c r="G1737" s="76" t="n">
        <f aca="false">IF(AND(G1681=1,G1682&gt;MIN($D1736:$O1736),G1695&lt;=0.000001),G1682,99)</f>
        <v>99</v>
      </c>
      <c r="H1737" s="76" t="n">
        <f aca="false">IF(AND(H1681=1,H1682&gt;MIN($D1736:$O1736),H1695&lt;=0.000001),H1682,99)</f>
        <v>99</v>
      </c>
      <c r="I1737" s="76" t="n">
        <f aca="false">IF(AND(I1681=1,I1682&gt;MIN($D1736:$O1736),I1695&lt;=0.000001),I1682,99)</f>
        <v>99</v>
      </c>
      <c r="J1737" s="76" t="n">
        <f aca="false">IF(AND(J1681=1,J1682&gt;MIN($D1736:$O1736),J1695&lt;=0.000001),J1682,99)</f>
        <v>99</v>
      </c>
      <c r="K1737" s="76" t="n">
        <f aca="false">IF(AND(K1681=1,K1682&gt;MIN($D1736:$O1736),K1695&lt;=0.000001),K1682,99)</f>
        <v>99</v>
      </c>
      <c r="L1737" s="76" t="n">
        <f aca="false">IF(AND(L1681=1,L1682&gt;MIN($D1736:$O1736),L1695&lt;=0.000001),L1682,99)</f>
        <v>5</v>
      </c>
      <c r="M1737" s="76" t="n">
        <f aca="false">IF(AND(M1681=1,M1682&gt;MIN($D1736:$O1736),M1695&lt;=0.000001),M1682,99)</f>
        <v>99</v>
      </c>
      <c r="N1737" s="76" t="n">
        <f aca="false">IF(AND(N1681=1,N1682&gt;MIN($D1736:$O1736),N1695&lt;=0.000001),N1682,99)</f>
        <v>6</v>
      </c>
      <c r="O1737" s="76" t="n">
        <f aca="false">IF(AND(O1681=1,O1682&gt;MIN($D1736:$O1736),O1695&lt;=0.000001),O1682,99)</f>
        <v>99</v>
      </c>
    </row>
    <row r="1738" customFormat="false" ht="15" hidden="false" customHeight="false" outlineLevel="0" collapsed="false">
      <c r="B1738" s="76" t="s">
        <v>1074</v>
      </c>
      <c r="C1738" s="76" t="n">
        <v>9999999</v>
      </c>
      <c r="D1738" s="76" t="n">
        <f aca="false">IF(D1693=1,D1680,9999999)</f>
        <v>9999999</v>
      </c>
      <c r="E1738" s="76" t="n">
        <f aca="false">IF(E1693=1,E1680,9999999)</f>
        <v>9999999</v>
      </c>
      <c r="F1738" s="76" t="n">
        <f aca="false">IF(F1693=1,F1680,9999999)</f>
        <v>9999999</v>
      </c>
      <c r="G1738" s="76" t="n">
        <f aca="false">IF(G1693=1,G1680,9999999)</f>
        <v>9999999</v>
      </c>
      <c r="H1738" s="76" t="n">
        <f aca="false">IF(H1693=1,H1680,9999999)</f>
        <v>9999999</v>
      </c>
      <c r="I1738" s="76" t="n">
        <f aca="false">IF(I1693=1,I1680,9999999)</f>
        <v>9999999</v>
      </c>
      <c r="J1738" s="76" t="n">
        <f aca="false">IF(J1693=1,J1680,9999999)</f>
        <v>9999999</v>
      </c>
      <c r="K1738" s="76" t="n">
        <f aca="false">IF(K1693=1,K1680,9999999)</f>
        <v>9999999</v>
      </c>
      <c r="L1738" s="76" t="n">
        <f aca="false">IF(L1693=1,L1680,9999999)</f>
        <v>9999999</v>
      </c>
      <c r="M1738" s="76" t="n">
        <f aca="false">IF(M1693=1,M1680,9999999)</f>
        <v>9999999</v>
      </c>
      <c r="N1738" s="76" t="n">
        <f aca="false">IF(N1693=1,N1680,9999999)</f>
        <v>9999999</v>
      </c>
      <c r="O1738" s="76" t="n">
        <f aca="false">IF(O1693=1,O1680,9999999)</f>
        <v>9999999</v>
      </c>
    </row>
    <row r="1739" customFormat="false" ht="15" hidden="false" customHeight="false" outlineLevel="0" collapsed="false">
      <c r="B1739" s="76" t="s">
        <v>1075</v>
      </c>
      <c r="C1739" s="76" t="n">
        <v>9999999</v>
      </c>
      <c r="D1739" s="76" t="n">
        <f aca="false">IF(D1735=1,D1680,9999999)</f>
        <v>9999999</v>
      </c>
      <c r="E1739" s="76" t="n">
        <f aca="false">IF(E1735=1,E1680,9999999)</f>
        <v>9999999</v>
      </c>
      <c r="F1739" s="76" t="n">
        <f aca="false">IF(F1735=1,F1680,9999999)</f>
        <v>9999999</v>
      </c>
      <c r="G1739" s="76" t="n">
        <f aca="false">IF(G1735=1,G1680,9999999)</f>
        <v>9999999</v>
      </c>
      <c r="H1739" s="76" t="n">
        <f aca="false">IF(H1735=1,H1680,9999999)</f>
        <v>9999999</v>
      </c>
      <c r="I1739" s="76" t="n">
        <f aca="false">IF(I1735=1,I1680,9999999)</f>
        <v>9999999</v>
      </c>
      <c r="J1739" s="76" t="n">
        <f aca="false">IF(J1735=1,J1680,9999999)</f>
        <v>9999999</v>
      </c>
      <c r="K1739" s="76" t="n">
        <f aca="false">IF(K1735=1,K1680,9999999)</f>
        <v>9999999</v>
      </c>
      <c r="L1739" s="76" t="n">
        <f aca="false">IF(L1735=1,L1680,9999999)</f>
        <v>9999999</v>
      </c>
      <c r="M1739" s="76" t="n">
        <f aca="false">IF(M1735=1,M1680,9999999)</f>
        <v>9999999</v>
      </c>
      <c r="N1739" s="76" t="n">
        <f aca="false">IF(N1735=1,N1680,9999999)</f>
        <v>9999999</v>
      </c>
      <c r="O1739" s="76" t="n">
        <f aca="false">IF(O1735=1,O1680,9999999)</f>
        <v>9999999</v>
      </c>
    </row>
    <row r="1744" customFormat="false" ht="15" hidden="false" customHeight="false" outlineLevel="0" collapsed="false">
      <c r="B1744" s="45" t="str">
        <f aca="false">AC$5</f>
        <v>Porteur unique 20 % à une date</v>
      </c>
      <c r="C1744" s="45" t="s">
        <v>55</v>
      </c>
      <c r="D1744" s="45" t="n">
        <v>27</v>
      </c>
      <c r="E1744" s="2"/>
      <c r="F1744" s="2"/>
      <c r="G1744" s="2"/>
      <c r="H1744" s="2"/>
      <c r="I1744" s="2"/>
      <c r="J1744" s="2"/>
      <c r="K1744" s="2"/>
      <c r="L1744" s="2"/>
      <c r="M1744" s="2"/>
      <c r="N1744" s="2"/>
      <c r="O1744" s="2"/>
    </row>
    <row r="1745" customFormat="false" ht="15" hidden="false" customHeight="false" outlineLevel="0" collapsed="false">
      <c r="B1745" s="65" t="s">
        <v>1019</v>
      </c>
      <c r="C1745" s="65" t="n">
        <v>0</v>
      </c>
      <c r="D1745" s="65" t="n">
        <v>1</v>
      </c>
      <c r="E1745" s="65" t="n">
        <v>2</v>
      </c>
      <c r="F1745" s="65" t="n">
        <v>3</v>
      </c>
      <c r="G1745" s="65" t="n">
        <v>4</v>
      </c>
      <c r="H1745" s="65" t="n">
        <v>5</v>
      </c>
      <c r="I1745" s="65" t="n">
        <v>6</v>
      </c>
      <c r="J1745" s="65" t="n">
        <v>7</v>
      </c>
      <c r="K1745" s="65" t="n">
        <v>8</v>
      </c>
      <c r="L1745" s="65" t="n">
        <v>9</v>
      </c>
      <c r="M1745" s="65" t="n">
        <v>10</v>
      </c>
      <c r="N1745" s="65" t="n">
        <v>11</v>
      </c>
      <c r="O1745" s="65" t="n">
        <v>12</v>
      </c>
    </row>
    <row r="1746" customFormat="false" ht="15" hidden="false" customHeight="false" outlineLevel="0" collapsed="false">
      <c r="B1746" s="65" t="s">
        <v>209</v>
      </c>
      <c r="C1746" s="71" t="n">
        <f aca="false">Date_depart</f>
        <v>47026</v>
      </c>
      <c r="D1746" s="71" t="n">
        <f aca="false">EOMONTH(Date_depart,3*D1745)</f>
        <v>47118</v>
      </c>
      <c r="E1746" s="71" t="n">
        <f aca="false">EOMONTH(Date_depart,3*E1745)</f>
        <v>47208</v>
      </c>
      <c r="F1746" s="71" t="n">
        <f aca="false">EOMONTH(Date_depart,3*F1745)</f>
        <v>47299</v>
      </c>
      <c r="G1746" s="71" t="n">
        <f aca="false">EOMONTH(Date_depart,3*G1745)</f>
        <v>47391</v>
      </c>
      <c r="H1746" s="71" t="n">
        <f aca="false">EOMONTH(Date_depart,3*H1745)</f>
        <v>47483</v>
      </c>
      <c r="I1746" s="71" t="n">
        <f aca="false">EOMONTH(Date_depart,3*I1745)</f>
        <v>47573</v>
      </c>
      <c r="J1746" s="71" t="n">
        <f aca="false">EOMONTH(Date_depart,3*J1745)</f>
        <v>47664</v>
      </c>
      <c r="K1746" s="71" t="n">
        <f aca="false">EOMONTH(Date_depart,3*K1745)</f>
        <v>47756</v>
      </c>
      <c r="L1746" s="71" t="n">
        <f aca="false">EOMONTH(Date_depart,3*L1745)</f>
        <v>47848</v>
      </c>
      <c r="M1746" s="71" t="n">
        <f aca="false">EOMONTH(Date_depart,3*M1745)</f>
        <v>47938</v>
      </c>
      <c r="N1746" s="71" t="n">
        <f aca="false">EOMONTH(Date_depart,3*N1745)</f>
        <v>48029</v>
      </c>
      <c r="O1746" s="71" t="n">
        <f aca="false">EOMONTH(Date_depart,3*O1745)</f>
        <v>48121</v>
      </c>
    </row>
    <row r="1747" customFormat="false" ht="15" hidden="false" customHeight="false" outlineLevel="0" collapsed="false">
      <c r="B1747" s="65" t="s">
        <v>1020</v>
      </c>
      <c r="C1747" s="65" t="n">
        <v>0</v>
      </c>
      <c r="D1747" s="65" t="n">
        <f aca="false">IF(OR(MONTH(D1746)=6,MONTH(D1746)=12),1,0)</f>
        <v>1</v>
      </c>
      <c r="E1747" s="65" t="n">
        <f aca="false">IF(OR(MONTH(E1746)=6,MONTH(E1746)=12),1,0)</f>
        <v>0</v>
      </c>
      <c r="F1747" s="65" t="n">
        <f aca="false">IF(OR(MONTH(F1746)=6,MONTH(F1746)=12),1,0)</f>
        <v>1</v>
      </c>
      <c r="G1747" s="65" t="n">
        <f aca="false">IF(OR(MONTH(G1746)=6,MONTH(G1746)=12),1,0)</f>
        <v>0</v>
      </c>
      <c r="H1747" s="65" t="n">
        <f aca="false">IF(OR(MONTH(H1746)=6,MONTH(H1746)=12),1,0)</f>
        <v>1</v>
      </c>
      <c r="I1747" s="65" t="n">
        <f aca="false">IF(OR(MONTH(I1746)=6,MONTH(I1746)=12),1,0)</f>
        <v>0</v>
      </c>
      <c r="J1747" s="65" t="n">
        <f aca="false">IF(OR(MONTH(J1746)=6,MONTH(J1746)=12),1,0)</f>
        <v>1</v>
      </c>
      <c r="K1747" s="65" t="n">
        <f aca="false">IF(OR(MONTH(K1746)=6,MONTH(K1746)=12),1,0)</f>
        <v>0</v>
      </c>
      <c r="L1747" s="65" t="n">
        <f aca="false">IF(OR(MONTH(L1746)=6,MONTH(L1746)=12),1,0)</f>
        <v>1</v>
      </c>
      <c r="M1747" s="65" t="n">
        <f aca="false">IF(OR(MONTH(M1746)=6,MONTH(M1746)=12),1,0)</f>
        <v>0</v>
      </c>
      <c r="N1747" s="65" t="n">
        <f aca="false">IF(OR(MONTH(N1746)=6,MONTH(N1746)=12),1,0)</f>
        <v>1</v>
      </c>
      <c r="O1747" s="65" t="n">
        <f aca="false">IF(OR(MONTH(O1746)=6,MONTH(O1746)=12),1,0)</f>
        <v>0</v>
      </c>
    </row>
    <row r="1748" customFormat="false" ht="15" hidden="false" customHeight="false" outlineLevel="0" collapsed="false">
      <c r="B1748" s="65" t="s">
        <v>1021</v>
      </c>
      <c r="C1748" s="65" t="n">
        <v>0</v>
      </c>
      <c r="D1748" s="65" t="n">
        <f aca="false">C1748+D1747</f>
        <v>1</v>
      </c>
      <c r="E1748" s="65" t="n">
        <f aca="false">D1748+E1747</f>
        <v>1</v>
      </c>
      <c r="F1748" s="65" t="n">
        <f aca="false">E1748+F1747</f>
        <v>2</v>
      </c>
      <c r="G1748" s="65" t="n">
        <f aca="false">F1748+G1747</f>
        <v>2</v>
      </c>
      <c r="H1748" s="65" t="n">
        <f aca="false">G1748+H1747</f>
        <v>3</v>
      </c>
      <c r="I1748" s="65" t="n">
        <f aca="false">H1748+I1747</f>
        <v>3</v>
      </c>
      <c r="J1748" s="65" t="n">
        <f aca="false">I1748+J1747</f>
        <v>4</v>
      </c>
      <c r="K1748" s="65" t="n">
        <f aca="false">J1748+K1747</f>
        <v>4</v>
      </c>
      <c r="L1748" s="65" t="n">
        <f aca="false">K1748+L1747</f>
        <v>5</v>
      </c>
      <c r="M1748" s="65" t="n">
        <f aca="false">L1748+M1747</f>
        <v>5</v>
      </c>
      <c r="N1748" s="65" t="n">
        <f aca="false">M1748+N1747</f>
        <v>6</v>
      </c>
      <c r="O1748" s="65" t="n">
        <f aca="false">N1748+O1747</f>
        <v>6</v>
      </c>
    </row>
    <row r="1749" customFormat="false" ht="15" hidden="false" customHeight="false" outlineLevel="0" collapsed="false">
      <c r="B1749" s="65" t="s">
        <v>1022</v>
      </c>
      <c r="C1749" s="25"/>
      <c r="D1749" s="72" t="n">
        <f aca="false">IF(D1747=1,IF(C1759=1,0,IF(D1748=1,$AC$6,IF(D1748=2,$AC$7,$AC$8))),0)</f>
        <v>0.2</v>
      </c>
      <c r="E1749" s="72" t="n">
        <f aca="false">IF(E1747=1,IF(D1759=1,0,IF(E1748=1,$AC$6,IF(E1748=2,$AC$7,$AC$8))),0)</f>
        <v>0</v>
      </c>
      <c r="F1749" s="72" t="n">
        <f aca="false">IF(F1747=1,IF(E1759=1,0,IF(F1748=1,$AC$6,IF(F1748=2,$AC$7,$AC$8))),0)</f>
        <v>0.02</v>
      </c>
      <c r="G1749" s="72" t="n">
        <f aca="false">IF(G1747=1,IF(F1759=1,0,IF(G1748=1,$AC$6,IF(G1748=2,$AC$7,$AC$8))),0)</f>
        <v>0</v>
      </c>
      <c r="H1749" s="72" t="n">
        <f aca="false">IF(H1747=1,IF(G1759=1,0,IF(H1748=1,$AC$6,IF(H1748=2,$AC$7,$AC$8))),0)</f>
        <v>0.02</v>
      </c>
      <c r="I1749" s="72" t="n">
        <f aca="false">IF(I1747=1,IF(H1759=1,0,IF(I1748=1,$AC$6,IF(I1748=2,$AC$7,$AC$8))),0)</f>
        <v>0</v>
      </c>
      <c r="J1749" s="72" t="n">
        <f aca="false">IF(J1747=1,IF(I1759=1,0,IF(J1748=1,$AC$6,IF(J1748=2,$AC$7,$AC$8))),0)</f>
        <v>0.02</v>
      </c>
      <c r="K1749" s="72" t="n">
        <f aca="false">IF(K1747=1,IF(J1759=1,0,IF(K1748=1,$AC$6,IF(K1748=2,$AC$7,$AC$8))),0)</f>
        <v>0</v>
      </c>
      <c r="L1749" s="72" t="n">
        <f aca="false">IF(L1747=1,IF(K1759=1,0,IF(L1748=1,$AC$6,IF(L1748=2,$AC$7,$AC$8))),0)</f>
        <v>0.02</v>
      </c>
      <c r="M1749" s="72" t="n">
        <f aca="false">IF(M1747=1,IF(L1759=1,0,IF(M1748=1,$AC$6,IF(M1748=2,$AC$7,$AC$8))),0)</f>
        <v>0</v>
      </c>
      <c r="N1749" s="72" t="n">
        <f aca="false">IF(N1747=1,IF(M1759=1,0,IF(N1748=1,$AC$6,IF(N1748=2,$AC$7,$AC$8))),0)</f>
        <v>0</v>
      </c>
      <c r="O1749" s="72" t="n">
        <f aca="false">IF(O1747=1,IF(N1759=1,0,IF(O1748=1,$AC$6,IF(O1748=2,$AC$7,$AC$8))),0)</f>
        <v>0</v>
      </c>
    </row>
    <row r="1750" customFormat="false" ht="15" hidden="false" customHeight="false" outlineLevel="0" collapsed="false">
      <c r="B1750" s="65" t="s">
        <v>1023</v>
      </c>
      <c r="C1750" s="25"/>
      <c r="D1750" s="73" t="n">
        <f aca="false">C1794</f>
        <v>50000000</v>
      </c>
      <c r="E1750" s="73" t="n">
        <f aca="false">D1794</f>
        <v>48100643.75</v>
      </c>
      <c r="F1750" s="73" t="n">
        <f aca="false">E1794</f>
        <v>48823151.7132813</v>
      </c>
      <c r="G1750" s="73" t="n">
        <f aca="false">F1794</f>
        <v>47105173.9904901</v>
      </c>
      <c r="H1750" s="73" t="n">
        <f aca="false">G1794</f>
        <v>47826489.4455393</v>
      </c>
      <c r="I1750" s="73" t="n">
        <f aca="false">H1794</f>
        <v>46183889.2303444</v>
      </c>
      <c r="J1750" s="73" t="n">
        <f aca="false">I1794</f>
        <v>46930729.0550004</v>
      </c>
      <c r="K1750" s="73" t="n">
        <f aca="false">J1794</f>
        <v>45332651.4154555</v>
      </c>
      <c r="L1750" s="73" t="n">
        <f aca="false">K1794</f>
        <v>46080299.0246774</v>
      </c>
      <c r="M1750" s="73" t="n">
        <f aca="false">L1794</f>
        <v>46830553.4993366</v>
      </c>
      <c r="N1750" s="73" t="n">
        <f aca="false">M1794</f>
        <v>47583889.5702456</v>
      </c>
      <c r="O1750" s="73" t="n">
        <f aca="false">N1794</f>
        <v>48340768.6984106</v>
      </c>
    </row>
    <row r="1751" customFormat="false" ht="15" hidden="false" customHeight="false" outlineLevel="0" collapsed="false">
      <c r="B1751" s="65" t="s">
        <v>177</v>
      </c>
      <c r="C1751" s="25"/>
      <c r="D1751" s="73" t="n">
        <f aca="false">IF(C1759=1,0,$AC$9*D1750)</f>
        <v>0</v>
      </c>
      <c r="E1751" s="73" t="n">
        <f aca="false">IF(D1759=1,0,$AC$9*E1750)</f>
        <v>0</v>
      </c>
      <c r="F1751" s="73" t="n">
        <f aca="false">IF(E1759=1,0,$AC$9*F1750)</f>
        <v>0</v>
      </c>
      <c r="G1751" s="73" t="n">
        <f aca="false">IF(F1759=1,0,$AC$9*G1750)</f>
        <v>0</v>
      </c>
      <c r="H1751" s="73" t="n">
        <f aca="false">IF(G1759=1,0,$AC$9*H1750)</f>
        <v>0</v>
      </c>
      <c r="I1751" s="73" t="n">
        <f aca="false">IF(H1759=1,0,$AC$9*I1750)</f>
        <v>0</v>
      </c>
      <c r="J1751" s="73" t="n">
        <f aca="false">IF(I1759=1,0,$AC$9*J1750)</f>
        <v>0</v>
      </c>
      <c r="K1751" s="73" t="n">
        <f aca="false">IF(J1759=1,0,$AC$9*K1750)</f>
        <v>0</v>
      </c>
      <c r="L1751" s="73" t="n">
        <f aca="false">IF(K1759=1,0,$AC$9*L1750)</f>
        <v>0</v>
      </c>
      <c r="M1751" s="73" t="n">
        <f aca="false">IF(L1759=1,0,$AC$9*M1750)</f>
        <v>0</v>
      </c>
      <c r="N1751" s="73" t="n">
        <f aca="false">IF(M1759=1,0,$AC$9*N1750)</f>
        <v>0</v>
      </c>
      <c r="O1751" s="73" t="n">
        <f aca="false">IF(N1759=1,0,$AC$9*O1750)</f>
        <v>0</v>
      </c>
    </row>
    <row r="1752" customFormat="false" ht="15" hidden="false" customHeight="false" outlineLevel="0" collapsed="false">
      <c r="B1752" s="65" t="s">
        <v>1024</v>
      </c>
      <c r="C1752" s="25"/>
      <c r="D1752" s="73" t="n">
        <f aca="false">D1749*D1750</f>
        <v>10000000</v>
      </c>
      <c r="E1752" s="73" t="n">
        <f aca="false">E1749*E1750</f>
        <v>0</v>
      </c>
      <c r="F1752" s="73" t="n">
        <f aca="false">F1749*F1750</f>
        <v>976463.034265625</v>
      </c>
      <c r="G1752" s="73" t="n">
        <f aca="false">G1749*G1750</f>
        <v>0</v>
      </c>
      <c r="H1752" s="73" t="n">
        <f aca="false">H1749*H1750</f>
        <v>956529.788910786</v>
      </c>
      <c r="I1752" s="73" t="n">
        <f aca="false">I1749*I1750</f>
        <v>0</v>
      </c>
      <c r="J1752" s="73" t="n">
        <f aca="false">J1749*J1750</f>
        <v>938614.581100009</v>
      </c>
      <c r="K1752" s="73" t="n">
        <f aca="false">K1749*K1750</f>
        <v>0</v>
      </c>
      <c r="L1752" s="73" t="n">
        <f aca="false">L1749*L1750</f>
        <v>921605.980493548</v>
      </c>
      <c r="M1752" s="73" t="n">
        <f aca="false">M1749*M1750</f>
        <v>0</v>
      </c>
      <c r="N1752" s="73" t="n">
        <f aca="false">N1749*N1750</f>
        <v>0</v>
      </c>
      <c r="O1752" s="73" t="n">
        <f aca="false">O1749*O1750</f>
        <v>0</v>
      </c>
    </row>
    <row r="1753" customFormat="false" ht="15" hidden="false" customHeight="false" outlineLevel="0" collapsed="false">
      <c r="B1753" s="65" t="s">
        <v>1025</v>
      </c>
      <c r="C1753" s="25"/>
      <c r="D1753" s="73" t="n">
        <f aca="false">C1761</f>
        <v>0</v>
      </c>
      <c r="E1753" s="73" t="n">
        <f aca="false">D1761</f>
        <v>7500000</v>
      </c>
      <c r="F1753" s="73" t="n">
        <f aca="false">E1761</f>
        <v>7500000</v>
      </c>
      <c r="G1753" s="73" t="n">
        <f aca="false">F1761</f>
        <v>6035305.44860156</v>
      </c>
      <c r="H1753" s="73" t="n">
        <f aca="false">G1761</f>
        <v>6035305.44860156</v>
      </c>
      <c r="I1753" s="73" t="n">
        <f aca="false">H1761</f>
        <v>4600510.76523538</v>
      </c>
      <c r="J1753" s="73" t="n">
        <f aca="false">I1761</f>
        <v>4600510.76523538</v>
      </c>
      <c r="K1753" s="73" t="n">
        <f aca="false">J1761</f>
        <v>3192588.89358537</v>
      </c>
      <c r="L1753" s="73" t="n">
        <f aca="false">K1761</f>
        <v>3192588.89358537</v>
      </c>
      <c r="M1753" s="73" t="n">
        <f aca="false">L1761</f>
        <v>4114194.87407892</v>
      </c>
      <c r="N1753" s="73" t="n">
        <f aca="false">M1761</f>
        <v>4114194.87407892</v>
      </c>
      <c r="O1753" s="73" t="n">
        <f aca="false">N1761</f>
        <v>4114194.87407892</v>
      </c>
    </row>
    <row r="1754" customFormat="false" ht="15" hidden="false" customHeight="false" outlineLevel="0" collapsed="false">
      <c r="B1754" s="65" t="s">
        <v>1026</v>
      </c>
      <c r="C1754" s="25"/>
      <c r="D1754" s="73" t="n">
        <f aca="false">D1752+D1753</f>
        <v>10000000</v>
      </c>
      <c r="E1754" s="73" t="n">
        <f aca="false">E1752+E1753</f>
        <v>7500000</v>
      </c>
      <c r="F1754" s="73" t="n">
        <f aca="false">F1752+F1753</f>
        <v>8476463.03426562</v>
      </c>
      <c r="G1754" s="73" t="n">
        <f aca="false">G1752+G1753</f>
        <v>6035305.44860156</v>
      </c>
      <c r="H1754" s="73" t="n">
        <f aca="false">H1752+H1753</f>
        <v>6991835.23751235</v>
      </c>
      <c r="I1754" s="73" t="n">
        <f aca="false">I1752+I1753</f>
        <v>4600510.76523538</v>
      </c>
      <c r="J1754" s="73" t="n">
        <f aca="false">J1752+J1753</f>
        <v>5539125.34633539</v>
      </c>
      <c r="K1754" s="73" t="n">
        <f aca="false">K1752+K1753</f>
        <v>3192588.89358537</v>
      </c>
      <c r="L1754" s="73" t="n">
        <f aca="false">L1752+L1753</f>
        <v>4114194.87407892</v>
      </c>
      <c r="M1754" s="73" t="n">
        <f aca="false">M1752+M1753</f>
        <v>4114194.87407892</v>
      </c>
      <c r="N1754" s="73" t="n">
        <f aca="false">N1752+N1753</f>
        <v>4114194.87407892</v>
      </c>
      <c r="O1754" s="73" t="n">
        <f aca="false">O1752+O1753</f>
        <v>4114194.87407892</v>
      </c>
    </row>
    <row r="1755" customFormat="false" ht="15" hidden="false" customHeight="false" outlineLevel="0" collapsed="false">
      <c r="B1755" s="65" t="s">
        <v>1027</v>
      </c>
      <c r="C1755" s="25"/>
      <c r="D1755" s="73" t="n">
        <f aca="false">IF($AC$21=1,Gate*D1750+D1751,D1754)</f>
        <v>2500000</v>
      </c>
      <c r="E1755" s="73" t="n">
        <f aca="false">IF($AC$21=1,Gate*E1750+E1751,E1754)</f>
        <v>2405032.1875</v>
      </c>
      <c r="F1755" s="73" t="n">
        <f aca="false">IF($AC$21=1,Gate*F1750+F1751,F1754)</f>
        <v>2441157.58566406</v>
      </c>
      <c r="G1755" s="73" t="n">
        <f aca="false">IF($AC$21=1,Gate*G1750+G1751,G1754)</f>
        <v>2355258.6995245</v>
      </c>
      <c r="H1755" s="73" t="n">
        <f aca="false">IF($AC$21=1,Gate*H1750+H1751,H1754)</f>
        <v>2391324.47227697</v>
      </c>
      <c r="I1755" s="73" t="n">
        <f aca="false">IF($AC$21=1,Gate*I1750+I1751,I1754)</f>
        <v>2309194.46151722</v>
      </c>
      <c r="J1755" s="73" t="n">
        <f aca="false">IF($AC$21=1,Gate*J1750+J1751,J1754)</f>
        <v>2346536.45275002</v>
      </c>
      <c r="K1755" s="73" t="n">
        <f aca="false">IF($AC$21=1,Gate*K1750+K1751,K1754)</f>
        <v>2266632.57077278</v>
      </c>
      <c r="L1755" s="73" t="n">
        <f aca="false">IF($AC$21=1,Gate*L1750+L1751,L1754)</f>
        <v>2304014.95123387</v>
      </c>
      <c r="M1755" s="73" t="n">
        <f aca="false">IF($AC$21=1,Gate*M1750+M1751,M1754)</f>
        <v>2341527.67496683</v>
      </c>
      <c r="N1755" s="73" t="n">
        <f aca="false">IF($AC$21=1,Gate*N1750+N1751,N1754)</f>
        <v>2379194.47851228</v>
      </c>
      <c r="O1755" s="73" t="n">
        <f aca="false">IF($AC$21=1,Gate*O1750+O1751,O1754)</f>
        <v>2417038.43492053</v>
      </c>
    </row>
    <row r="1756" customFormat="false" ht="15" hidden="false" customHeight="false" outlineLevel="0" collapsed="false">
      <c r="B1756" s="65" t="s">
        <v>1028</v>
      </c>
      <c r="C1756" s="25"/>
      <c r="D1756" s="73" t="n">
        <f aca="false">IF(D1747=1,MIN(D1754,D1755),0)</f>
        <v>2500000</v>
      </c>
      <c r="E1756" s="73" t="n">
        <f aca="false">IF(E1747=1,MIN(E1754,E1755),0)</f>
        <v>0</v>
      </c>
      <c r="F1756" s="73" t="n">
        <f aca="false">IF(F1747=1,MIN(F1754,F1755),0)</f>
        <v>2441157.58566406</v>
      </c>
      <c r="G1756" s="73" t="n">
        <f aca="false">IF(G1747=1,MIN(G1754,G1755),0)</f>
        <v>0</v>
      </c>
      <c r="H1756" s="73" t="n">
        <f aca="false">IF(H1747=1,MIN(H1754,H1755),0)</f>
        <v>2391324.47227697</v>
      </c>
      <c r="I1756" s="73" t="n">
        <f aca="false">IF(I1747=1,MIN(I1754,I1755),0)</f>
        <v>0</v>
      </c>
      <c r="J1756" s="73" t="n">
        <f aca="false">IF(J1747=1,MIN(J1754,J1755),0)</f>
        <v>2346536.45275002</v>
      </c>
      <c r="K1756" s="73" t="n">
        <f aca="false">IF(K1747=1,MIN(K1754,K1755),0)</f>
        <v>0</v>
      </c>
      <c r="L1756" s="73" t="n">
        <f aca="false">IF(L1747=1,MIN(L1754,L1755),0)</f>
        <v>2304014.95123387</v>
      </c>
      <c r="M1756" s="73" t="n">
        <f aca="false">IF(M1747=1,MIN(M1754,M1755),0)</f>
        <v>0</v>
      </c>
      <c r="N1756" s="73" t="n">
        <f aca="false">IF(N1747=1,MIN(N1754,N1755),0)</f>
        <v>2379194.47851228</v>
      </c>
      <c r="O1756" s="73" t="n">
        <f aca="false">IF(O1747=1,MIN(O1754,O1755),0)</f>
        <v>0</v>
      </c>
    </row>
    <row r="1757" customFormat="false" ht="15" hidden="false" customHeight="false" outlineLevel="0" collapsed="false">
      <c r="B1757" s="65" t="s">
        <v>1029</v>
      </c>
      <c r="C1757" s="25"/>
      <c r="D1757" s="73" t="n">
        <f aca="false">MAX(0,D1785+D1776+D1777-Poche_min_exec*D1750-D1756-SUM(E1782:F1782)+MAX(0,MIN($AC$20*AN_cible,Emprunt_max*D1750)-C1793))</f>
        <v>0</v>
      </c>
      <c r="E1757" s="73" t="n">
        <f aca="false">MAX(0,E1785+E1776+E1777-Poche_min_exec*E1750-E1756-SUM(F1782:G1782)+MAX(0,MIN($AC$20*AN_cible,Emprunt_max*E1750)-D1793))</f>
        <v>502827.0625</v>
      </c>
      <c r="F1757" s="73" t="n">
        <f aca="false">MAX(0,F1785+F1776+F1777-Poche_min_exec*F1750-F1756-SUM(G1782:H1782)+MAX(0,MIN($AC$20*AN_cible,Emprunt_max*F1750)-E1793))</f>
        <v>0</v>
      </c>
      <c r="G1757" s="73" t="n">
        <f aca="false">MAX(0,G1785+G1776+G1777-Poche_min_exec*G1750-G1756-SUM(H1782:I1782)+MAX(0,MIN($AC$20*AN_cible,Emprunt_max*G1750)-F1793))</f>
        <v>0</v>
      </c>
      <c r="H1757" s="73" t="n">
        <f aca="false">MAX(0,H1785+H1776+H1777-Poche_min_exec*H1750-H1756-SUM(I1782:J1782)+MAX(0,MIN($AC$20*AN_cible,Emprunt_max*H1750)-G1793))</f>
        <v>0</v>
      </c>
      <c r="I1757" s="73" t="n">
        <f aca="false">MAX(0,I1785+I1776+I1777-Poche_min_exec*I1750-I1756-SUM(J1782:K1782)+MAX(0,MIN($AC$20*AN_cible,Emprunt_max*I1750)-H1793))</f>
        <v>0</v>
      </c>
      <c r="J1757" s="73" t="n">
        <f aca="false">MAX(0,J1785+J1776+J1777-Poche_min_exec*J1750-J1756-SUM(K1782:L1782)+MAX(0,MIN($AC$20*AN_cible,Emprunt_max*J1750)-I1793))</f>
        <v>0</v>
      </c>
      <c r="K1757" s="73" t="n">
        <f aca="false">MAX(0,K1785+K1776+K1777-Poche_min_exec*K1750-K1756-SUM(L1782:M1782)+MAX(0,MIN($AC$20*AN_cible,Emprunt_max*K1750)-J1793))</f>
        <v>0</v>
      </c>
      <c r="L1757" s="73" t="n">
        <f aca="false">MAX(0,L1785+L1776+L1777-Poche_min_exec*L1750-L1756-SUM(M1782:N1782)+MAX(0,MIN($AC$20*AN_cible,Emprunt_max*L1750)-K1793))</f>
        <v>0</v>
      </c>
      <c r="M1757" s="73" t="n">
        <f aca="false">MAX(0,M1785+M1776+M1777-Poche_min_exec*M1750-M1756-SUM(N1782:O1782)+MAX(0,MIN($AC$20*AN_cible,Emprunt_max*M1750)-L1793))</f>
        <v>0</v>
      </c>
      <c r="N1757" s="73" t="n">
        <f aca="false">MAX(0,N1785+N1776+N1777-Poche_min_exec*N1750-N1756-SUM(O1782:O1782)+MAX(0,MIN($AC$20*AN_cible,Emprunt_max*N1750)-M1793))</f>
        <v>0</v>
      </c>
      <c r="O1757" s="73" t="n">
        <f aca="false">MAX(0,O1785+O1776+O1777-Poche_min_exec*O1750-O1756-0+MAX(0,MIN($AC$20*AN_cible,Emprunt_max*O1750)-N1793))</f>
        <v>1190215.56571852</v>
      </c>
    </row>
    <row r="1758" customFormat="false" ht="15" hidden="false" customHeight="false" outlineLevel="0" collapsed="false">
      <c r="B1758" s="65" t="s">
        <v>1030</v>
      </c>
      <c r="C1758" s="25"/>
      <c r="D1758" s="73" t="n">
        <f aca="false">IF(AND(D1747=1,$AC$21=1,$AC$22=1),MIN(D1754-D1756,D1757),0)</f>
        <v>0</v>
      </c>
      <c r="E1758" s="73" t="n">
        <f aca="false">IF(AND(E1747=1,$AC$21=1,$AC$22=1),MIN(E1754-E1756,E1757),0)</f>
        <v>0</v>
      </c>
      <c r="F1758" s="73" t="n">
        <f aca="false">IF(AND(F1747=1,$AC$21=1,$AC$22=1),MIN(F1754-F1756,F1757),0)</f>
        <v>0</v>
      </c>
      <c r="G1758" s="73" t="n">
        <f aca="false">IF(AND(G1747=1,$AC$21=1,$AC$22=1),MIN(G1754-G1756,G1757),0)</f>
        <v>0</v>
      </c>
      <c r="H1758" s="73" t="n">
        <f aca="false">IF(AND(H1747=1,$AC$21=1,$AC$22=1),MIN(H1754-H1756,H1757),0)</f>
        <v>0</v>
      </c>
      <c r="I1758" s="73" t="n">
        <f aca="false">IF(AND(I1747=1,$AC$21=1,$AC$22=1),MIN(I1754-I1756,I1757),0)</f>
        <v>0</v>
      </c>
      <c r="J1758" s="73" t="n">
        <f aca="false">IF(AND(J1747=1,$AC$21=1,$AC$22=1),MIN(J1754-J1756,J1757),0)</f>
        <v>0</v>
      </c>
      <c r="K1758" s="73" t="n">
        <f aca="false">IF(AND(K1747=1,$AC$21=1,$AC$22=1),MIN(K1754-K1756,K1757),0)</f>
        <v>0</v>
      </c>
      <c r="L1758" s="73" t="n">
        <f aca="false">IF(AND(L1747=1,$AC$21=1,$AC$22=1),MIN(L1754-L1756,L1757),0)</f>
        <v>0</v>
      </c>
      <c r="M1758" s="73" t="n">
        <f aca="false">IF(AND(M1747=1,$AC$21=1,$AC$22=1),MIN(M1754-M1756,M1757),0)</f>
        <v>0</v>
      </c>
      <c r="N1758" s="73" t="n">
        <f aca="false">IF(AND(N1747=1,$AC$21=1,$AC$22=1),MIN(N1754-N1756,N1757),0)</f>
        <v>0</v>
      </c>
      <c r="O1758" s="73" t="n">
        <f aca="false">IF(AND(O1747=1,$AC$21=1,$AC$22=1),MIN(O1754-O1756,O1757),0)</f>
        <v>0</v>
      </c>
    </row>
    <row r="1759" customFormat="false" ht="15" hidden="false" customHeight="false" outlineLevel="0" collapsed="false">
      <c r="B1759" s="65" t="s">
        <v>1031</v>
      </c>
      <c r="C1759" s="65" t="n">
        <v>0</v>
      </c>
      <c r="D1759" s="65" t="n">
        <f aca="false">IF(C1759=1,1,IF(AND(D1747=1,$AC$21=1,C1763&gt;=Gate_dates,D1754-D1756-D1758&gt;0.000001),1,0))</f>
        <v>0</v>
      </c>
      <c r="E1759" s="65" t="n">
        <f aca="false">IF(D1759=1,1,IF(AND(E1747=1,$AC$21=1,D1763&gt;=Gate_dates,E1754-E1756-E1758&gt;0.000001),1,0))</f>
        <v>0</v>
      </c>
      <c r="F1759" s="65" t="n">
        <f aca="false">IF(E1759=1,1,IF(AND(F1747=1,$AC$21=1,E1763&gt;=Gate_dates,F1754-F1756-F1758&gt;0.000001),1,0))</f>
        <v>0</v>
      </c>
      <c r="G1759" s="65" t="n">
        <f aca="false">IF(F1759=1,1,IF(AND(G1747=1,$AC$21=1,F1763&gt;=Gate_dates,G1754-G1756-G1758&gt;0.000001),1,0))</f>
        <v>0</v>
      </c>
      <c r="H1759" s="65" t="n">
        <f aca="false">IF(G1759=1,1,IF(AND(H1747=1,$AC$21=1,G1763&gt;=Gate_dates,H1754-H1756-H1758&gt;0.000001),1,0))</f>
        <v>0</v>
      </c>
      <c r="I1759" s="65" t="n">
        <f aca="false">IF(H1759=1,1,IF(AND(I1747=1,$AC$21=1,H1763&gt;=Gate_dates,I1754-I1756-I1758&gt;0.000001),1,0))</f>
        <v>0</v>
      </c>
      <c r="J1759" s="65" t="n">
        <f aca="false">IF(I1759=1,1,IF(AND(J1747=1,$AC$21=1,I1763&gt;=Gate_dates,J1754-J1756-J1758&gt;0.000001),1,0))</f>
        <v>0</v>
      </c>
      <c r="K1759" s="65" t="n">
        <f aca="false">IF(J1759=1,1,IF(AND(K1747=1,$AC$21=1,J1763&gt;=Gate_dates,K1754-K1756-K1758&gt;0.000001),1,0))</f>
        <v>0</v>
      </c>
      <c r="L1759" s="65" t="n">
        <f aca="false">IF(K1759=1,1,IF(AND(L1747=1,$AC$21=1,K1763&gt;=Gate_dates,L1754-L1756-L1758&gt;0.000001),1,0))</f>
        <v>1</v>
      </c>
      <c r="M1759" s="65" t="n">
        <f aca="false">IF(L1759=1,1,IF(AND(M1747=1,$AC$21=1,L1763&gt;=Gate_dates,M1754-M1756-M1758&gt;0.000001),1,0))</f>
        <v>1</v>
      </c>
      <c r="N1759" s="65" t="n">
        <f aca="false">IF(M1759=1,1,IF(AND(N1747=1,$AC$21=1,M1763&gt;=Gate_dates,N1754-N1756-N1758&gt;0.000001),1,0))</f>
        <v>1</v>
      </c>
      <c r="O1759" s="65" t="n">
        <f aca="false">IF(N1759=1,1,IF(AND(O1747=1,$AC$21=1,N1763&gt;=Gate_dates,O1754-O1756-O1758&gt;0.000001),1,0))</f>
        <v>1</v>
      </c>
    </row>
    <row r="1760" customFormat="false" ht="15" hidden="false" customHeight="false" outlineLevel="0" collapsed="false">
      <c r="B1760" s="65" t="s">
        <v>1032</v>
      </c>
      <c r="C1760" s="25"/>
      <c r="D1760" s="73" t="n">
        <f aca="false">IF(D1759=1,0,D1756+D1758)</f>
        <v>2500000</v>
      </c>
      <c r="E1760" s="73" t="n">
        <f aca="false">IF(E1759=1,0,E1756+E1758)</f>
        <v>0</v>
      </c>
      <c r="F1760" s="73" t="n">
        <f aca="false">IF(F1759=1,0,F1756+F1758)</f>
        <v>2441157.58566406</v>
      </c>
      <c r="G1760" s="73" t="n">
        <f aca="false">IF(G1759=1,0,G1756+G1758)</f>
        <v>0</v>
      </c>
      <c r="H1760" s="73" t="n">
        <f aca="false">IF(H1759=1,0,H1756+H1758)</f>
        <v>2391324.47227697</v>
      </c>
      <c r="I1760" s="73" t="n">
        <f aca="false">IF(I1759=1,0,I1756+I1758)</f>
        <v>0</v>
      </c>
      <c r="J1760" s="73" t="n">
        <f aca="false">IF(J1759=1,0,J1756+J1758)</f>
        <v>2346536.45275002</v>
      </c>
      <c r="K1760" s="73" t="n">
        <f aca="false">IF(K1759=1,0,K1756+K1758)</f>
        <v>0</v>
      </c>
      <c r="L1760" s="73" t="n">
        <f aca="false">IF(L1759=1,0,L1756+L1758)</f>
        <v>0</v>
      </c>
      <c r="M1760" s="73" t="n">
        <f aca="false">IF(M1759=1,0,M1756+M1758)</f>
        <v>0</v>
      </c>
      <c r="N1760" s="73" t="n">
        <f aca="false">IF(N1759=1,0,N1756+N1758)</f>
        <v>0</v>
      </c>
      <c r="O1760" s="73" t="n">
        <f aca="false">IF(O1759=1,0,O1756+O1758)</f>
        <v>0</v>
      </c>
    </row>
    <row r="1761" customFormat="false" ht="15" hidden="false" customHeight="false" outlineLevel="0" collapsed="false">
      <c r="B1761" s="65" t="s">
        <v>1033</v>
      </c>
      <c r="C1761" s="73" t="n">
        <v>0</v>
      </c>
      <c r="D1761" s="73" t="n">
        <f aca="false">D1754-D1760</f>
        <v>7500000</v>
      </c>
      <c r="E1761" s="73" t="n">
        <f aca="false">E1754-E1760</f>
        <v>7500000</v>
      </c>
      <c r="F1761" s="73" t="n">
        <f aca="false">F1754-F1760</f>
        <v>6035305.44860156</v>
      </c>
      <c r="G1761" s="73" t="n">
        <f aca="false">G1754-G1760</f>
        <v>6035305.44860156</v>
      </c>
      <c r="H1761" s="73" t="n">
        <f aca="false">H1754-H1760</f>
        <v>4600510.76523538</v>
      </c>
      <c r="I1761" s="73" t="n">
        <f aca="false">I1754-I1760</f>
        <v>4600510.76523538</v>
      </c>
      <c r="J1761" s="73" t="n">
        <f aca="false">J1754-J1760</f>
        <v>3192588.89358537</v>
      </c>
      <c r="K1761" s="73" t="n">
        <f aca="false">K1754-K1760</f>
        <v>3192588.89358537</v>
      </c>
      <c r="L1761" s="73" t="n">
        <f aca="false">L1754-L1760</f>
        <v>4114194.87407892</v>
      </c>
      <c r="M1761" s="73" t="n">
        <f aca="false">M1754-M1760</f>
        <v>4114194.87407892</v>
      </c>
      <c r="N1761" s="73" t="n">
        <f aca="false">N1754-N1760</f>
        <v>4114194.87407892</v>
      </c>
      <c r="O1761" s="73" t="n">
        <f aca="false">O1754-O1760</f>
        <v>4114194.87407892</v>
      </c>
    </row>
    <row r="1762" customFormat="false" ht="15" hidden="false" customHeight="false" outlineLevel="0" collapsed="false">
      <c r="B1762" s="65" t="s">
        <v>1034</v>
      </c>
      <c r="C1762" s="25"/>
      <c r="D1762" s="65" t="n">
        <f aca="false">IF(AND(D1747=1,D1759=0,D1761&gt;0.000001),1,0)</f>
        <v>1</v>
      </c>
      <c r="E1762" s="65" t="n">
        <f aca="false">IF(AND(E1747=1,E1759=0,E1761&gt;0.000001),1,0)</f>
        <v>0</v>
      </c>
      <c r="F1762" s="65" t="n">
        <f aca="false">IF(AND(F1747=1,F1759=0,F1761&gt;0.000001),1,0)</f>
        <v>1</v>
      </c>
      <c r="G1762" s="65" t="n">
        <f aca="false">IF(AND(G1747=1,G1759=0,G1761&gt;0.000001),1,0)</f>
        <v>0</v>
      </c>
      <c r="H1762" s="65" t="n">
        <f aca="false">IF(AND(H1747=1,H1759=0,H1761&gt;0.000001),1,0)</f>
        <v>1</v>
      </c>
      <c r="I1762" s="65" t="n">
        <f aca="false">IF(AND(I1747=1,I1759=0,I1761&gt;0.000001),1,0)</f>
        <v>0</v>
      </c>
      <c r="J1762" s="65" t="n">
        <f aca="false">IF(AND(J1747=1,J1759=0,J1761&gt;0.000001),1,0)</f>
        <v>1</v>
      </c>
      <c r="K1762" s="65" t="n">
        <f aca="false">IF(AND(K1747=1,K1759=0,K1761&gt;0.000001),1,0)</f>
        <v>0</v>
      </c>
      <c r="L1762" s="65" t="n">
        <f aca="false">IF(AND(L1747=1,L1759=0,L1761&gt;0.000001),1,0)</f>
        <v>0</v>
      </c>
      <c r="M1762" s="65" t="n">
        <f aca="false">IF(AND(M1747=1,M1759=0,M1761&gt;0.000001),1,0)</f>
        <v>0</v>
      </c>
      <c r="N1762" s="65" t="n">
        <f aca="false">IF(AND(N1747=1,N1759=0,N1761&gt;0.000001),1,0)</f>
        <v>0</v>
      </c>
      <c r="O1762" s="65" t="n">
        <f aca="false">IF(AND(O1747=1,O1759=0,O1761&gt;0.000001),1,0)</f>
        <v>0</v>
      </c>
    </row>
    <row r="1763" customFormat="false" ht="15" hidden="false" customHeight="false" outlineLevel="0" collapsed="false">
      <c r="B1763" s="65" t="s">
        <v>843</v>
      </c>
      <c r="C1763" s="65" t="n">
        <v>0</v>
      </c>
      <c r="D1763" s="65" t="n">
        <f aca="false">IF(D1747=1,IF(D1762=1,C1763+1,0),C1763)</f>
        <v>1</v>
      </c>
      <c r="E1763" s="65" t="n">
        <f aca="false">IF(E1747=1,IF(E1762=1,D1763+1,0),D1763)</f>
        <v>1</v>
      </c>
      <c r="F1763" s="65" t="n">
        <f aca="false">IF(F1747=1,IF(F1762=1,E1763+1,0),E1763)</f>
        <v>2</v>
      </c>
      <c r="G1763" s="65" t="n">
        <f aca="false">IF(G1747=1,IF(G1762=1,F1763+1,0),F1763)</f>
        <v>2</v>
      </c>
      <c r="H1763" s="65" t="n">
        <f aca="false">IF(H1747=1,IF(H1762=1,G1763+1,0),G1763)</f>
        <v>3</v>
      </c>
      <c r="I1763" s="65" t="n">
        <f aca="false">IF(I1747=1,IF(I1762=1,H1763+1,0),H1763)</f>
        <v>3</v>
      </c>
      <c r="J1763" s="65" t="n">
        <f aca="false">IF(J1747=1,IF(J1762=1,I1763+1,0),I1763)</f>
        <v>4</v>
      </c>
      <c r="K1763" s="65" t="n">
        <f aca="false">IF(K1747=1,IF(K1762=1,J1763+1,0),J1763)</f>
        <v>4</v>
      </c>
      <c r="L1763" s="65" t="n">
        <f aca="false">IF(L1747=1,IF(L1762=1,K1763+1,0),K1763)</f>
        <v>0</v>
      </c>
      <c r="M1763" s="65" t="n">
        <f aca="false">IF(M1747=1,IF(M1762=1,L1763+1,0),L1763)</f>
        <v>0</v>
      </c>
      <c r="N1763" s="65" t="n">
        <f aca="false">IF(N1747=1,IF(N1762=1,M1763+1,0),M1763)</f>
        <v>0</v>
      </c>
      <c r="O1763" s="65" t="n">
        <f aca="false">IF(O1747=1,IF(O1762=1,N1763+1,0),N1763)</f>
        <v>0</v>
      </c>
    </row>
    <row r="1764" customFormat="false" ht="15" hidden="false" customHeight="false" outlineLevel="0" collapsed="false">
      <c r="B1764" s="65" t="s">
        <v>1035</v>
      </c>
      <c r="C1764" s="73" t="n">
        <f aca="false">AN_cible*Ws_MAPIF</f>
        <v>12500000</v>
      </c>
      <c r="D1764" s="73" t="n">
        <f aca="false">C1764*(1+Rend_MAPIF/4)*IF(D1745=1,(1-(Cap_MAPIF*$AC$15+(1-Cap_MAPIF)*$AC$16))*(1+1*$AC$14),1)+D1774-D1768-D1789*IF((C1764+C1765+C1766+C1767)&gt;0,C1764/(C1764+C1765+C1766+C1767),0)</f>
        <v>12971562.5</v>
      </c>
      <c r="E1764" s="73" t="n">
        <f aca="false">D1764*(1+Rend_MAPIF/4)*IF(E1745=1,(1-(Cap_MAPIF*$AC$15+(1-Cap_MAPIF)*$AC$16))*(1+1*$AC$14),1)+E1774-E1768-E1789*IF((D1764+D1765+D1766+D1767)&gt;0,D1764/(D1764+D1765+D1766+D1767),0)</f>
        <v>13446767.8203125</v>
      </c>
      <c r="F1764" s="73" t="n">
        <f aca="false">E1764*(1+Rend_MAPIF/4)*IF(F1745=1,(1-(Cap_MAPIF*$AC$15+(1-Cap_MAPIF)*$AC$16))*(1+1*$AC$14),1)+F1774-F1768-F1789*IF((E1764+E1765+E1766+E1767)&gt;0,E1764/(E1764+E1765+E1766+E1767),0)</f>
        <v>13925644.1017244</v>
      </c>
      <c r="G1764" s="73" t="n">
        <f aca="false">F1764*(1+Rend_MAPIF/4)*IF(G1745=1,(1-(Cap_MAPIF*$AC$15+(1-Cap_MAPIF)*$AC$16))*(1+1*$AC$14),1)+G1774-G1768-G1789*IF((F1764+F1765+F1766+F1767)&gt;0,F1764/(F1764+F1765+F1766+F1767),0)</f>
        <v>14408219.7024102</v>
      </c>
      <c r="H1764" s="73" t="n">
        <f aca="false">G1764*(1+Rend_MAPIF/4)*IF(H1745=1,(1-(Cap_MAPIF*$AC$15+(1-Cap_MAPIF)*$AC$16))*(1+1*$AC$14),1)+H1774-H1768-H1789*IF((G1764+G1765+G1766+G1767)&gt;0,G1764/(G1764+G1765+G1766+G1767),0)</f>
        <v>14894523.1996114</v>
      </c>
      <c r="I1764" s="73" t="n">
        <f aca="false">H1764*(1+Rend_MAPIF/4)*IF(I1745=1,(1-(Cap_MAPIF*$AC$15+(1-Cap_MAPIF)*$AC$16))*(1+1*$AC$14),1)+I1774-I1768-I1789*IF((H1764+H1765+H1766+H1767)&gt;0,H1764/(H1764+H1765+H1766+H1767),0)</f>
        <v>15384583.3913284</v>
      </c>
      <c r="J1764" s="73" t="n">
        <f aca="false">I1764*(1+Rend_MAPIF/4)*IF(J1745=1,(1-(Cap_MAPIF*$AC$15+(1-Cap_MAPIF)*$AC$16))*(1+1*$AC$14),1)+J1774-J1768-J1789*IF((I1764+I1765+I1766+I1767)&gt;0,I1764/(I1764+I1765+I1766+I1767),0)</f>
        <v>15878429.2980264</v>
      </c>
      <c r="K1764" s="73" t="n">
        <f aca="false">J1764*(1+Rend_MAPIF/4)*IF(K1745=1,(1-(Cap_MAPIF*$AC$15+(1-Cap_MAPIF)*$AC$16))*(1+1*$AC$14),1)+K1774-K1768-K1789*IF((J1764+J1765+J1766+J1767)&gt;0,J1764/(J1764+J1765+J1766+J1767),0)</f>
        <v>16376090.1643536</v>
      </c>
      <c r="L1764" s="73" t="n">
        <f aca="false">K1764*(1+Rend_MAPIF/4)*IF(L1745=1,(1-(Cap_MAPIF*$AC$15+(1-Cap_MAPIF)*$AC$16))*(1+1*$AC$14),1)+L1774-L1768-L1789*IF((K1764+K1765+K1766+K1767)&gt;0,K1764/(K1764+K1765+K1766+K1767),0)</f>
        <v>16877595.4608733</v>
      </c>
      <c r="M1764" s="73" t="n">
        <f aca="false">L1764*(1+Rend_MAPIF/4)*IF(M1745=1,(1-(Cap_MAPIF*$AC$15+(1-Cap_MAPIF)*$AC$16))*(1+1*$AC$14),1)+M1774-M1768-M1789*IF((L1764+L1765+L1766+L1767)&gt;0,L1764/(L1764+L1765+L1766+L1767),0)</f>
        <v>17382974.8858085</v>
      </c>
      <c r="N1764" s="73" t="n">
        <f aca="false">M1764*(1+Rend_MAPIF/4)*IF(N1745=1,(1-(Cap_MAPIF*$AC$15+(1-Cap_MAPIF)*$AC$16))*(1+1*$AC$14),1)+N1774-N1768-N1789*IF((M1764+M1765+M1766+M1767)&gt;0,M1764/(M1764+M1765+M1766+M1767),0)</f>
        <v>17892258.3668014</v>
      </c>
      <c r="O1764" s="73" t="n">
        <f aca="false">N1764*(1+Rend_MAPIF/4)*IF(O1745=1,(1-(Cap_MAPIF*$AC$15+(1-Cap_MAPIF)*$AC$16))*(1+1*$AC$14),1)+O1774-O1768-O1789*IF((N1764+N1765+N1766+N1767)&gt;0,N1764/(N1764+N1765+N1766+N1767),0)</f>
        <v>18405476.0626849</v>
      </c>
    </row>
    <row r="1765" customFormat="false" ht="15" hidden="false" customHeight="false" outlineLevel="0" collapsed="false">
      <c r="B1765" s="65" t="s">
        <v>1036</v>
      </c>
      <c r="C1765" s="73" t="n">
        <f aca="false">AN_cible*Ws_MSIG</f>
        <v>5500000</v>
      </c>
      <c r="D1765" s="73" t="n">
        <f aca="false">C1765*(1+Rend_MSIG/4)*IF(D1745=1,(1-(Cap_MSIG*$AC$15+(1-Cap_MSIG)*$AC$16))*(1+MSIG_USD*$AC$14),1)+D1775-D1769-D1789*IF((C1764+C1765+C1766+C1767)&gt;0,C1765/(C1764+C1765+C1766+C1767),0)</f>
        <v>5773237.5</v>
      </c>
      <c r="E1765" s="73" t="n">
        <f aca="false">D1765*(1+Rend_MSIG/4)*IF(E1745=1,(1-(Cap_MSIG*$AC$15+(1-Cap_MSIG)*$AC$16))*(1+MSIG_USD*$AC$14),1)+E1775-E1769-E1789*IF((D1764+D1765+D1766+D1767)&gt;0,D1765/(D1764+D1765+D1766+D1767),0)</f>
        <v>6047629.4284375</v>
      </c>
      <c r="F1765" s="73" t="n">
        <f aca="false">E1765*(1+Rend_MSIG/4)*IF(F1745=1,(1-(Cap_MSIG*$AC$15+(1-Cap_MSIG)*$AC$16))*(1+MSIG_USD*$AC$14),1)+F1775-F1769-F1789*IF((E1764+E1765+E1766+E1767)&gt;0,E1765/(E1764+E1765+E1766+E1767),0)</f>
        <v>6323180.66277265</v>
      </c>
      <c r="G1765" s="73" t="n">
        <f aca="false">F1765*(1+Rend_MSIG/4)*IF(G1745=1,(1-(Cap_MSIG*$AC$15+(1-Cap_MSIG)*$AC$16))*(1+MSIG_USD*$AC$14),1)+G1775-G1769-G1789*IF((F1764+F1765+F1766+F1767)&gt;0,F1765/(F1764+F1765+F1766+F1767),0)</f>
        <v>6599896.10107286</v>
      </c>
      <c r="H1765" s="73" t="n">
        <f aca="false">G1765*(1+Rend_MSIG/4)*IF(H1745=1,(1-(Cap_MSIG*$AC$15+(1-Cap_MSIG)*$AC$16))*(1+MSIG_USD*$AC$14),1)+H1775-H1769-H1789*IF((G1764+G1765+G1766+G1767)&gt;0,G1765/(G1764+G1765+G1766+G1767),0)</f>
        <v>6877780.6620999</v>
      </c>
      <c r="I1765" s="73" t="n">
        <f aca="false">H1765*(1+Rend_MSIG/4)*IF(I1745=1,(1-(Cap_MSIG*$AC$15+(1-Cap_MSIG)*$AC$16))*(1+MSIG_USD*$AC$14),1)+I1775-I1769-I1789*IF((H1764+H1765+H1766+H1767)&gt;0,H1765/(H1764+H1765+H1766+H1767),0)</f>
        <v>7156839.28539727</v>
      </c>
      <c r="J1765" s="73" t="n">
        <f aca="false">I1765*(1+Rend_MSIG/4)*IF(J1745=1,(1-(Cap_MSIG*$AC$15+(1-Cap_MSIG)*$AC$16))*(1+MSIG_USD*$AC$14),1)+J1775-J1769-J1789*IF((I1764+I1765+I1766+I1767)&gt;0,I1765/(I1764+I1765+I1766+I1767),0)</f>
        <v>7437076.93137807</v>
      </c>
      <c r="K1765" s="73" t="n">
        <f aca="false">J1765*(1+Rend_MSIG/4)*IF(K1745=1,(1-(Cap_MSIG*$AC$15+(1-Cap_MSIG)*$AC$16))*(1+MSIG_USD*$AC$14),1)+K1775-K1769-K1789*IF((J1764+J1765+J1766+J1767)&gt;0,J1765/(J1764+J1765+J1766+J1767),0)</f>
        <v>7718498.58141314</v>
      </c>
      <c r="L1765" s="73" t="n">
        <f aca="false">K1765*(1+Rend_MSIG/4)*IF(L1745=1,(1-(Cap_MSIG*$AC$15+(1-Cap_MSIG)*$AC$16))*(1+MSIG_USD*$AC$14),1)+L1775-L1769-L1789*IF((K1764+K1765+K1766+K1767)&gt;0,K1765/(K1764+K1765+K1766+K1767),0)</f>
        <v>8001109.23791962</v>
      </c>
      <c r="M1765" s="73" t="n">
        <f aca="false">L1765*(1+Rend_MSIG/4)*IF(M1745=1,(1-(Cap_MSIG*$AC$15+(1-Cap_MSIG)*$AC$16))*(1+MSIG_USD*$AC$14),1)+M1775-M1769-M1789*IF((L1764+L1765+L1766+L1767)&gt;0,L1765/(L1764+L1765+L1766+L1767),0)</f>
        <v>8284913.92444983</v>
      </c>
      <c r="N1765" s="73" t="n">
        <f aca="false">M1765*(1+Rend_MSIG/4)*IF(N1745=1,(1-(Cap_MSIG*$AC$15+(1-Cap_MSIG)*$AC$16))*(1+MSIG_USD*$AC$14),1)+N1775-N1769-N1789*IF((M1764+M1765+M1766+M1767)&gt;0,M1765/(M1764+M1765+M1766+M1767),0)</f>
        <v>8569917.68578063</v>
      </c>
      <c r="O1765" s="73" t="n">
        <f aca="false">N1765*(1+Rend_MSIG/4)*IF(O1745=1,(1-(Cap_MSIG*$AC$15+(1-Cap_MSIG)*$AC$16))*(1+MSIG_USD*$AC$14),1)+O1775-O1769-O1789*IF((N1764+N1765+N1766+N1767)&gt;0,N1765/(N1764+N1765+N1766+N1767),0)</f>
        <v>8856125.58800305</v>
      </c>
    </row>
    <row r="1766" customFormat="false" ht="15" hidden="false" customHeight="false" outlineLevel="0" collapsed="false">
      <c r="B1766" s="65" t="s">
        <v>1037</v>
      </c>
      <c r="C1766" s="73" t="n">
        <f aca="false">AN_cible*Ws_PG</f>
        <v>12250000</v>
      </c>
      <c r="D1766" s="73" t="n">
        <f aca="false">C1766*(1+Rend_PG/4)*IF(D1745=1,(1-(Cap_PG*$AC$15+(1-Cap_PG)*$AC$16))*(1+0*$AC$14),1)-D1770-D1786*IF((D1776+D1777)&gt;0,D1776/(D1776+D1777),0)+D1791/2-D1789*IF((C1764+C1765+C1766+C1767)&gt;0,C1766/(C1764+C1765+C1766+C1767),0)</f>
        <v>11888931.25</v>
      </c>
      <c r="E1766" s="73" t="n">
        <f aca="false">D1766*(1+Rend_PG/4)*IF(E1745=1,(1-(Cap_PG*$AC$15+(1-Cap_PG)*$AC$16))*(1+0*$AC$14),1)-E1770-E1786*IF((E1776+E1777)&gt;0,E1776/(E1776+E1777),0)+E1791/2-E1789*IF((D1764+D1765+D1766+D1767)&gt;0,D1766/(D1764+D1765+D1766+D1767),0)</f>
        <v>11538505.0014063</v>
      </c>
      <c r="F1766" s="73" t="n">
        <f aca="false">E1766*(1+Rend_PG/4)*IF(F1745=1,(1-(Cap_PG*$AC$15+(1-Cap_PG)*$AC$16))*(1+0*$AC$14),1)-F1770-F1786*IF((F1776+F1777)&gt;0,F1776/(F1776+F1777),0)+F1791/2-F1789*IF((E1764+E1765+E1766+E1767)&gt;0,E1766/(E1764+E1765+E1766+E1767),0)</f>
        <v>11198407.5664898</v>
      </c>
      <c r="G1766" s="73" t="n">
        <f aca="false">F1766*(1+Rend_PG/4)*IF(G1745=1,(1-(Cap_PG*$AC$15+(1-Cap_PG)*$AC$16))*(1+0*$AC$14),1)-G1770-G1786*IF((G1776+G1777)&gt;0,G1776/(G1776+G1777),0)+G1791/2-G1789*IF((F1764+F1765+F1766+F1767)&gt;0,F1766/(F1764+F1765+F1766+F1767),0)</f>
        <v>10868334.5034675</v>
      </c>
      <c r="H1766" s="73" t="n">
        <f aca="false">G1766*(1+Rend_PG/4)*IF(H1745=1,(1-(Cap_PG*$AC$15+(1-Cap_PG)*$AC$16))*(1+0*$AC$14),1)-H1770-H1786*IF((H1776+H1777)&gt;0,H1776/(H1776+H1777),0)+H1791/2-H1789*IF((G1764+G1765+G1766+G1767)&gt;0,G1766/(G1764+G1765+G1766+G1767),0)</f>
        <v>10547990.3439778</v>
      </c>
      <c r="I1766" s="73" t="n">
        <f aca="false">H1766*(1+Rend_PG/4)*IF(I1745=1,(1-(Cap_PG*$AC$15+(1-Cap_PG)*$AC$16))*(1+0*$AC$14),1)-I1770-I1786*IF((I1776+I1777)&gt;0,I1776/(I1776+I1777),0)+I1791/2-I1789*IF((H1764+H1765+H1766+H1767)&gt;0,H1766/(H1764+H1765+H1766+H1767),0)</f>
        <v>10237088.3285891</v>
      </c>
      <c r="J1766" s="73" t="n">
        <f aca="false">I1766*(1+Rend_PG/4)*IF(J1745=1,(1-(Cap_PG*$AC$15+(1-Cap_PG)*$AC$16))*(1+0*$AC$14),1)-J1770-J1786*IF((J1776+J1777)&gt;0,J1776/(J1776+J1777),0)+J1791/2-J1789*IF((I1764+I1765+I1766+I1767)&gt;0,I1766/(I1764+I1765+I1766+I1767),0)</f>
        <v>9935350.1501039</v>
      </c>
      <c r="K1766" s="73" t="n">
        <f aca="false">J1766*(1+Rend_PG/4)*IF(K1745=1,(1-(Cap_PG*$AC$15+(1-Cap_PG)*$AC$16))*(1+0*$AC$14),1)-K1770-K1786*IF((K1776+K1777)&gt;0,K1776/(K1776+K1777),0)+K1791/2-K1789*IF((J1764+J1765+J1766+J1767)&gt;0,J1766/(J1764+J1765+J1766+J1767),0)</f>
        <v>9642505.70442959</v>
      </c>
      <c r="L1766" s="73" t="n">
        <f aca="false">K1766*(1+Rend_PG/4)*IF(L1745=1,(1-(Cap_PG*$AC$15+(1-Cap_PG)*$AC$16))*(1+0*$AC$14),1)-L1770-L1786*IF((L1776+L1777)&gt;0,L1776/(L1776+L1777),0)+L1791/2-L1789*IF((K1764+K1765+K1766+K1767)&gt;0,K1766/(K1764+K1765+K1766+K1767),0)</f>
        <v>9358292.84879153</v>
      </c>
      <c r="M1766" s="73" t="n">
        <f aca="false">L1766*(1+Rend_PG/4)*IF(M1745=1,(1-(Cap_PG*$AC$15+(1-Cap_PG)*$AC$16))*(1+0*$AC$14),1)-M1770-M1786*IF((M1776+M1777)&gt;0,M1776/(M1776+M1777),0)+M1791/2-M1789*IF((L1764+L1765+L1766+L1767)&gt;0,L1766/(L1764+L1765+L1766+L1767),0)</f>
        <v>9082457.1670734</v>
      </c>
      <c r="N1766" s="73" t="n">
        <f aca="false">M1766*(1+Rend_PG/4)*IF(N1745=1,(1-(Cap_PG*$AC$15+(1-Cap_PG)*$AC$16))*(1+0*$AC$14),1)-N1770-N1786*IF((N1776+N1777)&gt;0,N1776/(N1776+N1777),0)+N1791/2-N1789*IF((M1764+M1765+M1766+M1767)&gt;0,M1766/(M1764+M1765+M1766+M1767),0)</f>
        <v>8814751.74207391</v>
      </c>
      <c r="O1766" s="73" t="n">
        <f aca="false">N1766*(1+Rend_PG/4)*IF(O1745=1,(1-(Cap_PG*$AC$15+(1-Cap_PG)*$AC$16))*(1+0*$AC$14),1)-O1770-O1786*IF((O1776+O1777)&gt;0,O1776/(O1776+O1777),0)+O1791/2-O1789*IF((N1764+N1765+N1766+N1767)&gt;0,N1766/(N1764+N1765+N1766+N1767),0)</f>
        <v>8554936.93447628</v>
      </c>
    </row>
    <row r="1767" customFormat="false" ht="15" hidden="false" customHeight="false" outlineLevel="0" collapsed="false">
      <c r="B1767" s="65" t="s">
        <v>1038</v>
      </c>
      <c r="C1767" s="73" t="n">
        <f aca="false">AN_cible*Ws_ARES</f>
        <v>12250000</v>
      </c>
      <c r="D1767" s="73" t="n">
        <f aca="false">C1767*(1+Rend_ARES/4)*IF(D1745=1,(1-(Cap_ARES*$AC$15+(1-Cap_ARES)*$AC$16))*(1+0*$AC$14),1)-D1771-D1786*IF((D1776+D1777)&gt;0,D1777/(D1776+D1777),0)/(1-IF(D1745&lt;=Deduc_trim,Deduc_ares,0))+D1791/2-D1789*IF((C1764+C1765+C1766+C1767)&gt;0,C1767/(C1764+C1765+C1766+C1767),0)</f>
        <v>11727537.5</v>
      </c>
      <c r="E1767" s="73" t="n">
        <f aca="false">D1767*(1+Rend_ARES/4)*IF(E1745=1,(1-(Cap_ARES*$AC$15+(1-Cap_ARES)*$AC$16))*(1+0*$AC$14),1)-E1771-E1786*IF((E1776+E1777)&gt;0,E1777/(E1776+E1777),0)/(1-IF(E1745&lt;=Deduc_trim,Deduc_ares,0))+E1791/2-E1789*IF((D1764+D1765+D1766+D1767)&gt;0,D1767/(D1764+D1765+D1766+D1767),0)</f>
        <v>11227358.025625</v>
      </c>
      <c r="F1767" s="73" t="n">
        <f aca="false">E1767*(1+Rend_ARES/4)*IF(F1745=1,(1-(Cap_ARES*$AC$15+(1-Cap_ARES)*$AC$16))*(1+0*$AC$14),1)-F1771-F1786*IF((F1776+F1777)&gt;0,F1777/(F1776+F1777),0)/(1-IF(F1745&lt;=Deduc_trim,Deduc_ares,0))+F1791/2-F1789*IF((E1764+E1765+E1766+E1767)&gt;0,E1767/(E1764+E1765+E1766+E1767),0)</f>
        <v>10748511.2058321</v>
      </c>
      <c r="G1767" s="73" t="n">
        <f aca="false">F1767*(1+Rend_ARES/4)*IF(G1745=1,(1-(Cap_ARES*$AC$15+(1-Cap_ARES)*$AC$16))*(1+0*$AC$14),1)-G1771-G1786*IF((G1776+G1777)&gt;0,G1777/(G1776+G1777),0)/(1-IF(G1745&lt;=Deduc_trim,Deduc_ares,0))+G1791/2-G1789*IF((F1764+F1765+F1766+F1767)&gt;0,F1767/(F1764+F1765+F1766+F1767),0)</f>
        <v>10290087.2029034</v>
      </c>
      <c r="H1767" s="73" t="n">
        <f aca="false">G1767*(1+Rend_ARES/4)*IF(H1745=1,(1-(Cap_ARES*$AC$15+(1-Cap_ARES)*$AC$16))*(1+0*$AC$14),1)-H1771-H1786*IF((H1776+H1777)&gt;0,H1777/(H1776+H1777),0)/(1-IF(H1745&lt;=Deduc_trim,Deduc_ares,0))+H1791/2-H1789*IF((G1764+G1765+G1766+G1767)&gt;0,G1767/(G1764+G1765+G1766+G1767),0)</f>
        <v>9851214.98369952</v>
      </c>
      <c r="I1767" s="73" t="n">
        <f aca="false">H1767*(1+Rend_ARES/4)*IF(I1745=1,(1-(Cap_ARES*$AC$15+(1-Cap_ARES)*$AC$16))*(1+0*$AC$14),1)-I1771-I1786*IF((I1776+I1777)&gt;0,I1777/(I1776+I1777),0)/(1-IF(I1745&lt;=Deduc_trim,Deduc_ares,0))+I1791/2-I1789*IF((H1764+H1765+H1766+H1767)&gt;0,H1767/(H1764+H1765+H1766+H1767),0)</f>
        <v>9431060.66464474</v>
      </c>
      <c r="J1767" s="73" t="n">
        <f aca="false">I1767*(1+Rend_ARES/4)*IF(J1745=1,(1-(Cap_ARES*$AC$15+(1-Cap_ARES)*$AC$16))*(1+0*$AC$14),1)-J1771-J1786*IF((J1776+J1777)&gt;0,J1777/(J1776+J1777),0)/(1-IF(J1745&lt;=Deduc_trim,Deduc_ares,0))+J1791/2-J1789*IF((I1764+I1765+I1766+I1767)&gt;0,I1767/(I1764+I1765+I1766+I1767),0)</f>
        <v>9028825.92729764</v>
      </c>
      <c r="K1767" s="73" t="n">
        <f aca="false">J1767*(1+Rend_ARES/4)*IF(K1745=1,(1-(Cap_ARES*$AC$15+(1-Cap_ARES)*$AC$16))*(1+0*$AC$14),1)-K1771-K1786*IF((K1776+K1777)&gt;0,K1777/(K1776+K1777),0)/(1-IF(K1745&lt;=Deduc_trim,Deduc_ares,0))+K1791/2-K1789*IF((J1764+J1765+J1766+J1767)&gt;0,J1767/(J1764+J1765+J1766+J1767),0)</f>
        <v>8643746.5014984</v>
      </c>
      <c r="L1767" s="73" t="n">
        <f aca="false">K1767*(1+Rend_ARES/4)*IF(L1745=1,(1-(Cap_ARES*$AC$15+(1-Cap_ARES)*$AC$16))*(1+0*$AC$14),1)-L1771-L1786*IF((L1776+L1777)&gt;0,L1777/(L1776+L1777),0)/(1-IF(L1745&lt;=Deduc_trim,Deduc_ares,0))+L1791/2-L1789*IF((K1764+K1765+K1766+K1767)&gt;0,K1767/(K1764+K1765+K1766+K1767),0)</f>
        <v>8275090.71320949</v>
      </c>
      <c r="M1767" s="73" t="n">
        <f aca="false">L1767*(1+Rend_ARES/4)*IF(M1745=1,(1-(Cap_ARES*$AC$15+(1-Cap_ARES)*$AC$16))*(1+0*$AC$14),1)-M1771-M1786*IF((M1776+M1777)&gt;0,M1777/(M1776+M1777),0)/(1-IF(M1745&lt;=Deduc_trim,Deduc_ares,0))+M1791/2-M1789*IF((L1764+L1765+L1766+L1767)&gt;0,L1767/(L1764+L1765+L1766+L1767),0)</f>
        <v>7922158.0942911</v>
      </c>
      <c r="N1767" s="73" t="n">
        <f aca="false">M1767*(1+Rend_ARES/4)*IF(N1745=1,(1-(Cap_ARES*$AC$15+(1-Cap_ARES)*$AC$16))*(1+0*$AC$14),1)-N1771-N1786*IF((N1776+N1777)&gt;0,N1777/(N1776+N1777),0)/(1-IF(N1745&lt;=Deduc_trim,Deduc_ares,0))+N1791/2-N1789*IF((M1764+M1765+M1766+M1767)&gt;0,M1767/(M1764+M1765+M1766+M1767),0)</f>
        <v>7584278.05156959</v>
      </c>
      <c r="O1767" s="73" t="n">
        <f aca="false">N1767*(1+Rend_ARES/4)*IF(O1745=1,(1-(Cap_ARES*$AC$15+(1-Cap_ARES)*$AC$16))*(1+0*$AC$14),1)-O1771-O1786*IF((O1776+O1777)&gt;0,O1777/(O1776+O1777),0)/(1-IF(O1745&lt;=Deduc_trim,Deduc_ares,0))+O1791/2-O1789*IF((N1764+N1765+N1766+N1767)&gt;0,N1767/(N1764+N1765+N1766+N1767),0)</f>
        <v>7260808.59267014</v>
      </c>
    </row>
    <row r="1768" customFormat="false" ht="15" hidden="false" customHeight="false" outlineLevel="0" collapsed="false">
      <c r="B1768" s="65" t="s">
        <v>1039</v>
      </c>
      <c r="C1768" s="25"/>
      <c r="D1768" s="73" t="n">
        <f aca="false">C1764*Dist_MAPIF/4*IF(D1745&lt;=$AC$11,0,$AC$10)</f>
        <v>187500</v>
      </c>
      <c r="E1768" s="73" t="n">
        <f aca="false">D1764*Dist_MAPIF/4*IF(E1745&lt;=$AC$11,0,$AC$10)</f>
        <v>194573.4375</v>
      </c>
      <c r="F1768" s="73" t="n">
        <f aca="false">E1764*Dist_MAPIF/4*IF(F1745&lt;=$AC$11,0,$AC$10)</f>
        <v>201701.517304688</v>
      </c>
      <c r="G1768" s="73" t="n">
        <f aca="false">F1764*Dist_MAPIF/4*IF(G1745&lt;=$AC$11,0,$AC$10)</f>
        <v>208884.661525866</v>
      </c>
      <c r="H1768" s="73" t="n">
        <f aca="false">G1764*Dist_MAPIF/4*IF(H1745&lt;=$AC$11,0,$AC$10)</f>
        <v>216123.295536154</v>
      </c>
      <c r="I1768" s="73" t="n">
        <f aca="false">H1764*Dist_MAPIF/4*IF(I1745&lt;=$AC$11,0,$AC$10)</f>
        <v>223417.84799417</v>
      </c>
      <c r="J1768" s="73" t="n">
        <f aca="false">I1764*Dist_MAPIF/4*IF(J1745&lt;=$AC$11,0,$AC$10)</f>
        <v>230768.750869925</v>
      </c>
      <c r="K1768" s="73" t="n">
        <f aca="false">J1764*Dist_MAPIF/4*IF(K1745&lt;=$AC$11,0,$AC$10)</f>
        <v>238176.439470396</v>
      </c>
      <c r="L1768" s="73" t="n">
        <f aca="false">K1764*Dist_MAPIF/4*IF(L1745&lt;=$AC$11,0,$AC$10)</f>
        <v>245641.352465304</v>
      </c>
      <c r="M1768" s="73" t="n">
        <f aca="false">L1764*Dist_MAPIF/4*IF(M1745&lt;=$AC$11,0,$AC$10)</f>
        <v>253163.931913099</v>
      </c>
      <c r="N1768" s="73" t="n">
        <f aca="false">M1764*Dist_MAPIF/4*IF(N1745&lt;=$AC$11,0,$AC$10)</f>
        <v>260744.623287128</v>
      </c>
      <c r="O1768" s="73" t="n">
        <f aca="false">N1764*Dist_MAPIF/4*IF(O1745&lt;=$AC$11,0,$AC$10)</f>
        <v>268383.875502021</v>
      </c>
    </row>
    <row r="1769" customFormat="false" ht="15" hidden="false" customHeight="false" outlineLevel="0" collapsed="false">
      <c r="B1769" s="65" t="s">
        <v>1040</v>
      </c>
      <c r="C1769" s="25"/>
      <c r="D1769" s="73" t="n">
        <f aca="false">C1765*Dist_MSIG/4*IF(D1745&lt;=$AC$11,0,$AC$10)</f>
        <v>96250</v>
      </c>
      <c r="E1769" s="73" t="n">
        <f aca="false">D1765*Dist_MSIG/4*IF(E1745&lt;=$AC$11,0,$AC$10)</f>
        <v>101031.65625</v>
      </c>
      <c r="F1769" s="73" t="n">
        <f aca="false">E1765*Dist_MSIG/4*IF(F1745&lt;=$AC$11,0,$AC$10)</f>
        <v>105833.514997656</v>
      </c>
      <c r="G1769" s="73" t="n">
        <f aca="false">F1765*Dist_MSIG/4*IF(G1745&lt;=$AC$11,0,$AC$10)</f>
        <v>110655.661598521</v>
      </c>
      <c r="H1769" s="73" t="n">
        <f aca="false">G1765*Dist_MSIG/4*IF(H1745&lt;=$AC$11,0,$AC$10)</f>
        <v>115498.181768775</v>
      </c>
      <c r="I1769" s="73" t="n">
        <f aca="false">H1765*Dist_MSIG/4*IF(I1745&lt;=$AC$11,0,$AC$10)</f>
        <v>120361.161586748</v>
      </c>
      <c r="J1769" s="73" t="n">
        <f aca="false">I1765*Dist_MSIG/4*IF(J1745&lt;=$AC$11,0,$AC$10)</f>
        <v>125244.687494452</v>
      </c>
      <c r="K1769" s="73" t="n">
        <f aca="false">J1765*Dist_MSIG/4*IF(K1745&lt;=$AC$11,0,$AC$10)</f>
        <v>130148.846299116</v>
      </c>
      <c r="L1769" s="73" t="n">
        <f aca="false">K1765*Dist_MSIG/4*IF(L1745&lt;=$AC$11,0,$AC$10)</f>
        <v>135073.72517473</v>
      </c>
      <c r="M1769" s="73" t="n">
        <f aca="false">L1765*Dist_MSIG/4*IF(M1745&lt;=$AC$11,0,$AC$10)</f>
        <v>140019.411663593</v>
      </c>
      <c r="N1769" s="73" t="n">
        <f aca="false">M1765*Dist_MSIG/4*IF(N1745&lt;=$AC$11,0,$AC$10)</f>
        <v>144985.993677872</v>
      </c>
      <c r="O1769" s="73" t="n">
        <f aca="false">N1765*Dist_MSIG/4*IF(O1745&lt;=$AC$11,0,$AC$10)</f>
        <v>149973.559501161</v>
      </c>
    </row>
    <row r="1770" customFormat="false" ht="15" hidden="false" customHeight="false" outlineLevel="0" collapsed="false">
      <c r="B1770" s="65" t="s">
        <v>1041</v>
      </c>
      <c r="C1770" s="25"/>
      <c r="D1770" s="73" t="n">
        <f aca="false">C1766*Dist_PG/4*IF(D1745&lt;=$AC$11,0,$AC$10)</f>
        <v>61250</v>
      </c>
      <c r="E1770" s="73" t="n">
        <f aca="false">D1766*Dist_PG/4*IF(E1745&lt;=$AC$11,0,$AC$10)</f>
        <v>59444.65625</v>
      </c>
      <c r="F1770" s="73" t="n">
        <f aca="false">E1766*Dist_PG/4*IF(F1745&lt;=$AC$11,0,$AC$10)</f>
        <v>57692.5250070313</v>
      </c>
      <c r="G1770" s="73" t="n">
        <f aca="false">F1766*Dist_PG/4*IF(G1745&lt;=$AC$11,0,$AC$10)</f>
        <v>55992.037832449</v>
      </c>
      <c r="H1770" s="73" t="n">
        <f aca="false">G1766*Dist_PG/4*IF(H1745&lt;=$AC$11,0,$AC$10)</f>
        <v>54341.6725173376</v>
      </c>
      <c r="I1770" s="73" t="n">
        <f aca="false">H1766*Dist_PG/4*IF(I1745&lt;=$AC$11,0,$AC$10)</f>
        <v>52739.9517198891</v>
      </c>
      <c r="J1770" s="73" t="n">
        <f aca="false">I1766*Dist_PG/4*IF(J1745&lt;=$AC$11,0,$AC$10)</f>
        <v>51185.4416429453</v>
      </c>
      <c r="K1770" s="73" t="n">
        <f aca="false">J1766*Dist_PG/4*IF(K1745&lt;=$AC$11,0,$AC$10)</f>
        <v>49676.7507505195</v>
      </c>
      <c r="L1770" s="73" t="n">
        <f aca="false">K1766*Dist_PG/4*IF(L1745&lt;=$AC$11,0,$AC$10)</f>
        <v>48212.528522148</v>
      </c>
      <c r="M1770" s="73" t="n">
        <f aca="false">L1766*Dist_PG/4*IF(M1745&lt;=$AC$11,0,$AC$10)</f>
        <v>46791.4642439576</v>
      </c>
      <c r="N1770" s="73" t="n">
        <f aca="false">M1766*Dist_PG/4*IF(N1745&lt;=$AC$11,0,$AC$10)</f>
        <v>45412.285835367</v>
      </c>
      <c r="O1770" s="73" t="n">
        <f aca="false">N1766*Dist_PG/4*IF(O1745&lt;=$AC$11,0,$AC$10)</f>
        <v>44073.7587103696</v>
      </c>
    </row>
    <row r="1771" customFormat="false" ht="15" hidden="false" customHeight="false" outlineLevel="0" collapsed="false">
      <c r="B1771" s="65" t="s">
        <v>1042</v>
      </c>
      <c r="C1771" s="25"/>
      <c r="D1771" s="73" t="n">
        <f aca="false">C1767*Dist_ARES/4*IF(D1745&lt;=$AC$11,0,$AC$10)</f>
        <v>153125</v>
      </c>
      <c r="E1771" s="73" t="n">
        <f aca="false">D1767*Dist_ARES/4*IF(E1745&lt;=$AC$11,0,$AC$10)</f>
        <v>146594.21875</v>
      </c>
      <c r="F1771" s="73" t="n">
        <f aca="false">E1767*Dist_ARES/4*IF(F1745&lt;=$AC$11,0,$AC$10)</f>
        <v>140341.975320313</v>
      </c>
      <c r="G1771" s="73" t="n">
        <f aca="false">F1767*Dist_ARES/4*IF(G1745&lt;=$AC$11,0,$AC$10)</f>
        <v>134356.390072901</v>
      </c>
      <c r="H1771" s="73" t="n">
        <f aca="false">G1767*Dist_ARES/4*IF(H1745&lt;=$AC$11,0,$AC$10)</f>
        <v>128626.090036292</v>
      </c>
      <c r="I1771" s="73" t="n">
        <f aca="false">H1767*Dist_ARES/4*IF(I1745&lt;=$AC$11,0,$AC$10)</f>
        <v>123140.187296244</v>
      </c>
      <c r="J1771" s="73" t="n">
        <f aca="false">I1767*Dist_ARES/4*IF(J1745&lt;=$AC$11,0,$AC$10)</f>
        <v>117888.258308059</v>
      </c>
      <c r="K1771" s="73" t="n">
        <f aca="false">J1767*Dist_ARES/4*IF(K1745&lt;=$AC$11,0,$AC$10)</f>
        <v>112860.324091221</v>
      </c>
      <c r="L1771" s="73" t="n">
        <f aca="false">K1767*Dist_ARES/4*IF(L1745&lt;=$AC$11,0,$AC$10)</f>
        <v>108046.83126873</v>
      </c>
      <c r="M1771" s="73" t="n">
        <f aca="false">L1767*Dist_ARES/4*IF(M1745&lt;=$AC$11,0,$AC$10)</f>
        <v>103438.633915119</v>
      </c>
      <c r="N1771" s="73" t="n">
        <f aca="false">M1767*Dist_ARES/4*IF(N1745&lt;=$AC$11,0,$AC$10)</f>
        <v>99026.9761786388</v>
      </c>
      <c r="O1771" s="73" t="n">
        <f aca="false">N1767*Dist_ARES/4*IF(O1745&lt;=$AC$11,0,$AC$10)</f>
        <v>94803.4756446198</v>
      </c>
    </row>
    <row r="1772" customFormat="false" ht="15" hidden="false" customHeight="false" outlineLevel="0" collapsed="false">
      <c r="B1772" s="65" t="s">
        <v>1043</v>
      </c>
      <c r="C1772" s="73" t="n">
        <f aca="false">AN_cible*$AC$12*Part_MAPIF_NA</f>
        <v>4500000</v>
      </c>
      <c r="D1772" s="73" t="n">
        <f aca="false">C1772*IF(D1745=1,1+$AC$14,1)-D1774</f>
        <v>4125000</v>
      </c>
      <c r="E1772" s="73" t="n">
        <f aca="false">D1772*IF(E1745=1,1+$AC$14,1)-E1774</f>
        <v>3750000</v>
      </c>
      <c r="F1772" s="73" t="n">
        <f aca="false">E1772*IF(F1745=1,1+$AC$14,1)-F1774</f>
        <v>3375000</v>
      </c>
      <c r="G1772" s="73" t="n">
        <f aca="false">F1772*IF(G1745=1,1+$AC$14,1)-G1774</f>
        <v>3000000</v>
      </c>
      <c r="H1772" s="73" t="n">
        <f aca="false">G1772*IF(H1745=1,1+$AC$14,1)-H1774</f>
        <v>2625000</v>
      </c>
      <c r="I1772" s="73" t="n">
        <f aca="false">H1772*IF(I1745=1,1+$AC$14,1)-I1774</f>
        <v>2250000</v>
      </c>
      <c r="J1772" s="73" t="n">
        <f aca="false">I1772*IF(J1745=1,1+$AC$14,1)-J1774</f>
        <v>1875000</v>
      </c>
      <c r="K1772" s="73" t="n">
        <f aca="false">J1772*IF(K1745=1,1+$AC$14,1)-K1774</f>
        <v>1500000</v>
      </c>
      <c r="L1772" s="73" t="n">
        <f aca="false">K1772*IF(L1745=1,1+$AC$14,1)-L1774</f>
        <v>1125000</v>
      </c>
      <c r="M1772" s="73" t="n">
        <f aca="false">L1772*IF(M1745=1,1+$AC$14,1)-M1774</f>
        <v>750000</v>
      </c>
      <c r="N1772" s="73" t="n">
        <f aca="false">M1772*IF(N1745=1,1+$AC$14,1)-N1774</f>
        <v>375000</v>
      </c>
      <c r="O1772" s="73" t="n">
        <f aca="false">N1772*IF(O1745=1,1+$AC$14,1)-O1774</f>
        <v>0</v>
      </c>
    </row>
    <row r="1773" customFormat="false" ht="15" hidden="false" customHeight="false" outlineLevel="0" collapsed="false">
      <c r="B1773" s="65" t="s">
        <v>1044</v>
      </c>
      <c r="C1773" s="73" t="n">
        <f aca="false">AN_cible*$AC$12*(1-Part_MAPIF_NA)</f>
        <v>3000000</v>
      </c>
      <c r="D1773" s="73" t="n">
        <f aca="false">C1773*IF(D1745=1,1+MSIG_USD*$AC$14,1)-D1775</f>
        <v>2750000</v>
      </c>
      <c r="E1773" s="73" t="n">
        <f aca="false">D1773*IF(E1745=1,1+MSIG_USD*$AC$14,1)-E1775</f>
        <v>2500000</v>
      </c>
      <c r="F1773" s="73" t="n">
        <f aca="false">E1773*IF(F1745=1,1+MSIG_USD*$AC$14,1)-F1775</f>
        <v>2250000</v>
      </c>
      <c r="G1773" s="73" t="n">
        <f aca="false">F1773*IF(G1745=1,1+MSIG_USD*$AC$14,1)-G1775</f>
        <v>2000000</v>
      </c>
      <c r="H1773" s="73" t="n">
        <f aca="false">G1773*IF(H1745=1,1+MSIG_USD*$AC$14,1)-H1775</f>
        <v>1750000</v>
      </c>
      <c r="I1773" s="73" t="n">
        <f aca="false">H1773*IF(I1745=1,1+MSIG_USD*$AC$14,1)-I1775</f>
        <v>1500000</v>
      </c>
      <c r="J1773" s="73" t="n">
        <f aca="false">I1773*IF(J1745=1,1+MSIG_USD*$AC$14,1)-J1775</f>
        <v>1250000</v>
      </c>
      <c r="K1773" s="73" t="n">
        <f aca="false">J1773*IF(K1745=1,1+MSIG_USD*$AC$14,1)-K1775</f>
        <v>1000000</v>
      </c>
      <c r="L1773" s="73" t="n">
        <f aca="false">K1773*IF(L1745=1,1+MSIG_USD*$AC$14,1)-L1775</f>
        <v>750000</v>
      </c>
      <c r="M1773" s="73" t="n">
        <f aca="false">L1773*IF(M1745=1,1+MSIG_USD*$AC$14,1)-M1775</f>
        <v>500000</v>
      </c>
      <c r="N1773" s="73" t="n">
        <f aca="false">M1773*IF(N1745=1,1+MSIG_USD*$AC$14,1)-N1775</f>
        <v>250000</v>
      </c>
      <c r="O1773" s="73" t="n">
        <f aca="false">N1773*IF(O1745=1,1+MSIG_USD*$AC$14,1)-O1775</f>
        <v>0</v>
      </c>
    </row>
    <row r="1774" customFormat="false" ht="15" hidden="false" customHeight="false" outlineLevel="0" collapsed="false">
      <c r="B1774" s="65" t="s">
        <v>1045</v>
      </c>
      <c r="C1774" s="25"/>
      <c r="D1774" s="73" t="n">
        <f aca="false">MIN(C1772*IF(D1745=1,1+$AC$14,1),$C1772*(1+$AC$14)*IF(D1745&lt;=4,$AC$13/4,Appels_base))</f>
        <v>375000</v>
      </c>
      <c r="E1774" s="73" t="n">
        <f aca="false">MIN(D1772*IF(E1745=1,1+$AC$14,1),$C1772*(1+$AC$14)*IF(E1745&lt;=4,$AC$13/4,Appels_base))</f>
        <v>375000</v>
      </c>
      <c r="F1774" s="73" t="n">
        <f aca="false">MIN(E1772*IF(F1745=1,1+$AC$14,1),$C1772*(1+$AC$14)*IF(F1745&lt;=4,$AC$13/4,Appels_base))</f>
        <v>375000</v>
      </c>
      <c r="G1774" s="73" t="n">
        <f aca="false">MIN(F1772*IF(G1745=1,1+$AC$14,1),$C1772*(1+$AC$14)*IF(G1745&lt;=4,$AC$13/4,Appels_base))</f>
        <v>375000</v>
      </c>
      <c r="H1774" s="73" t="n">
        <f aca="false">MIN(G1772*IF(H1745=1,1+$AC$14,1),$C1772*(1+$AC$14)*IF(H1745&lt;=4,$AC$13/4,Appels_base))</f>
        <v>375000</v>
      </c>
      <c r="I1774" s="73" t="n">
        <f aca="false">MIN(H1772*IF(I1745=1,1+$AC$14,1),$C1772*(1+$AC$14)*IF(I1745&lt;=4,$AC$13/4,Appels_base))</f>
        <v>375000</v>
      </c>
      <c r="J1774" s="73" t="n">
        <f aca="false">MIN(I1772*IF(J1745=1,1+$AC$14,1),$C1772*(1+$AC$14)*IF(J1745&lt;=4,$AC$13/4,Appels_base))</f>
        <v>375000</v>
      </c>
      <c r="K1774" s="73" t="n">
        <f aca="false">MIN(J1772*IF(K1745=1,1+$AC$14,1),$C1772*(1+$AC$14)*IF(K1745&lt;=4,$AC$13/4,Appels_base))</f>
        <v>375000</v>
      </c>
      <c r="L1774" s="73" t="n">
        <f aca="false">MIN(K1772*IF(L1745=1,1+$AC$14,1),$C1772*(1+$AC$14)*IF(L1745&lt;=4,$AC$13/4,Appels_base))</f>
        <v>375000</v>
      </c>
      <c r="M1774" s="73" t="n">
        <f aca="false">MIN(L1772*IF(M1745=1,1+$AC$14,1),$C1772*(1+$AC$14)*IF(M1745&lt;=4,$AC$13/4,Appels_base))</f>
        <v>375000</v>
      </c>
      <c r="N1774" s="73" t="n">
        <f aca="false">MIN(M1772*IF(N1745=1,1+$AC$14,1),$C1772*(1+$AC$14)*IF(N1745&lt;=4,$AC$13/4,Appels_base))</f>
        <v>375000</v>
      </c>
      <c r="O1774" s="73" t="n">
        <f aca="false">MIN(N1772*IF(O1745=1,1+$AC$14,1),$C1772*(1+$AC$14)*IF(O1745&lt;=4,$AC$13/4,Appels_base))</f>
        <v>375000</v>
      </c>
    </row>
    <row r="1775" customFormat="false" ht="15" hidden="false" customHeight="false" outlineLevel="0" collapsed="false">
      <c r="B1775" s="65" t="s">
        <v>1046</v>
      </c>
      <c r="C1775" s="25"/>
      <c r="D1775" s="73" t="n">
        <f aca="false">MIN(C1773*IF(D1745=1,1+MSIG_USD*$AC$14,1),$C1773*(1+MSIG_USD*$AC$14)*IF(D1745&lt;=4,$AC$13/4,Appels_base))</f>
        <v>250000</v>
      </c>
      <c r="E1775" s="73" t="n">
        <f aca="false">MIN(D1773*IF(E1745=1,1+MSIG_USD*$AC$14,1),$C1773*(1+MSIG_USD*$AC$14)*IF(E1745&lt;=4,$AC$13/4,Appels_base))</f>
        <v>250000</v>
      </c>
      <c r="F1775" s="73" t="n">
        <f aca="false">MIN(E1773*IF(F1745=1,1+MSIG_USD*$AC$14,1),$C1773*(1+MSIG_USD*$AC$14)*IF(F1745&lt;=4,$AC$13/4,Appels_base))</f>
        <v>250000</v>
      </c>
      <c r="G1775" s="73" t="n">
        <f aca="false">MIN(F1773*IF(G1745=1,1+MSIG_USD*$AC$14,1),$C1773*(1+MSIG_USD*$AC$14)*IF(G1745&lt;=4,$AC$13/4,Appels_base))</f>
        <v>250000</v>
      </c>
      <c r="H1775" s="73" t="n">
        <f aca="false">MIN(G1773*IF(H1745=1,1+MSIG_USD*$AC$14,1),$C1773*(1+MSIG_USD*$AC$14)*IF(H1745&lt;=4,$AC$13/4,Appels_base))</f>
        <v>250000</v>
      </c>
      <c r="I1775" s="73" t="n">
        <f aca="false">MIN(H1773*IF(I1745=1,1+MSIG_USD*$AC$14,1),$C1773*(1+MSIG_USD*$AC$14)*IF(I1745&lt;=4,$AC$13/4,Appels_base))</f>
        <v>250000</v>
      </c>
      <c r="J1775" s="73" t="n">
        <f aca="false">MIN(I1773*IF(J1745=1,1+MSIG_USD*$AC$14,1),$C1773*(1+MSIG_USD*$AC$14)*IF(J1745&lt;=4,$AC$13/4,Appels_base))</f>
        <v>250000</v>
      </c>
      <c r="K1775" s="73" t="n">
        <f aca="false">MIN(J1773*IF(K1745=1,1+MSIG_USD*$AC$14,1),$C1773*(1+MSIG_USD*$AC$14)*IF(K1745&lt;=4,$AC$13/4,Appels_base))</f>
        <v>250000</v>
      </c>
      <c r="L1775" s="73" t="n">
        <f aca="false">MIN(K1773*IF(L1745=1,1+MSIG_USD*$AC$14,1),$C1773*(1+MSIG_USD*$AC$14)*IF(L1745&lt;=4,$AC$13/4,Appels_base))</f>
        <v>250000</v>
      </c>
      <c r="M1775" s="73" t="n">
        <f aca="false">MIN(L1773*IF(M1745=1,1+MSIG_USD*$AC$14,1),$C1773*(1+MSIG_USD*$AC$14)*IF(M1745&lt;=4,$AC$13/4,Appels_base))</f>
        <v>250000</v>
      </c>
      <c r="N1775" s="73" t="n">
        <f aca="false">MIN(M1773*IF(N1745=1,1+MSIG_USD*$AC$14,1),$C1773*(1+MSIG_USD*$AC$14)*IF(N1745&lt;=4,$AC$13/4,Appels_base))</f>
        <v>250000</v>
      </c>
      <c r="O1775" s="73" t="n">
        <f aca="false">MIN(N1773*IF(O1745=1,1+MSIG_USD*$AC$14,1),$C1773*(1+MSIG_USD*$AC$14)*IF(O1745&lt;=4,$AC$13/4,Appels_base))</f>
        <v>250000</v>
      </c>
    </row>
    <row r="1776" customFormat="false" ht="15" hidden="false" customHeight="false" outlineLevel="0" collapsed="false">
      <c r="B1776" s="65" t="s">
        <v>1047</v>
      </c>
      <c r="C1776" s="25"/>
      <c r="D1776" s="73" t="n">
        <f aca="false">C1766*Capacite_evg*IF(D1745&lt;=4,$AC$17,$AC$18)</f>
        <v>612500</v>
      </c>
      <c r="E1776" s="73" t="n">
        <f aca="false">D1766*Capacite_evg*IF(E1745&lt;=4,$AC$17,$AC$18)</f>
        <v>594446.5625</v>
      </c>
      <c r="F1776" s="73" t="n">
        <f aca="false">E1766*Capacite_evg*IF(F1745&lt;=4,$AC$17,$AC$18)</f>
        <v>576925.250070313</v>
      </c>
      <c r="G1776" s="73" t="n">
        <f aca="false">F1766*Capacite_evg*IF(G1745&lt;=4,$AC$17,$AC$18)</f>
        <v>559920.37832449</v>
      </c>
      <c r="H1776" s="73" t="n">
        <f aca="false">G1766*Capacite_evg*IF(H1745&lt;=4,$AC$17,$AC$18)</f>
        <v>543416.725173376</v>
      </c>
      <c r="I1776" s="73" t="n">
        <f aca="false">H1766*Capacite_evg*IF(I1745&lt;=4,$AC$17,$AC$18)</f>
        <v>527399.517198891</v>
      </c>
      <c r="J1776" s="73" t="n">
        <f aca="false">I1766*Capacite_evg*IF(J1745&lt;=4,$AC$17,$AC$18)</f>
        <v>511854.416429453</v>
      </c>
      <c r="K1776" s="73" t="n">
        <f aca="false">J1766*Capacite_evg*IF(K1745&lt;=4,$AC$17,$AC$18)</f>
        <v>496767.507505195</v>
      </c>
      <c r="L1776" s="73" t="n">
        <f aca="false">K1766*Capacite_evg*IF(L1745&lt;=4,$AC$17,$AC$18)</f>
        <v>482125.28522148</v>
      </c>
      <c r="M1776" s="73" t="n">
        <f aca="false">L1766*Capacite_evg*IF(M1745&lt;=4,$AC$17,$AC$18)</f>
        <v>467914.642439576</v>
      </c>
      <c r="N1776" s="73" t="n">
        <f aca="false">M1766*Capacite_evg*IF(N1745&lt;=4,$AC$17,$AC$18)</f>
        <v>454122.85835367</v>
      </c>
      <c r="O1776" s="73" t="n">
        <f aca="false">N1766*Capacite_evg*IF(O1745&lt;=4,$AC$17,$AC$18)</f>
        <v>440737.587103696</v>
      </c>
    </row>
    <row r="1777" customFormat="false" ht="15" hidden="false" customHeight="false" outlineLevel="0" collapsed="false">
      <c r="B1777" s="65" t="s">
        <v>1048</v>
      </c>
      <c r="C1777" s="25"/>
      <c r="D1777" s="73" t="n">
        <f aca="false">C1767*Capacite_evg*IF(D1745&lt;=4,$AC$17,$AC$19)*(1-IF(D1745&lt;=Deduc_trim,Deduc_ares,0))</f>
        <v>581875</v>
      </c>
      <c r="E1777" s="73" t="n">
        <f aca="false">D1767*Capacite_evg*IF(E1745&lt;=4,$AC$17,$AC$19)*(1-IF(E1745&lt;=Deduc_trim,Deduc_ares,0))</f>
        <v>557058.03125</v>
      </c>
      <c r="F1777" s="73" t="n">
        <f aca="false">E1767*Capacite_evg*IF(F1745&lt;=4,$AC$17,$AC$19)*(1-IF(F1745&lt;=Deduc_trim,Deduc_ares,0))</f>
        <v>533299.506217187</v>
      </c>
      <c r="G1777" s="73" t="n">
        <f aca="false">F1767*Capacite_evg*IF(G1745&lt;=4,$AC$17,$AC$19)*(1-IF(G1745&lt;=Deduc_trim,Deduc_ares,0))</f>
        <v>510554.282277024</v>
      </c>
      <c r="H1777" s="73" t="n">
        <f aca="false">G1767*Capacite_evg*IF(H1745&lt;=4,$AC$17,$AC$19)*(1-IF(H1745&lt;=Deduc_trim,Deduc_ares,0))</f>
        <v>514504.360145168</v>
      </c>
      <c r="I1777" s="73" t="n">
        <f aca="false">H1767*Capacite_evg*IF(I1745&lt;=4,$AC$17,$AC$19)*(1-IF(I1745&lt;=Deduc_trim,Deduc_ares,0))</f>
        <v>492560.749184976</v>
      </c>
      <c r="J1777" s="73" t="n">
        <f aca="false">I1767*Capacite_evg*IF(J1745&lt;=4,$AC$17,$AC$19)*(1-IF(J1745&lt;=Deduc_trim,Deduc_ares,0))</f>
        <v>471553.033232237</v>
      </c>
      <c r="K1777" s="73" t="n">
        <f aca="false">J1767*Capacite_evg*IF(K1745&lt;=4,$AC$17,$AC$19)*(1-IF(K1745&lt;=Deduc_trim,Deduc_ares,0))</f>
        <v>451441.296364882</v>
      </c>
      <c r="L1777" s="73" t="n">
        <f aca="false">K1767*Capacite_evg*IF(L1745&lt;=4,$AC$17,$AC$19)*(1-IF(L1745&lt;=Deduc_trim,Deduc_ares,0))</f>
        <v>432187.32507492</v>
      </c>
      <c r="M1777" s="73" t="n">
        <f aca="false">L1767*Capacite_evg*IF(M1745&lt;=4,$AC$17,$AC$19)*(1-IF(M1745&lt;=Deduc_trim,Deduc_ares,0))</f>
        <v>413754.535660474</v>
      </c>
      <c r="N1777" s="73" t="n">
        <f aca="false">M1767*Capacite_evg*IF(N1745&lt;=4,$AC$17,$AC$19)*(1-IF(N1745&lt;=Deduc_trim,Deduc_ares,0))</f>
        <v>396107.904714555</v>
      </c>
      <c r="O1777" s="73" t="n">
        <f aca="false">N1767*Capacite_evg*IF(O1745&lt;=4,$AC$17,$AC$19)*(1-IF(O1745&lt;=Deduc_trim,Deduc_ares,0))</f>
        <v>379213.902578479</v>
      </c>
    </row>
    <row r="1778" customFormat="false" ht="15" hidden="false" customHeight="false" outlineLevel="0" collapsed="false">
      <c r="B1778" s="65" t="s">
        <v>1049</v>
      </c>
      <c r="C1778" s="25"/>
      <c r="D1778" s="73" t="n">
        <f aca="false">C1792</f>
        <v>7500000</v>
      </c>
      <c r="E1778" s="73" t="n">
        <f aca="false">D1792</f>
        <v>5739375</v>
      </c>
      <c r="F1778" s="73" t="n">
        <f aca="false">E1792</f>
        <v>6562891.4375</v>
      </c>
      <c r="G1778" s="73" t="n">
        <f aca="false">F1792</f>
        <v>4909430.45367109</v>
      </c>
      <c r="H1778" s="73" t="n">
        <f aca="false">G1792</f>
        <v>5659951.93568534</v>
      </c>
      <c r="I1778" s="73" t="n">
        <f aca="false">H1792</f>
        <v>4012380.04095581</v>
      </c>
      <c r="J1778" s="73" t="n">
        <f aca="false">I1792</f>
        <v>4721157.38504098</v>
      </c>
      <c r="K1778" s="73" t="n">
        <f aca="false">J1792</f>
        <v>3052969.10864954</v>
      </c>
      <c r="L1778" s="73" t="n">
        <f aca="false">K1792</f>
        <v>3699458.07298265</v>
      </c>
      <c r="M1778" s="73" t="n">
        <f aca="false">L1792</f>
        <v>4318465.23854271</v>
      </c>
      <c r="N1778" s="73" t="n">
        <f aca="false">M1792</f>
        <v>4911385.49862274</v>
      </c>
      <c r="O1778" s="73" t="n">
        <f aca="false">N1792</f>
        <v>5479562.85218514</v>
      </c>
    </row>
    <row r="1779" customFormat="false" ht="15" hidden="false" customHeight="false" outlineLevel="0" collapsed="false">
      <c r="B1779" s="65" t="s">
        <v>1050</v>
      </c>
      <c r="C1779" s="25"/>
      <c r="D1779" s="73" t="n">
        <f aca="false">D1778*Taux_treso/4</f>
        <v>46875</v>
      </c>
      <c r="E1779" s="73" t="n">
        <f aca="false">E1778*Taux_treso/4</f>
        <v>35871.09375</v>
      </c>
      <c r="F1779" s="73" t="n">
        <f aca="false">F1778*Taux_treso/4</f>
        <v>41018.071484375</v>
      </c>
      <c r="G1779" s="73" t="n">
        <f aca="false">G1778*Taux_treso/4</f>
        <v>30683.9403354443</v>
      </c>
      <c r="H1779" s="73" t="n">
        <f aca="false">H1778*Taux_treso/4</f>
        <v>35374.6995980334</v>
      </c>
      <c r="I1779" s="73" t="n">
        <f aca="false">I1778*Taux_treso/4</f>
        <v>25077.3752559738</v>
      </c>
      <c r="J1779" s="73" t="n">
        <f aca="false">J1778*Taux_treso/4</f>
        <v>29507.2336565061</v>
      </c>
      <c r="K1779" s="73" t="n">
        <f aca="false">K1778*Taux_treso/4</f>
        <v>19081.0569290596</v>
      </c>
      <c r="L1779" s="73" t="n">
        <f aca="false">L1778*Taux_treso/4</f>
        <v>23121.6129561415</v>
      </c>
      <c r="M1779" s="73" t="n">
        <f aca="false">M1778*Taux_treso/4</f>
        <v>26990.407740892</v>
      </c>
      <c r="N1779" s="73" t="n">
        <f aca="false">N1778*Taux_treso/4</f>
        <v>30696.1593663921</v>
      </c>
      <c r="O1779" s="73" t="n">
        <f aca="false">O1778*Taux_treso/4</f>
        <v>34247.2678261571</v>
      </c>
    </row>
    <row r="1780" customFormat="false" ht="15" hidden="false" customHeight="false" outlineLevel="0" collapsed="false">
      <c r="B1780" s="65" t="s">
        <v>1051</v>
      </c>
      <c r="C1780" s="25"/>
      <c r="D1780" s="73" t="n">
        <f aca="false">SUM(D1768:D1771)</f>
        <v>498125</v>
      </c>
      <c r="E1780" s="73" t="n">
        <f aca="false">SUM(E1768:E1771)</f>
        <v>501643.96875</v>
      </c>
      <c r="F1780" s="73" t="n">
        <f aca="false">SUM(F1768:F1771)</f>
        <v>505569.532629688</v>
      </c>
      <c r="G1780" s="73" t="n">
        <f aca="false">SUM(G1768:G1771)</f>
        <v>509888.751029738</v>
      </c>
      <c r="H1780" s="73" t="n">
        <f aca="false">SUM(H1768:H1771)</f>
        <v>514589.239858558</v>
      </c>
      <c r="I1780" s="73" t="n">
        <f aca="false">SUM(I1768:I1771)</f>
        <v>519659.148597052</v>
      </c>
      <c r="J1780" s="73" t="n">
        <f aca="false">SUM(J1768:J1771)</f>
        <v>525087.138315382</v>
      </c>
      <c r="K1780" s="73" t="n">
        <f aca="false">SUM(K1768:K1771)</f>
        <v>530862.360611252</v>
      </c>
      <c r="L1780" s="73" t="n">
        <f aca="false">SUM(L1768:L1771)</f>
        <v>536974.437430912</v>
      </c>
      <c r="M1780" s="73" t="n">
        <f aca="false">SUM(M1768:M1771)</f>
        <v>543413.441735769</v>
      </c>
      <c r="N1780" s="73" t="n">
        <f aca="false">SUM(N1768:N1771)</f>
        <v>550169.878979005</v>
      </c>
      <c r="O1780" s="73" t="n">
        <f aca="false">SUM(O1768:O1771)</f>
        <v>557234.669358171</v>
      </c>
    </row>
    <row r="1781" customFormat="false" ht="15" hidden="false" customHeight="false" outlineLevel="0" collapsed="false">
      <c r="B1781" s="65" t="s">
        <v>1052</v>
      </c>
      <c r="C1781" s="25"/>
      <c r="D1781" s="73" t="n">
        <f aca="false">IF(AND(Distrib_tension=1,OR(D1753&gt;0.000001,C1795&lt;Liq_min,C1759=1)),0,MIN(Dist_porteurs/4*Part_d*D1750,D1780))</f>
        <v>125000</v>
      </c>
      <c r="E1781" s="73" t="n">
        <f aca="false">IF(AND(Distrib_tension=1,OR(E1753&gt;0.000001,D1795&lt;Liq_min,D1759=1)),0,MIN(Dist_porteurs/4*Part_d*E1750,E1780))</f>
        <v>0</v>
      </c>
      <c r="F1781" s="73" t="n">
        <f aca="false">IF(AND(Distrib_tension=1,OR(F1753&gt;0.000001,E1795&lt;Liq_min,E1759=1)),0,MIN(Dist_porteurs/4*Part_d*F1750,F1780))</f>
        <v>0</v>
      </c>
      <c r="G1781" s="73" t="n">
        <f aca="false">IF(AND(Distrib_tension=1,OR(G1753&gt;0.000001,F1795&lt;Liq_min,F1759=1)),0,MIN(Dist_porteurs/4*Part_d*G1750,G1780))</f>
        <v>0</v>
      </c>
      <c r="H1781" s="73" t="n">
        <f aca="false">IF(AND(Distrib_tension=1,OR(H1753&gt;0.000001,G1795&lt;Liq_min,G1759=1)),0,MIN(Dist_porteurs/4*Part_d*H1750,H1780))</f>
        <v>0</v>
      </c>
      <c r="I1781" s="73" t="n">
        <f aca="false">IF(AND(Distrib_tension=1,OR(I1753&gt;0.000001,H1795&lt;Liq_min,H1759=1)),0,MIN(Dist_porteurs/4*Part_d*I1750,I1780))</f>
        <v>0</v>
      </c>
      <c r="J1781" s="73" t="n">
        <f aca="false">IF(AND(Distrib_tension=1,OR(J1753&gt;0.000001,I1795&lt;Liq_min,I1759=1)),0,MIN(Dist_porteurs/4*Part_d*J1750,J1780))</f>
        <v>0</v>
      </c>
      <c r="K1781" s="73" t="n">
        <f aca="false">IF(AND(Distrib_tension=1,OR(K1753&gt;0.000001,J1795&lt;Liq_min,J1759=1)),0,MIN(Dist_porteurs/4*Part_d*K1750,K1780))</f>
        <v>0</v>
      </c>
      <c r="L1781" s="73" t="n">
        <f aca="false">IF(AND(Distrib_tension=1,OR(L1753&gt;0.000001,K1795&lt;Liq_min,K1759=1)),0,MIN(Dist_porteurs/4*Part_d*L1750,L1780))</f>
        <v>0</v>
      </c>
      <c r="M1781" s="73" t="n">
        <f aca="false">IF(AND(Distrib_tension=1,OR(M1753&gt;0.000001,L1795&lt;Liq_min,L1759=1)),0,MIN(Dist_porteurs/4*Part_d*M1750,M1780))</f>
        <v>0</v>
      </c>
      <c r="N1781" s="73" t="n">
        <f aca="false">IF(AND(Distrib_tension=1,OR(N1753&gt;0.000001,M1795&lt;Liq_min,M1759=1)),0,MIN(Dist_porteurs/4*Part_d*N1750,N1780))</f>
        <v>0</v>
      </c>
      <c r="O1781" s="73" t="n">
        <f aca="false">IF(AND(Distrib_tension=1,OR(O1753&gt;0.000001,N1795&lt;Liq_min,N1759=1)),0,MIN(Dist_porteurs/4*Part_d*O1750,O1780))</f>
        <v>0</v>
      </c>
    </row>
    <row r="1782" customFormat="false" ht="15" hidden="false" customHeight="false" outlineLevel="0" collapsed="false">
      <c r="B1782" s="65" t="s">
        <v>1053</v>
      </c>
      <c r="C1782" s="25"/>
      <c r="D1782" s="73" t="n">
        <f aca="false">D1774+D1775</f>
        <v>625000</v>
      </c>
      <c r="E1782" s="73" t="n">
        <f aca="false">E1774+E1775</f>
        <v>625000</v>
      </c>
      <c r="F1782" s="73" t="n">
        <f aca="false">F1774+F1775</f>
        <v>625000</v>
      </c>
      <c r="G1782" s="73" t="n">
        <f aca="false">G1774+G1775</f>
        <v>625000</v>
      </c>
      <c r="H1782" s="73" t="n">
        <f aca="false">H1774+H1775</f>
        <v>625000</v>
      </c>
      <c r="I1782" s="73" t="n">
        <f aca="false">I1774+I1775</f>
        <v>625000</v>
      </c>
      <c r="J1782" s="73" t="n">
        <f aca="false">J1774+J1775</f>
        <v>625000</v>
      </c>
      <c r="K1782" s="73" t="n">
        <f aca="false">K1774+K1775</f>
        <v>625000</v>
      </c>
      <c r="L1782" s="73" t="n">
        <f aca="false">L1774+L1775</f>
        <v>625000</v>
      </c>
      <c r="M1782" s="73" t="n">
        <f aca="false">M1774+M1775</f>
        <v>625000</v>
      </c>
      <c r="N1782" s="73" t="n">
        <f aca="false">N1774+N1775</f>
        <v>625000</v>
      </c>
      <c r="O1782" s="73" t="n">
        <f aca="false">O1774+O1775</f>
        <v>625000</v>
      </c>
    </row>
    <row r="1783" customFormat="false" ht="15" hidden="false" customHeight="false" outlineLevel="0" collapsed="false">
      <c r="B1783" s="65" t="s">
        <v>1054</v>
      </c>
      <c r="C1783" s="25"/>
      <c r="D1783" s="73" t="n">
        <f aca="false">D1750*Frais_an/4</f>
        <v>250000</v>
      </c>
      <c r="E1783" s="73" t="n">
        <f aca="false">E1750*Frais_an/4</f>
        <v>240503.21875</v>
      </c>
      <c r="F1783" s="73" t="n">
        <f aca="false">F1750*Frais_an/4</f>
        <v>244115.758566406</v>
      </c>
      <c r="G1783" s="73" t="n">
        <f aca="false">G1750*Frais_an/4</f>
        <v>235525.86995245</v>
      </c>
      <c r="H1783" s="73" t="n">
        <f aca="false">H1750*Frais_an/4</f>
        <v>239132.447227697</v>
      </c>
      <c r="I1783" s="73" t="n">
        <f aca="false">I1750*Frais_an/4</f>
        <v>230919.446151722</v>
      </c>
      <c r="J1783" s="73" t="n">
        <f aca="false">J1750*Frais_an/4</f>
        <v>234653.645275002</v>
      </c>
      <c r="K1783" s="73" t="n">
        <f aca="false">K1750*Frais_an/4</f>
        <v>226663.257077278</v>
      </c>
      <c r="L1783" s="73" t="n">
        <f aca="false">L1750*Frais_an/4</f>
        <v>230401.495123387</v>
      </c>
      <c r="M1783" s="73" t="n">
        <f aca="false">M1750*Frais_an/4</f>
        <v>234152.767496683</v>
      </c>
      <c r="N1783" s="73" t="n">
        <f aca="false">N1750*Frais_an/4</f>
        <v>237919.447851228</v>
      </c>
      <c r="O1783" s="73" t="n">
        <f aca="false">O1750*Frais_an/4</f>
        <v>241703.843492053</v>
      </c>
    </row>
    <row r="1784" customFormat="false" ht="15" hidden="false" customHeight="false" outlineLevel="0" collapsed="false">
      <c r="B1784" s="65" t="s">
        <v>1055</v>
      </c>
      <c r="C1784" s="25"/>
      <c r="D1784" s="73" t="n">
        <f aca="false">C1793*Taux_emprunt/4</f>
        <v>0</v>
      </c>
      <c r="E1784" s="73" t="n">
        <f aca="false">D1793*Taux_emprunt/4</f>
        <v>0</v>
      </c>
      <c r="F1784" s="73" t="n">
        <f aca="false">E1793*Taux_emprunt/4</f>
        <v>0</v>
      </c>
      <c r="G1784" s="73" t="n">
        <f aca="false">F1793*Taux_emprunt/4</f>
        <v>0</v>
      </c>
      <c r="H1784" s="73" t="n">
        <f aca="false">G1793*Taux_emprunt/4</f>
        <v>0</v>
      </c>
      <c r="I1784" s="73" t="n">
        <f aca="false">H1793*Taux_emprunt/4</f>
        <v>0</v>
      </c>
      <c r="J1784" s="73" t="n">
        <f aca="false">I1793*Taux_emprunt/4</f>
        <v>0</v>
      </c>
      <c r="K1784" s="73" t="n">
        <f aca="false">J1793*Taux_emprunt/4</f>
        <v>0</v>
      </c>
      <c r="L1784" s="73" t="n">
        <f aca="false">K1793*Taux_emprunt/4</f>
        <v>0</v>
      </c>
      <c r="M1784" s="73" t="n">
        <f aca="false">L1793*Taux_emprunt/4</f>
        <v>0</v>
      </c>
      <c r="N1784" s="73" t="n">
        <f aca="false">M1793*Taux_emprunt/4</f>
        <v>0</v>
      </c>
      <c r="O1784" s="73" t="n">
        <f aca="false">N1793*Taux_emprunt/4</f>
        <v>0</v>
      </c>
    </row>
    <row r="1785" customFormat="false" ht="15" hidden="false" customHeight="false" outlineLevel="0" collapsed="false">
      <c r="B1785" s="65" t="s">
        <v>1056</v>
      </c>
      <c r="C1785" s="25"/>
      <c r="D1785" s="73" t="n">
        <f aca="false">D1778+D1779+D1780-D1781+D1751-D1782-D1783-D1784</f>
        <v>7045000</v>
      </c>
      <c r="E1785" s="73" t="n">
        <f aca="false">E1778+E1779+E1780-E1781+E1751-E1782-E1783-E1784</f>
        <v>5411386.84375</v>
      </c>
      <c r="F1785" s="73" t="n">
        <f aca="false">F1778+F1779+F1780-F1781+F1751-F1782-F1783-F1784</f>
        <v>6240363.28304766</v>
      </c>
      <c r="G1785" s="73" t="n">
        <f aca="false">G1778+G1779+G1780-G1781+G1751-G1782-G1783-G1784</f>
        <v>4589477.27508382</v>
      </c>
      <c r="H1785" s="73" t="n">
        <f aca="false">H1778+H1779+H1780-H1781+H1751-H1782-H1783-H1784</f>
        <v>5345783.42791423</v>
      </c>
      <c r="I1785" s="73" t="n">
        <f aca="false">I1778+I1779+I1780-I1781+I1751-I1782-I1783-I1784</f>
        <v>3701197.11865711</v>
      </c>
      <c r="J1785" s="73" t="n">
        <f aca="false">J1778+J1779+J1780-J1781+J1751-J1782-J1783-J1784</f>
        <v>4416098.11173787</v>
      </c>
      <c r="K1785" s="73" t="n">
        <f aca="false">K1778+K1779+K1780-K1781+K1751-K1782-K1783-K1784</f>
        <v>2751249.26911257</v>
      </c>
      <c r="L1785" s="73" t="n">
        <f aca="false">L1778+L1779+L1780-L1781+L1751-L1782-L1783-L1784</f>
        <v>3404152.62824631</v>
      </c>
      <c r="M1785" s="73" t="n">
        <f aca="false">M1778+M1779+M1780-M1781+M1751-M1782-M1783-M1784</f>
        <v>4029716.32052269</v>
      </c>
      <c r="N1785" s="73" t="n">
        <f aca="false">N1778+N1779+N1780-N1781+N1751-N1782-N1783-N1784</f>
        <v>4629332.08911691</v>
      </c>
      <c r="O1785" s="73" t="n">
        <f aca="false">O1778+O1779+O1780-O1781+O1751-O1782-O1783-O1784</f>
        <v>5204340.94587741</v>
      </c>
    </row>
    <row r="1786" customFormat="false" ht="15" hidden="false" customHeight="false" outlineLevel="0" collapsed="false">
      <c r="B1786" s="65" t="s">
        <v>1057</v>
      </c>
      <c r="C1786" s="25"/>
      <c r="D1786" s="73" t="n">
        <f aca="false">MIN(D1776+D1777,MAX(0,Liq_cible*D1750-(D1785-D1760)))</f>
        <v>1194375</v>
      </c>
      <c r="E1786" s="73" t="n">
        <f aca="false">MIN(E1776+E1777,MAX(0,Liq_cible*E1750-(E1785-E1760)))</f>
        <v>1151504.59375</v>
      </c>
      <c r="F1786" s="73" t="n">
        <f aca="false">MIN(F1776+F1777,MAX(0,Liq_cible*F1750-(F1785-F1760)))</f>
        <v>1110224.7562875</v>
      </c>
      <c r="G1786" s="73" t="n">
        <f aca="false">MIN(G1776+G1777,MAX(0,Liq_cible*G1750-(G1785-G1760)))</f>
        <v>1070474.66060151</v>
      </c>
      <c r="H1786" s="73" t="n">
        <f aca="false">MIN(H1776+H1777,MAX(0,Liq_cible*H1750-(H1785-H1760)))</f>
        <v>1057921.08531854</v>
      </c>
      <c r="I1786" s="73" t="n">
        <f aca="false">MIN(I1776+I1777,MAX(0,Liq_cible*I1750-(I1785-I1760)))</f>
        <v>1019960.26638387</v>
      </c>
      <c r="J1786" s="73" t="n">
        <f aca="false">MIN(J1776+J1777,MAX(0,Liq_cible*J1750-(J1785-J1760)))</f>
        <v>983407.44966169</v>
      </c>
      <c r="K1786" s="73" t="n">
        <f aca="false">MIN(K1776+K1777,MAX(0,Liq_cible*K1750-(K1785-K1760)))</f>
        <v>948208.803870077</v>
      </c>
      <c r="L1786" s="73" t="n">
        <f aca="false">MIN(L1776+L1777,MAX(0,Liq_cible*L1750-(L1785-L1760)))</f>
        <v>914312.610296399</v>
      </c>
      <c r="M1786" s="73" t="n">
        <f aca="false">MIN(M1776+M1777,MAX(0,Liq_cible*M1750-(M1785-M1760)))</f>
        <v>881669.178100051</v>
      </c>
      <c r="N1786" s="73" t="n">
        <f aca="false">MIN(N1776+N1777,MAX(0,Liq_cible*N1750-(N1785-N1760)))</f>
        <v>850230.763068225</v>
      </c>
      <c r="O1786" s="73" t="n">
        <f aca="false">MIN(O1776+O1777,MAX(0,Liq_cible*O1750-(O1785-O1760)))</f>
        <v>819951.489682175</v>
      </c>
    </row>
    <row r="1787" customFormat="false" ht="15" hidden="false" customHeight="false" outlineLevel="0" collapsed="false">
      <c r="B1787" s="65" t="s">
        <v>1058</v>
      </c>
      <c r="C1787" s="25"/>
      <c r="D1787" s="73" t="n">
        <f aca="false">D1785-D1760+D1786</f>
        <v>5739375</v>
      </c>
      <c r="E1787" s="73" t="n">
        <f aca="false">E1785-E1760+E1786</f>
        <v>6562891.4375</v>
      </c>
      <c r="F1787" s="73" t="n">
        <f aca="false">F1785-F1760+F1786</f>
        <v>4909430.45367109</v>
      </c>
      <c r="G1787" s="73" t="n">
        <f aca="false">G1785-G1760+G1786</f>
        <v>5659951.93568534</v>
      </c>
      <c r="H1787" s="73" t="n">
        <f aca="false">H1785-H1760+H1786</f>
        <v>4012380.04095581</v>
      </c>
      <c r="I1787" s="73" t="n">
        <f aca="false">I1785-I1760+I1786</f>
        <v>4721157.38504098</v>
      </c>
      <c r="J1787" s="73" t="n">
        <f aca="false">J1785-J1760+J1786</f>
        <v>3052969.10864954</v>
      </c>
      <c r="K1787" s="73" t="n">
        <f aca="false">K1785-K1760+K1786</f>
        <v>3699458.07298265</v>
      </c>
      <c r="L1787" s="73" t="n">
        <f aca="false">L1785-L1760+L1786</f>
        <v>4318465.23854271</v>
      </c>
      <c r="M1787" s="73" t="n">
        <f aca="false">M1785-M1760+M1786</f>
        <v>4911385.49862274</v>
      </c>
      <c r="N1787" s="73" t="n">
        <f aca="false">N1785-N1760+N1786</f>
        <v>5479562.85218514</v>
      </c>
      <c r="O1787" s="73" t="n">
        <f aca="false">O1785-O1760+O1786</f>
        <v>6024292.43555959</v>
      </c>
    </row>
    <row r="1788" customFormat="false" ht="15" hidden="false" customHeight="false" outlineLevel="0" collapsed="false">
      <c r="B1788" s="65" t="s">
        <v>1059</v>
      </c>
      <c r="C1788" s="25"/>
      <c r="D1788" s="73" t="n">
        <f aca="false">MIN(MAX(0,MIN($AC$20*AN_cible,Emprunt_max*D1750)-C1793),MAX(0,IF($AC$20&gt;0,Poche_min_exec*D1750,0)-D1787))-IF(D1787&gt;Liq_cible*D1750,MIN(C1793,D1787-Liq_cible*D1750),0)</f>
        <v>0</v>
      </c>
      <c r="E1788" s="73" t="n">
        <f aca="false">MIN(MAX(0,MIN($AC$20*AN_cible,Emprunt_max*E1750)-D1793),MAX(0,IF($AC$20&gt;0,Poche_min_exec*E1750,0)-E1787))-IF(E1787&gt;Liq_cible*E1750,MIN(D1793,E1787-Liq_cible*E1750),0)</f>
        <v>0</v>
      </c>
      <c r="F1788" s="73" t="n">
        <f aca="false">MIN(MAX(0,MIN($AC$20*AN_cible,Emprunt_max*F1750)-E1793),MAX(0,IF($AC$20&gt;0,Poche_min_exec*F1750,0)-F1787))-IF(F1787&gt;Liq_cible*F1750,MIN(E1793,F1787-Liq_cible*F1750),0)</f>
        <v>0</v>
      </c>
      <c r="G1788" s="73" t="n">
        <f aca="false">MIN(MAX(0,MIN($AC$20*AN_cible,Emprunt_max*G1750)-F1793),MAX(0,IF($AC$20&gt;0,Poche_min_exec*G1750,0)-G1787))-IF(G1787&gt;Liq_cible*G1750,MIN(F1793,G1787-Liq_cible*G1750),0)</f>
        <v>0</v>
      </c>
      <c r="H1788" s="73" t="n">
        <f aca="false">MIN(MAX(0,MIN($AC$20*AN_cible,Emprunt_max*H1750)-G1793),MAX(0,IF($AC$20&gt;0,Poche_min_exec*H1750,0)-H1787))-IF(H1787&gt;Liq_cible*H1750,MIN(G1793,H1787-Liq_cible*H1750),0)</f>
        <v>0</v>
      </c>
      <c r="I1788" s="73" t="n">
        <f aca="false">MIN(MAX(0,MIN($AC$20*AN_cible,Emprunt_max*I1750)-H1793),MAX(0,IF($AC$20&gt;0,Poche_min_exec*I1750,0)-I1787))-IF(I1787&gt;Liq_cible*I1750,MIN(H1793,I1787-Liq_cible*I1750),0)</f>
        <v>0</v>
      </c>
      <c r="J1788" s="73" t="n">
        <f aca="false">MIN(MAX(0,MIN($AC$20*AN_cible,Emprunt_max*J1750)-I1793),MAX(0,IF($AC$20&gt;0,Poche_min_exec*J1750,0)-J1787))-IF(J1787&gt;Liq_cible*J1750,MIN(I1793,J1787-Liq_cible*J1750),0)</f>
        <v>0</v>
      </c>
      <c r="K1788" s="73" t="n">
        <f aca="false">MIN(MAX(0,MIN($AC$20*AN_cible,Emprunt_max*K1750)-J1793),MAX(0,IF($AC$20&gt;0,Poche_min_exec*K1750,0)-K1787))-IF(K1787&gt;Liq_cible*K1750,MIN(J1793,K1787-Liq_cible*K1750),0)</f>
        <v>0</v>
      </c>
      <c r="L1788" s="73" t="n">
        <f aca="false">MIN(MAX(0,MIN($AC$20*AN_cible,Emprunt_max*L1750)-K1793),MAX(0,IF($AC$20&gt;0,Poche_min_exec*L1750,0)-L1787))-IF(L1787&gt;Liq_cible*L1750,MIN(K1793,L1787-Liq_cible*L1750),0)</f>
        <v>0</v>
      </c>
      <c r="M1788" s="73" t="n">
        <f aca="false">MIN(MAX(0,MIN($AC$20*AN_cible,Emprunt_max*M1750)-L1793),MAX(0,IF($AC$20&gt;0,Poche_min_exec*M1750,0)-M1787))-IF(M1787&gt;Liq_cible*M1750,MIN(L1793,M1787-Liq_cible*M1750),0)</f>
        <v>0</v>
      </c>
      <c r="N1788" s="73" t="n">
        <f aca="false">MIN(MAX(0,MIN($AC$20*AN_cible,Emprunt_max*N1750)-M1793),MAX(0,IF($AC$20&gt;0,Poche_min_exec*N1750,0)-N1787))-IF(N1787&gt;Liq_cible*N1750,MIN(M1793,N1787-Liq_cible*N1750),0)</f>
        <v>0</v>
      </c>
      <c r="O1788" s="73" t="n">
        <f aca="false">MIN(MAX(0,MIN($AC$20*AN_cible,Emprunt_max*O1750)-N1793),MAX(0,IF($AC$20&gt;0,Poche_min_exec*O1750,0)-O1787))-IF(O1787&gt;Liq_cible*O1750,MIN(N1793,O1787-Liq_cible*O1750),0)</f>
        <v>0</v>
      </c>
    </row>
    <row r="1789" customFormat="false" ht="15" hidden="false" customHeight="false" outlineLevel="0" collapsed="false">
      <c r="B1789" s="65" t="s">
        <v>1060</v>
      </c>
      <c r="C1789" s="25"/>
      <c r="D1789" s="73" t="n">
        <f aca="false">MIN((C1764+C1765+C1766+C1767),MAX(0,-(D1787+D1788))/(1-Decote))</f>
        <v>0</v>
      </c>
      <c r="E1789" s="73" t="n">
        <f aca="false">MIN((D1764+D1765+D1766+D1767),MAX(0,-(E1787+E1788))/(1-Decote))</f>
        <v>0</v>
      </c>
      <c r="F1789" s="73" t="n">
        <f aca="false">MIN((E1764+E1765+E1766+E1767),MAX(0,-(F1787+F1788))/(1-Decote))</f>
        <v>0</v>
      </c>
      <c r="G1789" s="73" t="n">
        <f aca="false">MIN((F1764+F1765+F1766+F1767),MAX(0,-(G1787+G1788))/(1-Decote))</f>
        <v>0</v>
      </c>
      <c r="H1789" s="73" t="n">
        <f aca="false">MIN((G1764+G1765+G1766+G1767),MAX(0,-(H1787+H1788))/(1-Decote))</f>
        <v>0</v>
      </c>
      <c r="I1789" s="73" t="n">
        <f aca="false">MIN((H1764+H1765+H1766+H1767),MAX(0,-(I1787+I1788))/(1-Decote))</f>
        <v>0</v>
      </c>
      <c r="J1789" s="73" t="n">
        <f aca="false">MIN((I1764+I1765+I1766+I1767),MAX(0,-(J1787+J1788))/(1-Decote))</f>
        <v>0</v>
      </c>
      <c r="K1789" s="73" t="n">
        <f aca="false">MIN((J1764+J1765+J1766+J1767),MAX(0,-(K1787+K1788))/(1-Decote))</f>
        <v>0</v>
      </c>
      <c r="L1789" s="73" t="n">
        <f aca="false">MIN((K1764+K1765+K1766+K1767),MAX(0,-(L1787+L1788))/(1-Decote))</f>
        <v>0</v>
      </c>
      <c r="M1789" s="73" t="n">
        <f aca="false">MIN((L1764+L1765+L1766+L1767),MAX(0,-(M1787+M1788))/(1-Decote))</f>
        <v>0</v>
      </c>
      <c r="N1789" s="73" t="n">
        <f aca="false">MIN((M1764+M1765+M1766+M1767),MAX(0,-(N1787+N1788))/(1-Decote))</f>
        <v>0</v>
      </c>
      <c r="O1789" s="73" t="n">
        <f aca="false">MIN((N1764+N1765+N1766+N1767),MAX(0,-(O1787+O1788))/(1-Decote))</f>
        <v>0</v>
      </c>
    </row>
    <row r="1790" customFormat="false" ht="15" hidden="false" customHeight="false" outlineLevel="0" collapsed="false">
      <c r="B1790" s="65" t="s">
        <v>1061</v>
      </c>
      <c r="C1790" s="25"/>
      <c r="D1790" s="73" t="n">
        <f aca="false">D1789*Decote</f>
        <v>0</v>
      </c>
      <c r="E1790" s="73" t="n">
        <f aca="false">E1789*Decote</f>
        <v>0</v>
      </c>
      <c r="F1790" s="73" t="n">
        <f aca="false">F1789*Decote</f>
        <v>0</v>
      </c>
      <c r="G1790" s="73" t="n">
        <f aca="false">G1789*Decote</f>
        <v>0</v>
      </c>
      <c r="H1790" s="73" t="n">
        <f aca="false">H1789*Decote</f>
        <v>0</v>
      </c>
      <c r="I1790" s="73" t="n">
        <f aca="false">I1789*Decote</f>
        <v>0</v>
      </c>
      <c r="J1790" s="73" t="n">
        <f aca="false">J1789*Decote</f>
        <v>0</v>
      </c>
      <c r="K1790" s="73" t="n">
        <f aca="false">K1789*Decote</f>
        <v>0</v>
      </c>
      <c r="L1790" s="73" t="n">
        <f aca="false">L1789*Decote</f>
        <v>0</v>
      </c>
      <c r="M1790" s="73" t="n">
        <f aca="false">M1789*Decote</f>
        <v>0</v>
      </c>
      <c r="N1790" s="73" t="n">
        <f aca="false">N1789*Decote</f>
        <v>0</v>
      </c>
      <c r="O1790" s="73" t="n">
        <f aca="false">O1789*Decote</f>
        <v>0</v>
      </c>
    </row>
    <row r="1791" customFormat="false" ht="15" hidden="false" customHeight="false" outlineLevel="0" collapsed="false">
      <c r="B1791" s="65" t="s">
        <v>1062</v>
      </c>
      <c r="C1791" s="25"/>
      <c r="D1791" s="73" t="n">
        <f aca="false">IF(AND(D1761&lt;0.000001,C1793+D1788&lt;0.000001),MAX(0,D1787+D1788-Seuil_reinv*D1750),0)</f>
        <v>0</v>
      </c>
      <c r="E1791" s="73" t="n">
        <f aca="false">IF(AND(E1761&lt;0.000001,D1793+E1788&lt;0.000001),MAX(0,E1787+E1788-Seuil_reinv*E1750),0)</f>
        <v>0</v>
      </c>
      <c r="F1791" s="73" t="n">
        <f aca="false">IF(AND(F1761&lt;0.000001,E1793+F1788&lt;0.000001),MAX(0,F1787+F1788-Seuil_reinv*F1750),0)</f>
        <v>0</v>
      </c>
      <c r="G1791" s="73" t="n">
        <f aca="false">IF(AND(G1761&lt;0.000001,F1793+G1788&lt;0.000001),MAX(0,G1787+G1788-Seuil_reinv*G1750),0)</f>
        <v>0</v>
      </c>
      <c r="H1791" s="73" t="n">
        <f aca="false">IF(AND(H1761&lt;0.000001,G1793+H1788&lt;0.000001),MAX(0,H1787+H1788-Seuil_reinv*H1750),0)</f>
        <v>0</v>
      </c>
      <c r="I1791" s="73" t="n">
        <f aca="false">IF(AND(I1761&lt;0.000001,H1793+I1788&lt;0.000001),MAX(0,I1787+I1788-Seuil_reinv*I1750),0)</f>
        <v>0</v>
      </c>
      <c r="J1791" s="73" t="n">
        <f aca="false">IF(AND(J1761&lt;0.000001,I1793+J1788&lt;0.000001),MAX(0,J1787+J1788-Seuil_reinv*J1750),0)</f>
        <v>0</v>
      </c>
      <c r="K1791" s="73" t="n">
        <f aca="false">IF(AND(K1761&lt;0.000001,J1793+K1788&lt;0.000001),MAX(0,K1787+K1788-Seuil_reinv*K1750),0)</f>
        <v>0</v>
      </c>
      <c r="L1791" s="73" t="n">
        <f aca="false">IF(AND(L1761&lt;0.000001,K1793+L1788&lt;0.000001),MAX(0,L1787+L1788-Seuil_reinv*L1750),0)</f>
        <v>0</v>
      </c>
      <c r="M1791" s="73" t="n">
        <f aca="false">IF(AND(M1761&lt;0.000001,L1793+M1788&lt;0.000001),MAX(0,M1787+M1788-Seuil_reinv*M1750),0)</f>
        <v>0</v>
      </c>
      <c r="N1791" s="73" t="n">
        <f aca="false">IF(AND(N1761&lt;0.000001,M1793+N1788&lt;0.000001),MAX(0,N1787+N1788-Seuil_reinv*N1750),0)</f>
        <v>0</v>
      </c>
      <c r="O1791" s="73" t="n">
        <f aca="false">IF(AND(O1761&lt;0.000001,N1793+O1788&lt;0.000001),MAX(0,O1787+O1788-Seuil_reinv*O1750),0)</f>
        <v>0</v>
      </c>
    </row>
    <row r="1792" customFormat="false" ht="15" hidden="false" customHeight="false" outlineLevel="0" collapsed="false">
      <c r="B1792" s="65" t="s">
        <v>1063</v>
      </c>
      <c r="C1792" s="73" t="n">
        <f aca="false">AN_cible*Ws_LIQ</f>
        <v>7500000</v>
      </c>
      <c r="D1792" s="73" t="n">
        <f aca="false">D1787+D1788+D1789-D1790-D1791</f>
        <v>5739375</v>
      </c>
      <c r="E1792" s="73" t="n">
        <f aca="false">E1787+E1788+E1789-E1790-E1791</f>
        <v>6562891.4375</v>
      </c>
      <c r="F1792" s="73" t="n">
        <f aca="false">F1787+F1788+F1789-F1790-F1791</f>
        <v>4909430.45367109</v>
      </c>
      <c r="G1792" s="73" t="n">
        <f aca="false">G1787+G1788+G1789-G1790-G1791</f>
        <v>5659951.93568534</v>
      </c>
      <c r="H1792" s="73" t="n">
        <f aca="false">H1787+H1788+H1789-H1790-H1791</f>
        <v>4012380.04095581</v>
      </c>
      <c r="I1792" s="73" t="n">
        <f aca="false">I1787+I1788+I1789-I1790-I1791</f>
        <v>4721157.38504098</v>
      </c>
      <c r="J1792" s="73" t="n">
        <f aca="false">J1787+J1788+J1789-J1790-J1791</f>
        <v>3052969.10864954</v>
      </c>
      <c r="K1792" s="73" t="n">
        <f aca="false">K1787+K1788+K1789-K1790-K1791</f>
        <v>3699458.07298265</v>
      </c>
      <c r="L1792" s="73" t="n">
        <f aca="false">L1787+L1788+L1789-L1790-L1791</f>
        <v>4318465.23854271</v>
      </c>
      <c r="M1792" s="73" t="n">
        <f aca="false">M1787+M1788+M1789-M1790-M1791</f>
        <v>4911385.49862274</v>
      </c>
      <c r="N1792" s="73" t="n">
        <f aca="false">N1787+N1788+N1789-N1790-N1791</f>
        <v>5479562.85218514</v>
      </c>
      <c r="O1792" s="73" t="n">
        <f aca="false">O1787+O1788+O1789-O1790-O1791</f>
        <v>6024292.43555959</v>
      </c>
    </row>
    <row r="1793" customFormat="false" ht="15" hidden="false" customHeight="false" outlineLevel="0" collapsed="false">
      <c r="B1793" s="65" t="s">
        <v>1064</v>
      </c>
      <c r="C1793" s="73" t="n">
        <v>0</v>
      </c>
      <c r="D1793" s="73" t="n">
        <f aca="false">C1793+D1788</f>
        <v>0</v>
      </c>
      <c r="E1793" s="73" t="n">
        <f aca="false">D1793+E1788</f>
        <v>0</v>
      </c>
      <c r="F1793" s="73" t="n">
        <f aca="false">E1793+F1788</f>
        <v>0</v>
      </c>
      <c r="G1793" s="73" t="n">
        <f aca="false">F1793+G1788</f>
        <v>0</v>
      </c>
      <c r="H1793" s="73" t="n">
        <f aca="false">G1793+H1788</f>
        <v>0</v>
      </c>
      <c r="I1793" s="73" t="n">
        <f aca="false">H1793+I1788</f>
        <v>0</v>
      </c>
      <c r="J1793" s="73" t="n">
        <f aca="false">I1793+J1788</f>
        <v>0</v>
      </c>
      <c r="K1793" s="73" t="n">
        <f aca="false">J1793+K1788</f>
        <v>0</v>
      </c>
      <c r="L1793" s="73" t="n">
        <f aca="false">K1793+L1788</f>
        <v>0</v>
      </c>
      <c r="M1793" s="73" t="n">
        <f aca="false">L1793+M1788</f>
        <v>0</v>
      </c>
      <c r="N1793" s="73" t="n">
        <f aca="false">M1793+N1788</f>
        <v>0</v>
      </c>
      <c r="O1793" s="73" t="n">
        <f aca="false">N1793+O1788</f>
        <v>0</v>
      </c>
    </row>
    <row r="1794" customFormat="false" ht="15" hidden="false" customHeight="false" outlineLevel="0" collapsed="false">
      <c r="B1794" s="74" t="s">
        <v>1065</v>
      </c>
      <c r="C1794" s="73" t="n">
        <f aca="false">C1764+C1765+C1766+C1767+C1792-C1793</f>
        <v>50000000</v>
      </c>
      <c r="D1794" s="73" t="n">
        <f aca="false">D1764+D1765+D1766+D1767+D1792-D1793</f>
        <v>48100643.75</v>
      </c>
      <c r="E1794" s="73" t="n">
        <f aca="false">E1764+E1765+E1766+E1767+E1792-E1793</f>
        <v>48823151.7132813</v>
      </c>
      <c r="F1794" s="73" t="n">
        <f aca="false">F1764+F1765+F1766+F1767+F1792-F1793</f>
        <v>47105173.9904901</v>
      </c>
      <c r="G1794" s="73" t="n">
        <f aca="false">G1764+G1765+G1766+G1767+G1792-G1793</f>
        <v>47826489.4455393</v>
      </c>
      <c r="H1794" s="73" t="n">
        <f aca="false">H1764+H1765+H1766+H1767+H1792-H1793</f>
        <v>46183889.2303444</v>
      </c>
      <c r="I1794" s="73" t="n">
        <f aca="false">I1764+I1765+I1766+I1767+I1792-I1793</f>
        <v>46930729.0550004</v>
      </c>
      <c r="J1794" s="73" t="n">
        <f aca="false">J1764+J1765+J1766+J1767+J1792-J1793</f>
        <v>45332651.4154555</v>
      </c>
      <c r="K1794" s="73" t="n">
        <f aca="false">K1764+K1765+K1766+K1767+K1792-K1793</f>
        <v>46080299.0246774</v>
      </c>
      <c r="L1794" s="73" t="n">
        <f aca="false">L1764+L1765+L1766+L1767+L1792-L1793</f>
        <v>46830553.4993366</v>
      </c>
      <c r="M1794" s="73" t="n">
        <f aca="false">M1764+M1765+M1766+M1767+M1792-M1793</f>
        <v>47583889.5702456</v>
      </c>
      <c r="N1794" s="73" t="n">
        <f aca="false">N1764+N1765+N1766+N1767+N1792-N1793</f>
        <v>48340768.6984106</v>
      </c>
      <c r="O1794" s="73" t="n">
        <f aca="false">O1764+O1765+O1766+O1767+O1792-O1793</f>
        <v>49101639.613394</v>
      </c>
    </row>
    <row r="1795" customFormat="false" ht="15" hidden="false" customHeight="false" outlineLevel="0" collapsed="false">
      <c r="B1795" s="65" t="s">
        <v>1066</v>
      </c>
      <c r="C1795" s="72" t="n">
        <f aca="false">IF((C1794+C1793)&gt;0,C1792/(C1794+C1793),0)</f>
        <v>0.15</v>
      </c>
      <c r="D1795" s="72" t="n">
        <f aca="false">IF((D1794+D1793)&gt;0,D1792/(D1794+D1793),0)</f>
        <v>0.119320128641729</v>
      </c>
      <c r="E1795" s="72" t="n">
        <f aca="false">IF((E1794+E1793)&gt;0,E1792/(E1794+E1793),0)</f>
        <v>0.134421707882384</v>
      </c>
      <c r="F1795" s="72" t="n">
        <f aca="false">IF((F1794+F1793)&gt;0,F1792/(F1794+F1793),0)</f>
        <v>0.104222743231184</v>
      </c>
      <c r="G1795" s="72" t="n">
        <f aca="false">IF((G1794+G1793)&gt;0,G1792/(G1794+G1793),0)</f>
        <v>0.118343453623758</v>
      </c>
      <c r="H1795" s="72" t="n">
        <f aca="false">IF((H1794+H1793)&gt;0,H1792/(H1794+H1793),0)</f>
        <v>0.0868783488749479</v>
      </c>
      <c r="I1795" s="72" t="n">
        <f aca="false">IF((I1794+I1793)&gt;0,I1792/(I1794+I1793),0)</f>
        <v>0.100598424105196</v>
      </c>
      <c r="J1795" s="72" t="n">
        <f aca="false">IF((J1794+J1793)&gt;0,J1792/(J1794+J1793),0)</f>
        <v>0.0673459198463885</v>
      </c>
      <c r="K1795" s="72" t="n">
        <f aca="false">IF((K1794+K1793)&gt;0,K1792/(K1794+K1793),0)</f>
        <v>0.0802828573443387</v>
      </c>
      <c r="L1795" s="72" t="n">
        <f aca="false">IF((L1794+L1793)&gt;0,L1792/(L1794+L1793),0)</f>
        <v>0.0922146956602571</v>
      </c>
      <c r="M1795" s="72" t="n">
        <f aca="false">IF((M1794+M1793)&gt;0,M1792/(M1794+M1793),0)</f>
        <v>0.103215301291676</v>
      </c>
      <c r="N1795" s="72" t="n">
        <f aca="false">IF((N1794+N1793)&gt;0,N1792/(N1794+N1793),0)</f>
        <v>0.113352828259127</v>
      </c>
      <c r="O1795" s="72" t="n">
        <f aca="false">IF((O1794+O1793)&gt;0,O1792/(O1794+O1793),0)</f>
        <v>0.122690249918177</v>
      </c>
    </row>
    <row r="1796" customFormat="false" ht="15" hidden="false" customHeight="false" outlineLevel="0" collapsed="false">
      <c r="B1796" s="65" t="s">
        <v>1067</v>
      </c>
      <c r="C1796" s="72" t="n">
        <f aca="false">0</f>
        <v>0</v>
      </c>
      <c r="D1796" s="72" t="n">
        <f aca="false">IF(D1794&gt;0,D1761/D1794,0)</f>
        <v>0.155923069116928</v>
      </c>
      <c r="E1796" s="72" t="n">
        <f aca="false">IF(E1794&gt;0,E1761/E1794,0)</f>
        <v>0.153615646200894</v>
      </c>
      <c r="F1796" s="72" t="n">
        <f aca="false">IF(F1794&gt;0,F1761/F1794,0)</f>
        <v>0.128124045350517</v>
      </c>
      <c r="G1796" s="72" t="n">
        <f aca="false">IF(G1794&gt;0,G1761/G1794,0)</f>
        <v>0.126191688300143</v>
      </c>
      <c r="H1796" s="72" t="n">
        <f aca="false">IF(H1794&gt;0,H1761/H1794,0)</f>
        <v>0.0996128918959187</v>
      </c>
      <c r="I1796" s="72" t="n">
        <f aca="false">IF(I1794&gt;0,I1761/I1794,0)</f>
        <v>0.0980276858653489</v>
      </c>
      <c r="J1796" s="72" t="n">
        <f aca="false">IF(J1794&gt;0,J1761/J1794,0)</f>
        <v>0.0704258143722188</v>
      </c>
      <c r="K1796" s="72" t="n">
        <f aca="false">IF(K1794&gt;0,K1761/K1794,0)</f>
        <v>0.0692831635462183</v>
      </c>
      <c r="L1796" s="72" t="n">
        <f aca="false">IF(L1794&gt;0,L1761/L1794,0)</f>
        <v>0.087852791962777</v>
      </c>
      <c r="M1796" s="72" t="n">
        <f aca="false">IF(M1794&gt;0,M1761/M1794,0)</f>
        <v>0.0864619288426464</v>
      </c>
      <c r="N1796" s="72" t="n">
        <f aca="false">IF(N1794&gt;0,N1761/N1794,0)</f>
        <v>0.0851081806279631</v>
      </c>
      <c r="O1796" s="72" t="n">
        <f aca="false">IF(O1794&gt;0,O1761/O1794,0)</f>
        <v>0.0837893582876741</v>
      </c>
    </row>
    <row r="1797" customFormat="false" ht="15" hidden="false" customHeight="false" outlineLevel="0" collapsed="false">
      <c r="B1797" s="65" t="s">
        <v>1068</v>
      </c>
      <c r="C1797" s="75" t="n">
        <f aca="false">IF((C1761+SUM(D1752:G1752)+SUM(D1782:G1782)+SUM(D1783:G1783)+SUM(D1781:G1781))&lt;=0,9.99,MIN(9.99,(C1792+SUM(D1780:G1780)+SUM(D1776:G1777)+MAX(0,MIN($AC$20*AN_cible,Emprunt_max*C1794)-C1793))/(C1761+SUM(D1752:G1752)+SUM(D1782:G1782)+SUM(D1783:G1783)+SUM(D1781:G1781))))</f>
        <v>0.963641512810853</v>
      </c>
      <c r="D1797" s="73" t="n">
        <f aca="false">IF((D1761+SUM(E1752:H1752)+SUM(E1782:H1782)+SUM(E1783:H1783)+SUM(E1781:H1781))&lt;=0,9.99,MIN(9.99,(D1792+SUM(E1780:H1780)+SUM(E1776:H1777)+MAX(0,MIN($AC$20*AN_cible,Emprunt_max*D1794)-D1793))/(D1761+SUM(E1752:H1752)+SUM(E1782:H1782)+SUM(E1783:H1783)+SUM(E1781:H1781))))</f>
        <v>0.943293266214982</v>
      </c>
      <c r="E1797" s="73" t="n">
        <f aca="false">IF((E1761+SUM(F1752:I1752)+SUM(F1782:I1782)+SUM(F1783:I1783)+SUM(F1781:I1781))&lt;=0,9.99,MIN(9.99,(E1792+SUM(F1780:I1780)+SUM(F1776:I1777)+MAX(0,MIN($AC$20*AN_cible,Emprunt_max*E1794)-E1793))/(E1761+SUM(F1752:I1752)+SUM(F1782:I1782)+SUM(F1783:I1783)+SUM(F1781:I1781))))</f>
        <v>0.999106749434086</v>
      </c>
      <c r="F1797" s="73" t="n">
        <f aca="false">IF((F1761+SUM(G1752:J1752)+SUM(G1782:J1782)+SUM(G1783:J1783)+SUM(G1781:J1781))&lt;=0,9.99,MIN(9.99,(F1792+SUM(G1780:J1780)+SUM(G1776:J1777)+MAX(0,MIN($AC$20*AN_cible,Emprunt_max*F1794)-F1793))/(F1761+SUM(G1752:J1752)+SUM(G1782:J1782)+SUM(G1783:J1783)+SUM(G1781:J1781))))</f>
        <v>0.977111042990215</v>
      </c>
      <c r="G1797" s="73" t="n">
        <f aca="false">IF((G1761+SUM(H1752:K1752)+SUM(H1782:K1782)+SUM(H1783:K1783)+SUM(H1781:K1781))&lt;=0,9.99,MIN(9.99,(G1792+SUM(H1780:K1780)+SUM(H1776:K1777)+MAX(0,MIN($AC$20*AN_cible,Emprunt_max*G1794)-G1793))/(G1761+SUM(H1752:K1752)+SUM(H1782:K1782)+SUM(H1783:K1783)+SUM(H1781:K1781))))</f>
        <v>1.0350145366214</v>
      </c>
      <c r="H1797" s="73" t="n">
        <f aca="false">IF((H1761+SUM(I1752:L1752)+SUM(I1782:L1782)+SUM(I1783:L1783)+SUM(I1781:L1781))&lt;=0,9.99,MIN(9.99,(H1792+SUM(I1780:L1780)+SUM(I1776:L1777)+MAX(0,MIN($AC$20*AN_cible,Emprunt_max*H1794)-H1793))/(H1761+SUM(I1752:L1752)+SUM(I1782:L1782)+SUM(I1783:L1783)+SUM(I1781:L1781))))</f>
        <v>1.01087514630005</v>
      </c>
      <c r="I1797" s="73" t="n">
        <f aca="false">IF((I1761+SUM(J1752:M1752)+SUM(J1782:M1782)+SUM(J1783:M1783)+SUM(J1781:M1781))&lt;=0,9.99,MIN(9.99,(I1792+SUM(J1780:M1780)+SUM(J1776:M1777)+MAX(0,MIN($AC$20*AN_cible,Emprunt_max*I1794)-I1793))/(I1761+SUM(J1752:M1752)+SUM(J1782:M1782)+SUM(J1783:M1783)+SUM(J1781:M1781))))</f>
        <v>1.07065018684027</v>
      </c>
      <c r="J1797" s="73" t="n">
        <f aca="false">IF((J1761+SUM(K1752:N1752)+SUM(K1782:N1782)+SUM(K1783:N1783)+SUM(K1781:N1781))&lt;=0,9.99,MIN(9.99,(J1792+SUM(K1780:N1780)+SUM(K1776:N1777)+MAX(0,MIN($AC$20*AN_cible,Emprunt_max*J1794)-J1793))/(J1761+SUM(K1752:N1752)+SUM(K1782:N1782)+SUM(K1783:N1783)+SUM(K1781:N1781))))</f>
        <v>1.16776124498862</v>
      </c>
      <c r="K1797" s="73" t="n">
        <f aca="false">IF((K1761+SUM(L1752:O1752)+SUM(L1782:O1782)+SUM(L1783:O1783)+SUM(L1781:O1781))&lt;=0,9.99,MIN(9.99,(K1792+SUM(L1780:O1780)+SUM(L1776:O1777)+MAX(0,MIN($AC$20*AN_cible,Emprunt_max*K1794)-K1793))/(K1761+SUM(L1752:O1752)+SUM(L1782:O1782)+SUM(L1783:O1783)+SUM(L1781:O1781))))</f>
        <v>1.23749056171555</v>
      </c>
      <c r="L1797" s="73" t="n">
        <f aca="false">IF((L1761+SUM(M1752:O1752)+SUM(M1782:O1782)+SUM(M1783:O1783)+SUM(M1781:O1781))&lt;=0,9.99,MIN(9.99,(L1792+SUM(M1780:O1780)+SUM(M1776:O1777)+MAX(0,MIN($AC$20*AN_cible,Emprunt_max*L1794)-L1793))/(L1761+SUM(M1752:O1752)+SUM(M1782:O1782)+SUM(M1783:O1783)+SUM(M1781:O1781))))</f>
        <v>1.27124744307305</v>
      </c>
      <c r="M1797" s="73" t="n">
        <f aca="false">IF((M1761+SUM(N1752:O1752)+SUM(N1782:O1782)+SUM(N1783:O1783)+SUM(N1781:O1781))&lt;=0,9.99,MIN(9.99,(M1792+SUM(N1780:O1780)+SUM(N1776:O1777)+MAX(0,MIN($AC$20*AN_cible,Emprunt_max*M1794)-M1793))/(M1761+SUM(N1752:O1752)+SUM(N1782:O1782)+SUM(N1783:O1783)+SUM(N1781:O1781))))</f>
        <v>1.31574461799751</v>
      </c>
      <c r="N1797" s="73" t="n">
        <f aca="false">IF((N1761+SUM(O1752:O1752)+SUM(O1782:O1782)+SUM(O1783:O1783)+SUM(O1781:O1781))&lt;=0,9.99,MIN(9.99,(N1792+SUM(O1780:O1780)+SUM(O1776:O1777)+MAX(0,MIN($AC$20*AN_cible,Emprunt_max*N1794)-N1793))/(N1761+SUM(O1752:O1752)+SUM(O1782:O1782)+SUM(O1783:O1783)+SUM(O1781:O1781))))</f>
        <v>1.37660880094533</v>
      </c>
      <c r="O1797" s="73" t="n">
        <f aca="false">9.99</f>
        <v>9.99</v>
      </c>
    </row>
    <row r="1798" customFormat="false" ht="15" hidden="false" customHeight="false" outlineLevel="0" collapsed="false">
      <c r="B1798" s="65" t="s">
        <v>1069</v>
      </c>
      <c r="C1798" s="72" t="n">
        <f aca="false">(C1764+C1765+C1766+C1767+C1772+C1773)/C1794</f>
        <v>1</v>
      </c>
      <c r="D1798" s="72" t="n">
        <f aca="false">(D1764+D1765+D1766+D1767+D1772+D1773)/D1794</f>
        <v>1.02360935138212</v>
      </c>
      <c r="E1798" s="72" t="n">
        <f aca="false">(E1764+E1765+E1766+E1767+E1772+E1773)/E1794</f>
        <v>0.993591330618362</v>
      </c>
      <c r="F1798" s="72" t="n">
        <f aca="false">(F1764+F1765+F1766+F1767+F1772+F1773)/F1794</f>
        <v>1.01519089063281</v>
      </c>
      <c r="G1798" s="72" t="n">
        <f aca="false">(G1764+G1765+G1766+G1767+G1772+G1773)/G1794</f>
        <v>0.986201121108067</v>
      </c>
      <c r="H1798" s="72" t="n">
        <f aca="false">(H1764+H1765+H1766+H1767+H1772+H1773)/H1794</f>
        <v>1.00785165487548</v>
      </c>
      <c r="I1798" s="72" t="n">
        <f aca="false">(I1764+I1765+I1766+I1767+I1772+I1773)/I1794</f>
        <v>0.979306577916085</v>
      </c>
      <c r="J1798" s="72" t="n">
        <f aca="false">(J1764+J1765+J1766+J1767+J1772+J1773)/J1794</f>
        <v>1.0015889406223</v>
      </c>
      <c r="K1798" s="72" t="n">
        <f aca="false">(K1764+K1765+K1766+K1767+K1772+K1773)/K1794</f>
        <v>0.97397026281578</v>
      </c>
      <c r="L1798" s="72" t="n">
        <f aca="false">(L1764+L1765+L1766+L1767+L1772+L1773)/L1794</f>
        <v>0.947823268017165</v>
      </c>
      <c r="M1798" s="72" t="n">
        <f aca="false">(M1764+M1765+M1766+M1767+M1772+M1773)/M1794</f>
        <v>0.923054093902567</v>
      </c>
      <c r="N1798" s="72" t="n">
        <f aca="false">(N1764+N1765+N1766+N1767+N1772+N1773)/N1794</f>
        <v>0.899576217282107</v>
      </c>
      <c r="O1798" s="72" t="n">
        <f aca="false">(O1764+O1765+O1766+O1767+O1772+O1773)/O1794</f>
        <v>0.877309750081823</v>
      </c>
    </row>
    <row r="1799" customFormat="false" ht="15" hidden="false" customHeight="false" outlineLevel="0" collapsed="false">
      <c r="B1799" s="65" t="s">
        <v>849</v>
      </c>
      <c r="C1799" s="72" t="n">
        <f aca="false">(C1794+C1793)/C1794</f>
        <v>1</v>
      </c>
      <c r="D1799" s="72" t="n">
        <f aca="false">(D1794+D1793)/D1794</f>
        <v>1</v>
      </c>
      <c r="E1799" s="72" t="n">
        <f aca="false">(E1794+E1793)/E1794</f>
        <v>1</v>
      </c>
      <c r="F1799" s="72" t="n">
        <f aca="false">(F1794+F1793)/F1794</f>
        <v>1</v>
      </c>
      <c r="G1799" s="72" t="n">
        <f aca="false">(G1794+G1793)/G1794</f>
        <v>1</v>
      </c>
      <c r="H1799" s="72" t="n">
        <f aca="false">(H1794+H1793)/H1794</f>
        <v>1</v>
      </c>
      <c r="I1799" s="72" t="n">
        <f aca="false">(I1794+I1793)/I1794</f>
        <v>1</v>
      </c>
      <c r="J1799" s="72" t="n">
        <f aca="false">(J1794+J1793)/J1794</f>
        <v>1</v>
      </c>
      <c r="K1799" s="72" t="n">
        <f aca="false">(K1794+K1793)/K1794</f>
        <v>1</v>
      </c>
      <c r="L1799" s="72" t="n">
        <f aca="false">(L1794+L1793)/L1794</f>
        <v>1</v>
      </c>
      <c r="M1799" s="72" t="n">
        <f aca="false">(M1794+M1793)/M1794</f>
        <v>1</v>
      </c>
      <c r="N1799" s="72" t="n">
        <f aca="false">(N1794+N1793)/N1794</f>
        <v>1</v>
      </c>
      <c r="O1799" s="72" t="n">
        <f aca="false">(O1794+O1793)/O1794</f>
        <v>1</v>
      </c>
    </row>
    <row r="1800" customFormat="false" ht="15" hidden="false" customHeight="false" outlineLevel="0" collapsed="false">
      <c r="B1800" s="65" t="s">
        <v>1070</v>
      </c>
      <c r="C1800" s="72" t="n">
        <f aca="false">(C1764+C1765*MSIG_USD)/C1794</f>
        <v>0.25</v>
      </c>
      <c r="D1800" s="72" t="n">
        <f aca="false">(D1764+D1765*MSIG_USD)/D1794</f>
        <v>0.269675444832274</v>
      </c>
      <c r="E1800" s="72" t="n">
        <f aca="false">(E1764+E1765*MSIG_USD)/E1794</f>
        <v>0.27541785707076</v>
      </c>
      <c r="F1800" s="72" t="n">
        <f aca="false">(F1764+F1765*MSIG_USD)/F1794</f>
        <v>0.295628758414858</v>
      </c>
      <c r="G1800" s="72" t="n">
        <f aca="false">(G1764+G1765*MSIG_USD)/G1794</f>
        <v>0.301260240286235</v>
      </c>
      <c r="H1800" s="72" t="n">
        <f aca="false">(H1764+H1765*MSIG_USD)/H1794</f>
        <v>0.3225047402423</v>
      </c>
      <c r="I1800" s="72" t="n">
        <f aca="false">(I1764+I1765*MSIG_USD)/I1794</f>
        <v>0.327814711194842</v>
      </c>
      <c r="J1800" s="72" t="n">
        <f aca="false">(J1764+J1765*MSIG_USD)/J1794</f>
        <v>0.350264738598829</v>
      </c>
      <c r="K1800" s="72" t="n">
        <f aca="false">(K1764+K1765*MSIG_USD)/K1794</f>
        <v>0.355381594975843</v>
      </c>
      <c r="L1800" s="72" t="n">
        <f aca="false">(L1764+L1765*MSIG_USD)/L1794</f>
        <v>0.360397095479821</v>
      </c>
      <c r="M1800" s="72" t="n">
        <f aca="false">(M1764+M1765*MSIG_USD)/M1794</f>
        <v>0.365312189541524</v>
      </c>
      <c r="N1800" s="72" t="n">
        <f aca="false">(N1764+N1765*MSIG_USD)/N1794</f>
        <v>0.370127717215834</v>
      </c>
      <c r="O1800" s="72" t="n">
        <f aca="false">(O1764+O1765*MSIG_USD)/O1794</f>
        <v>0.374844428976344</v>
      </c>
    </row>
    <row r="1801" customFormat="false" ht="15" hidden="false" customHeight="false" outlineLevel="0" collapsed="false">
      <c r="B1801" s="65" t="s">
        <v>1071</v>
      </c>
      <c r="C1801" s="25"/>
      <c r="D1801" s="65" t="n">
        <f aca="false">IF(AND($AC$9&lt;0.5*Collecte_norm,IF(D1745&lt;=$AC$11,0,$AC$10)&lt;0.5,IF(D1745&lt;=4,$AC$17,($AC$18+$AC$19)/2)&lt;0.7),1,0)</f>
        <v>0</v>
      </c>
      <c r="E1801" s="65" t="n">
        <f aca="false">IF(AND($AC$9&lt;0.5*Collecte_norm,IF(E1745&lt;=$AC$11,0,$AC$10)&lt;0.5,IF(E1745&lt;=4,$AC$17,($AC$18+$AC$19)/2)&lt;0.7),1,0)</f>
        <v>0</v>
      </c>
      <c r="F1801" s="65" t="n">
        <f aca="false">IF(AND($AC$9&lt;0.5*Collecte_norm,IF(F1745&lt;=$AC$11,0,$AC$10)&lt;0.5,IF(F1745&lt;=4,$AC$17,($AC$18+$AC$19)/2)&lt;0.7),1,0)</f>
        <v>0</v>
      </c>
      <c r="G1801" s="65" t="n">
        <f aca="false">IF(AND($AC$9&lt;0.5*Collecte_norm,IF(G1745&lt;=$AC$11,0,$AC$10)&lt;0.5,IF(G1745&lt;=4,$AC$17,($AC$18+$AC$19)/2)&lt;0.7),1,0)</f>
        <v>0</v>
      </c>
      <c r="H1801" s="65" t="n">
        <f aca="false">IF(AND($AC$9&lt;0.5*Collecte_norm,IF(H1745&lt;=$AC$11,0,$AC$10)&lt;0.5,IF(H1745&lt;=4,$AC$17,($AC$18+$AC$19)/2)&lt;0.7),1,0)</f>
        <v>0</v>
      </c>
      <c r="I1801" s="65" t="n">
        <f aca="false">IF(AND($AC$9&lt;0.5*Collecte_norm,IF(I1745&lt;=$AC$11,0,$AC$10)&lt;0.5,IF(I1745&lt;=4,$AC$17,($AC$18+$AC$19)/2)&lt;0.7),1,0)</f>
        <v>0</v>
      </c>
      <c r="J1801" s="65" t="n">
        <f aca="false">IF(AND($AC$9&lt;0.5*Collecte_norm,IF(J1745&lt;=$AC$11,0,$AC$10)&lt;0.5,IF(J1745&lt;=4,$AC$17,($AC$18+$AC$19)/2)&lt;0.7),1,0)</f>
        <v>0</v>
      </c>
      <c r="K1801" s="65" t="n">
        <f aca="false">IF(AND($AC$9&lt;0.5*Collecte_norm,IF(K1745&lt;=$AC$11,0,$AC$10)&lt;0.5,IF(K1745&lt;=4,$AC$17,($AC$18+$AC$19)/2)&lt;0.7),1,0)</f>
        <v>0</v>
      </c>
      <c r="L1801" s="65" t="n">
        <f aca="false">IF(AND($AC$9&lt;0.5*Collecte_norm,IF(L1745&lt;=$AC$11,0,$AC$10)&lt;0.5,IF(L1745&lt;=4,$AC$17,($AC$18+$AC$19)/2)&lt;0.7),1,0)</f>
        <v>0</v>
      </c>
      <c r="M1801" s="65" t="n">
        <f aca="false">IF(AND($AC$9&lt;0.5*Collecte_norm,IF(M1745&lt;=$AC$11,0,$AC$10)&lt;0.5,IF(M1745&lt;=4,$AC$17,($AC$18+$AC$19)/2)&lt;0.7),1,0)</f>
        <v>0</v>
      </c>
      <c r="N1801" s="65" t="n">
        <f aca="false">IF(AND($AC$9&lt;0.5*Collecte_norm,IF(N1745&lt;=$AC$11,0,$AC$10)&lt;0.5,IF(N1745&lt;=4,$AC$17,($AC$18+$AC$19)/2)&lt;0.7),1,0)</f>
        <v>0</v>
      </c>
      <c r="O1801" s="65" t="n">
        <f aca="false">IF(AND($AC$9&lt;0.5*Collecte_norm,IF(O1745&lt;=$AC$11,0,$AC$10)&lt;0.5,IF(O1745&lt;=4,$AC$17,($AC$18+$AC$19)/2)&lt;0.7),1,0)</f>
        <v>0</v>
      </c>
    </row>
    <row r="1802" customFormat="false" ht="15" hidden="false" customHeight="false" outlineLevel="0" collapsed="false">
      <c r="B1802" s="76" t="s">
        <v>1072</v>
      </c>
      <c r="C1802" s="76" t="n">
        <v>99</v>
      </c>
      <c r="D1802" s="76" t="n">
        <f aca="false">IF(D1762=1,D1748,99)</f>
        <v>1</v>
      </c>
      <c r="E1802" s="76" t="n">
        <f aca="false">IF(E1762=1,E1748,99)</f>
        <v>99</v>
      </c>
      <c r="F1802" s="76" t="n">
        <f aca="false">IF(F1762=1,F1748,99)</f>
        <v>2</v>
      </c>
      <c r="G1802" s="76" t="n">
        <f aca="false">IF(G1762=1,G1748,99)</f>
        <v>99</v>
      </c>
      <c r="H1802" s="76" t="n">
        <f aca="false">IF(H1762=1,H1748,99)</f>
        <v>3</v>
      </c>
      <c r="I1802" s="76" t="n">
        <f aca="false">IF(I1762=1,I1748,99)</f>
        <v>99</v>
      </c>
      <c r="J1802" s="76" t="n">
        <f aca="false">IF(J1762=1,J1748,99)</f>
        <v>4</v>
      </c>
      <c r="K1802" s="76" t="n">
        <f aca="false">IF(K1762=1,K1748,99)</f>
        <v>99</v>
      </c>
      <c r="L1802" s="76" t="n">
        <f aca="false">IF(L1762=1,L1748,99)</f>
        <v>99</v>
      </c>
      <c r="M1802" s="76" t="n">
        <f aca="false">IF(M1762=1,M1748,99)</f>
        <v>99</v>
      </c>
      <c r="N1802" s="76" t="n">
        <f aca="false">IF(N1762=1,N1748,99)</f>
        <v>99</v>
      </c>
      <c r="O1802" s="76" t="n">
        <f aca="false">IF(O1762=1,O1748,99)</f>
        <v>99</v>
      </c>
    </row>
    <row r="1803" customFormat="false" ht="15" hidden="false" customHeight="false" outlineLevel="0" collapsed="false">
      <c r="B1803" s="76" t="s">
        <v>1073</v>
      </c>
      <c r="C1803" s="76" t="n">
        <v>99</v>
      </c>
      <c r="D1803" s="76" t="n">
        <f aca="false">IF(AND(D1747=1,D1748&gt;MIN($D1802:$O1802),D1761&lt;=0.000001),D1748,99)</f>
        <v>99</v>
      </c>
      <c r="E1803" s="76" t="n">
        <f aca="false">IF(AND(E1747=1,E1748&gt;MIN($D1802:$O1802),E1761&lt;=0.000001),E1748,99)</f>
        <v>99</v>
      </c>
      <c r="F1803" s="76" t="n">
        <f aca="false">IF(AND(F1747=1,F1748&gt;MIN($D1802:$O1802),F1761&lt;=0.000001),F1748,99)</f>
        <v>99</v>
      </c>
      <c r="G1803" s="76" t="n">
        <f aca="false">IF(AND(G1747=1,G1748&gt;MIN($D1802:$O1802),G1761&lt;=0.000001),G1748,99)</f>
        <v>99</v>
      </c>
      <c r="H1803" s="76" t="n">
        <f aca="false">IF(AND(H1747=1,H1748&gt;MIN($D1802:$O1802),H1761&lt;=0.000001),H1748,99)</f>
        <v>99</v>
      </c>
      <c r="I1803" s="76" t="n">
        <f aca="false">IF(AND(I1747=1,I1748&gt;MIN($D1802:$O1802),I1761&lt;=0.000001),I1748,99)</f>
        <v>99</v>
      </c>
      <c r="J1803" s="76" t="n">
        <f aca="false">IF(AND(J1747=1,J1748&gt;MIN($D1802:$O1802),J1761&lt;=0.000001),J1748,99)</f>
        <v>99</v>
      </c>
      <c r="K1803" s="76" t="n">
        <f aca="false">IF(AND(K1747=1,K1748&gt;MIN($D1802:$O1802),K1761&lt;=0.000001),K1748,99)</f>
        <v>99</v>
      </c>
      <c r="L1803" s="76" t="n">
        <f aca="false">IF(AND(L1747=1,L1748&gt;MIN($D1802:$O1802),L1761&lt;=0.000001),L1748,99)</f>
        <v>99</v>
      </c>
      <c r="M1803" s="76" t="n">
        <f aca="false">IF(AND(M1747=1,M1748&gt;MIN($D1802:$O1802),M1761&lt;=0.000001),M1748,99)</f>
        <v>99</v>
      </c>
      <c r="N1803" s="76" t="n">
        <f aca="false">IF(AND(N1747=1,N1748&gt;MIN($D1802:$O1802),N1761&lt;=0.000001),N1748,99)</f>
        <v>99</v>
      </c>
      <c r="O1803" s="76" t="n">
        <f aca="false">IF(AND(O1747=1,O1748&gt;MIN($D1802:$O1802),O1761&lt;=0.000001),O1748,99)</f>
        <v>99</v>
      </c>
    </row>
    <row r="1804" customFormat="false" ht="15" hidden="false" customHeight="false" outlineLevel="0" collapsed="false">
      <c r="B1804" s="76" t="s">
        <v>1074</v>
      </c>
      <c r="C1804" s="76" t="n">
        <v>9999999</v>
      </c>
      <c r="D1804" s="76" t="n">
        <f aca="false">IF(D1759=1,D1746,9999999)</f>
        <v>9999999</v>
      </c>
      <c r="E1804" s="76" t="n">
        <f aca="false">IF(E1759=1,E1746,9999999)</f>
        <v>9999999</v>
      </c>
      <c r="F1804" s="76" t="n">
        <f aca="false">IF(F1759=1,F1746,9999999)</f>
        <v>9999999</v>
      </c>
      <c r="G1804" s="76" t="n">
        <f aca="false">IF(G1759=1,G1746,9999999)</f>
        <v>9999999</v>
      </c>
      <c r="H1804" s="76" t="n">
        <f aca="false">IF(H1759=1,H1746,9999999)</f>
        <v>9999999</v>
      </c>
      <c r="I1804" s="76" t="n">
        <f aca="false">IF(I1759=1,I1746,9999999)</f>
        <v>9999999</v>
      </c>
      <c r="J1804" s="76" t="n">
        <f aca="false">IF(J1759=1,J1746,9999999)</f>
        <v>9999999</v>
      </c>
      <c r="K1804" s="76" t="n">
        <f aca="false">IF(K1759=1,K1746,9999999)</f>
        <v>9999999</v>
      </c>
      <c r="L1804" s="77" t="n">
        <f aca="false">IF(L1759=1,L1746,9999999)</f>
        <v>47848</v>
      </c>
      <c r="M1804" s="77" t="n">
        <f aca="false">IF(M1759=1,M1746,9999999)</f>
        <v>47938</v>
      </c>
      <c r="N1804" s="77" t="n">
        <f aca="false">IF(N1759=1,N1746,9999999)</f>
        <v>48029</v>
      </c>
      <c r="O1804" s="77" t="n">
        <f aca="false">IF(O1759=1,O1746,9999999)</f>
        <v>48121</v>
      </c>
    </row>
    <row r="1805" customFormat="false" ht="15" hidden="false" customHeight="false" outlineLevel="0" collapsed="false">
      <c r="B1805" s="76" t="s">
        <v>1075</v>
      </c>
      <c r="C1805" s="76" t="n">
        <v>9999999</v>
      </c>
      <c r="D1805" s="76" t="n">
        <f aca="false">IF(D1801=1,D1746,9999999)</f>
        <v>9999999</v>
      </c>
      <c r="E1805" s="76" t="n">
        <f aca="false">IF(E1801=1,E1746,9999999)</f>
        <v>9999999</v>
      </c>
      <c r="F1805" s="76" t="n">
        <f aca="false">IF(F1801=1,F1746,9999999)</f>
        <v>9999999</v>
      </c>
      <c r="G1805" s="76" t="n">
        <f aca="false">IF(G1801=1,G1746,9999999)</f>
        <v>9999999</v>
      </c>
      <c r="H1805" s="76" t="n">
        <f aca="false">IF(H1801=1,H1746,9999999)</f>
        <v>9999999</v>
      </c>
      <c r="I1805" s="76" t="n">
        <f aca="false">IF(I1801=1,I1746,9999999)</f>
        <v>9999999</v>
      </c>
      <c r="J1805" s="76" t="n">
        <f aca="false">IF(J1801=1,J1746,9999999)</f>
        <v>9999999</v>
      </c>
      <c r="K1805" s="76" t="n">
        <f aca="false">IF(K1801=1,K1746,9999999)</f>
        <v>9999999</v>
      </c>
      <c r="L1805" s="76" t="n">
        <f aca="false">IF(L1801=1,L1746,9999999)</f>
        <v>9999999</v>
      </c>
      <c r="M1805" s="76" t="n">
        <f aca="false">IF(M1801=1,M1746,9999999)</f>
        <v>9999999</v>
      </c>
      <c r="N1805" s="76" t="n">
        <f aca="false">IF(N1801=1,N1746,9999999)</f>
        <v>9999999</v>
      </c>
      <c r="O1805" s="76" t="n">
        <f aca="false">IF(O1801=1,O1746,9999999)</f>
        <v>9999999</v>
      </c>
    </row>
    <row r="1810" customFormat="false" ht="15" hidden="false" customHeight="false" outlineLevel="0" collapsed="false">
      <c r="B1810" s="45" t="str">
        <f aca="false">AD$5</f>
        <v>Porteur unique 25 % à une date</v>
      </c>
      <c r="C1810" s="45" t="s">
        <v>55</v>
      </c>
      <c r="D1810" s="45" t="n">
        <v>28</v>
      </c>
      <c r="E1810" s="2"/>
      <c r="F1810" s="2"/>
      <c r="G1810" s="2"/>
      <c r="H1810" s="2"/>
      <c r="I1810" s="2"/>
      <c r="J1810" s="2"/>
      <c r="K1810" s="2"/>
      <c r="L1810" s="2"/>
      <c r="M1810" s="2"/>
      <c r="N1810" s="2"/>
      <c r="O1810" s="2"/>
    </row>
    <row r="1811" customFormat="false" ht="15" hidden="false" customHeight="false" outlineLevel="0" collapsed="false">
      <c r="B1811" s="65" t="s">
        <v>1019</v>
      </c>
      <c r="C1811" s="65" t="n">
        <v>0</v>
      </c>
      <c r="D1811" s="65" t="n">
        <v>1</v>
      </c>
      <c r="E1811" s="65" t="n">
        <v>2</v>
      </c>
      <c r="F1811" s="65" t="n">
        <v>3</v>
      </c>
      <c r="G1811" s="65" t="n">
        <v>4</v>
      </c>
      <c r="H1811" s="65" t="n">
        <v>5</v>
      </c>
      <c r="I1811" s="65" t="n">
        <v>6</v>
      </c>
      <c r="J1811" s="65" t="n">
        <v>7</v>
      </c>
      <c r="K1811" s="65" t="n">
        <v>8</v>
      </c>
      <c r="L1811" s="65" t="n">
        <v>9</v>
      </c>
      <c r="M1811" s="65" t="n">
        <v>10</v>
      </c>
      <c r="N1811" s="65" t="n">
        <v>11</v>
      </c>
      <c r="O1811" s="65" t="n">
        <v>12</v>
      </c>
    </row>
    <row r="1812" customFormat="false" ht="15" hidden="false" customHeight="false" outlineLevel="0" collapsed="false">
      <c r="B1812" s="65" t="s">
        <v>209</v>
      </c>
      <c r="C1812" s="71" t="n">
        <f aca="false">Date_depart</f>
        <v>47026</v>
      </c>
      <c r="D1812" s="71" t="n">
        <f aca="false">EOMONTH(Date_depart,3*D1811)</f>
        <v>47118</v>
      </c>
      <c r="E1812" s="71" t="n">
        <f aca="false">EOMONTH(Date_depart,3*E1811)</f>
        <v>47208</v>
      </c>
      <c r="F1812" s="71" t="n">
        <f aca="false">EOMONTH(Date_depart,3*F1811)</f>
        <v>47299</v>
      </c>
      <c r="G1812" s="71" t="n">
        <f aca="false">EOMONTH(Date_depart,3*G1811)</f>
        <v>47391</v>
      </c>
      <c r="H1812" s="71" t="n">
        <f aca="false">EOMONTH(Date_depart,3*H1811)</f>
        <v>47483</v>
      </c>
      <c r="I1812" s="71" t="n">
        <f aca="false">EOMONTH(Date_depart,3*I1811)</f>
        <v>47573</v>
      </c>
      <c r="J1812" s="71" t="n">
        <f aca="false">EOMONTH(Date_depart,3*J1811)</f>
        <v>47664</v>
      </c>
      <c r="K1812" s="71" t="n">
        <f aca="false">EOMONTH(Date_depart,3*K1811)</f>
        <v>47756</v>
      </c>
      <c r="L1812" s="71" t="n">
        <f aca="false">EOMONTH(Date_depart,3*L1811)</f>
        <v>47848</v>
      </c>
      <c r="M1812" s="71" t="n">
        <f aca="false">EOMONTH(Date_depart,3*M1811)</f>
        <v>47938</v>
      </c>
      <c r="N1812" s="71" t="n">
        <f aca="false">EOMONTH(Date_depart,3*N1811)</f>
        <v>48029</v>
      </c>
      <c r="O1812" s="71" t="n">
        <f aca="false">EOMONTH(Date_depart,3*O1811)</f>
        <v>48121</v>
      </c>
    </row>
    <row r="1813" customFormat="false" ht="15" hidden="false" customHeight="false" outlineLevel="0" collapsed="false">
      <c r="B1813" s="65" t="s">
        <v>1020</v>
      </c>
      <c r="C1813" s="65" t="n">
        <v>0</v>
      </c>
      <c r="D1813" s="65" t="n">
        <f aca="false">IF(OR(MONTH(D1812)=6,MONTH(D1812)=12),1,0)</f>
        <v>1</v>
      </c>
      <c r="E1813" s="65" t="n">
        <f aca="false">IF(OR(MONTH(E1812)=6,MONTH(E1812)=12),1,0)</f>
        <v>0</v>
      </c>
      <c r="F1813" s="65" t="n">
        <f aca="false">IF(OR(MONTH(F1812)=6,MONTH(F1812)=12),1,0)</f>
        <v>1</v>
      </c>
      <c r="G1813" s="65" t="n">
        <f aca="false">IF(OR(MONTH(G1812)=6,MONTH(G1812)=12),1,0)</f>
        <v>0</v>
      </c>
      <c r="H1813" s="65" t="n">
        <f aca="false">IF(OR(MONTH(H1812)=6,MONTH(H1812)=12),1,0)</f>
        <v>1</v>
      </c>
      <c r="I1813" s="65" t="n">
        <f aca="false">IF(OR(MONTH(I1812)=6,MONTH(I1812)=12),1,0)</f>
        <v>0</v>
      </c>
      <c r="J1813" s="65" t="n">
        <f aca="false">IF(OR(MONTH(J1812)=6,MONTH(J1812)=12),1,0)</f>
        <v>1</v>
      </c>
      <c r="K1813" s="65" t="n">
        <f aca="false">IF(OR(MONTH(K1812)=6,MONTH(K1812)=12),1,0)</f>
        <v>0</v>
      </c>
      <c r="L1813" s="65" t="n">
        <f aca="false">IF(OR(MONTH(L1812)=6,MONTH(L1812)=12),1,0)</f>
        <v>1</v>
      </c>
      <c r="M1813" s="65" t="n">
        <f aca="false">IF(OR(MONTH(M1812)=6,MONTH(M1812)=12),1,0)</f>
        <v>0</v>
      </c>
      <c r="N1813" s="65" t="n">
        <f aca="false">IF(OR(MONTH(N1812)=6,MONTH(N1812)=12),1,0)</f>
        <v>1</v>
      </c>
      <c r="O1813" s="65" t="n">
        <f aca="false">IF(OR(MONTH(O1812)=6,MONTH(O1812)=12),1,0)</f>
        <v>0</v>
      </c>
    </row>
    <row r="1814" customFormat="false" ht="15" hidden="false" customHeight="false" outlineLevel="0" collapsed="false">
      <c r="B1814" s="65" t="s">
        <v>1021</v>
      </c>
      <c r="C1814" s="65" t="n">
        <v>0</v>
      </c>
      <c r="D1814" s="65" t="n">
        <f aca="false">C1814+D1813</f>
        <v>1</v>
      </c>
      <c r="E1814" s="65" t="n">
        <f aca="false">D1814+E1813</f>
        <v>1</v>
      </c>
      <c r="F1814" s="65" t="n">
        <f aca="false">E1814+F1813</f>
        <v>2</v>
      </c>
      <c r="G1814" s="65" t="n">
        <f aca="false">F1814+G1813</f>
        <v>2</v>
      </c>
      <c r="H1814" s="65" t="n">
        <f aca="false">G1814+H1813</f>
        <v>3</v>
      </c>
      <c r="I1814" s="65" t="n">
        <f aca="false">H1814+I1813</f>
        <v>3</v>
      </c>
      <c r="J1814" s="65" t="n">
        <f aca="false">I1814+J1813</f>
        <v>4</v>
      </c>
      <c r="K1814" s="65" t="n">
        <f aca="false">J1814+K1813</f>
        <v>4</v>
      </c>
      <c r="L1814" s="65" t="n">
        <f aca="false">K1814+L1813</f>
        <v>5</v>
      </c>
      <c r="M1814" s="65" t="n">
        <f aca="false">L1814+M1813</f>
        <v>5</v>
      </c>
      <c r="N1814" s="65" t="n">
        <f aca="false">M1814+N1813</f>
        <v>6</v>
      </c>
      <c r="O1814" s="65" t="n">
        <f aca="false">N1814+O1813</f>
        <v>6</v>
      </c>
    </row>
    <row r="1815" customFormat="false" ht="15" hidden="false" customHeight="false" outlineLevel="0" collapsed="false">
      <c r="B1815" s="65" t="s">
        <v>1022</v>
      </c>
      <c r="C1815" s="25"/>
      <c r="D1815" s="72" t="n">
        <f aca="false">IF(D1813=1,IF(C1825=1,0,IF(D1814=1,$AD$6,IF(D1814=2,$AD$7,$AD$8))),0)</f>
        <v>0.25</v>
      </c>
      <c r="E1815" s="72" t="n">
        <f aca="false">IF(E1813=1,IF(D1825=1,0,IF(E1814=1,$AD$6,IF(E1814=2,$AD$7,$AD$8))),0)</f>
        <v>0</v>
      </c>
      <c r="F1815" s="72" t="n">
        <f aca="false">IF(F1813=1,IF(E1825=1,0,IF(F1814=1,$AD$6,IF(F1814=2,$AD$7,$AD$8))),0)</f>
        <v>0.02</v>
      </c>
      <c r="G1815" s="72" t="n">
        <f aca="false">IF(G1813=1,IF(F1825=1,0,IF(G1814=1,$AD$6,IF(G1814=2,$AD$7,$AD$8))),0)</f>
        <v>0</v>
      </c>
      <c r="H1815" s="72" t="n">
        <f aca="false">IF(H1813=1,IF(G1825=1,0,IF(H1814=1,$AD$6,IF(H1814=2,$AD$7,$AD$8))),0)</f>
        <v>0.02</v>
      </c>
      <c r="I1815" s="72" t="n">
        <f aca="false">IF(I1813=1,IF(H1825=1,0,IF(I1814=1,$AD$6,IF(I1814=2,$AD$7,$AD$8))),0)</f>
        <v>0</v>
      </c>
      <c r="J1815" s="72" t="n">
        <f aca="false">IF(J1813=1,IF(I1825=1,0,IF(J1814=1,$AD$6,IF(J1814=2,$AD$7,$AD$8))),0)</f>
        <v>0.02</v>
      </c>
      <c r="K1815" s="72" t="n">
        <f aca="false">IF(K1813=1,IF(J1825=1,0,IF(K1814=1,$AD$6,IF(K1814=2,$AD$7,$AD$8))),0)</f>
        <v>0</v>
      </c>
      <c r="L1815" s="72" t="n">
        <f aca="false">IF(L1813=1,IF(K1825=1,0,IF(L1814=1,$AD$6,IF(L1814=2,$AD$7,$AD$8))),0)</f>
        <v>0.02</v>
      </c>
      <c r="M1815" s="72" t="n">
        <f aca="false">IF(M1813=1,IF(L1825=1,0,IF(M1814=1,$AD$6,IF(M1814=2,$AD$7,$AD$8))),0)</f>
        <v>0</v>
      </c>
      <c r="N1815" s="72" t="n">
        <f aca="false">IF(N1813=1,IF(M1825=1,0,IF(N1814=1,$AD$6,IF(N1814=2,$AD$7,$AD$8))),0)</f>
        <v>0</v>
      </c>
      <c r="O1815" s="72" t="n">
        <f aca="false">IF(O1813=1,IF(N1825=1,0,IF(O1814=1,$AD$6,IF(O1814=2,$AD$7,$AD$8))),0)</f>
        <v>0</v>
      </c>
    </row>
    <row r="1816" customFormat="false" ht="15" hidden="false" customHeight="false" outlineLevel="0" collapsed="false">
      <c r="B1816" s="65" t="s">
        <v>1023</v>
      </c>
      <c r="C1816" s="25"/>
      <c r="D1816" s="73" t="n">
        <f aca="false">C1860</f>
        <v>50000000</v>
      </c>
      <c r="E1816" s="73" t="n">
        <f aca="false">D1860</f>
        <v>48100643.75</v>
      </c>
      <c r="F1816" s="73" t="n">
        <f aca="false">E1860</f>
        <v>48823151.7132813</v>
      </c>
      <c r="G1816" s="73" t="n">
        <f aca="false">F1860</f>
        <v>47105173.9904901</v>
      </c>
      <c r="H1816" s="73" t="n">
        <f aca="false">G1860</f>
        <v>47826489.4455393</v>
      </c>
      <c r="I1816" s="73" t="n">
        <f aca="false">H1860</f>
        <v>46183889.2303444</v>
      </c>
      <c r="J1816" s="73" t="n">
        <f aca="false">I1860</f>
        <v>46930729.0550004</v>
      </c>
      <c r="K1816" s="73" t="n">
        <f aca="false">J1860</f>
        <v>45332651.4154555</v>
      </c>
      <c r="L1816" s="73" t="n">
        <f aca="false">K1860</f>
        <v>46080299.0246774</v>
      </c>
      <c r="M1816" s="73" t="n">
        <f aca="false">L1860</f>
        <v>46830553.4993366</v>
      </c>
      <c r="N1816" s="73" t="n">
        <f aca="false">M1860</f>
        <v>47583889.5702456</v>
      </c>
      <c r="O1816" s="73" t="n">
        <f aca="false">N1860</f>
        <v>48340768.6984106</v>
      </c>
    </row>
    <row r="1817" customFormat="false" ht="15" hidden="false" customHeight="false" outlineLevel="0" collapsed="false">
      <c r="B1817" s="65" t="s">
        <v>177</v>
      </c>
      <c r="C1817" s="25"/>
      <c r="D1817" s="73" t="n">
        <f aca="false">IF(C1825=1,0,$AD$9*D1816)</f>
        <v>0</v>
      </c>
      <c r="E1817" s="73" t="n">
        <f aca="false">IF(D1825=1,0,$AD$9*E1816)</f>
        <v>0</v>
      </c>
      <c r="F1817" s="73" t="n">
        <f aca="false">IF(E1825=1,0,$AD$9*F1816)</f>
        <v>0</v>
      </c>
      <c r="G1817" s="73" t="n">
        <f aca="false">IF(F1825=1,0,$AD$9*G1816)</f>
        <v>0</v>
      </c>
      <c r="H1817" s="73" t="n">
        <f aca="false">IF(G1825=1,0,$AD$9*H1816)</f>
        <v>0</v>
      </c>
      <c r="I1817" s="73" t="n">
        <f aca="false">IF(H1825=1,0,$AD$9*I1816)</f>
        <v>0</v>
      </c>
      <c r="J1817" s="73" t="n">
        <f aca="false">IF(I1825=1,0,$AD$9*J1816)</f>
        <v>0</v>
      </c>
      <c r="K1817" s="73" t="n">
        <f aca="false">IF(J1825=1,0,$AD$9*K1816)</f>
        <v>0</v>
      </c>
      <c r="L1817" s="73" t="n">
        <f aca="false">IF(K1825=1,0,$AD$9*L1816)</f>
        <v>0</v>
      </c>
      <c r="M1817" s="73" t="n">
        <f aca="false">IF(L1825=1,0,$AD$9*M1816)</f>
        <v>0</v>
      </c>
      <c r="N1817" s="73" t="n">
        <f aca="false">IF(M1825=1,0,$AD$9*N1816)</f>
        <v>0</v>
      </c>
      <c r="O1817" s="73" t="n">
        <f aca="false">IF(N1825=1,0,$AD$9*O1816)</f>
        <v>0</v>
      </c>
    </row>
    <row r="1818" customFormat="false" ht="15" hidden="false" customHeight="false" outlineLevel="0" collapsed="false">
      <c r="B1818" s="65" t="s">
        <v>1024</v>
      </c>
      <c r="C1818" s="25"/>
      <c r="D1818" s="73" t="n">
        <f aca="false">D1815*D1816</f>
        <v>12500000</v>
      </c>
      <c r="E1818" s="73" t="n">
        <f aca="false">E1815*E1816</f>
        <v>0</v>
      </c>
      <c r="F1818" s="73" t="n">
        <f aca="false">F1815*F1816</f>
        <v>976463.034265625</v>
      </c>
      <c r="G1818" s="73" t="n">
        <f aca="false">G1815*G1816</f>
        <v>0</v>
      </c>
      <c r="H1818" s="73" t="n">
        <f aca="false">H1815*H1816</f>
        <v>956529.788910786</v>
      </c>
      <c r="I1818" s="73" t="n">
        <f aca="false">I1815*I1816</f>
        <v>0</v>
      </c>
      <c r="J1818" s="73" t="n">
        <f aca="false">J1815*J1816</f>
        <v>938614.581100009</v>
      </c>
      <c r="K1818" s="73" t="n">
        <f aca="false">K1815*K1816</f>
        <v>0</v>
      </c>
      <c r="L1818" s="73" t="n">
        <f aca="false">L1815*L1816</f>
        <v>921605.980493548</v>
      </c>
      <c r="M1818" s="73" t="n">
        <f aca="false">M1815*M1816</f>
        <v>0</v>
      </c>
      <c r="N1818" s="73" t="n">
        <f aca="false">N1815*N1816</f>
        <v>0</v>
      </c>
      <c r="O1818" s="73" t="n">
        <f aca="false">O1815*O1816</f>
        <v>0</v>
      </c>
    </row>
    <row r="1819" customFormat="false" ht="15" hidden="false" customHeight="false" outlineLevel="0" collapsed="false">
      <c r="B1819" s="65" t="s">
        <v>1025</v>
      </c>
      <c r="C1819" s="25"/>
      <c r="D1819" s="73" t="n">
        <f aca="false">C1827</f>
        <v>0</v>
      </c>
      <c r="E1819" s="73" t="n">
        <f aca="false">D1827</f>
        <v>10000000</v>
      </c>
      <c r="F1819" s="73" t="n">
        <f aca="false">E1827</f>
        <v>10000000</v>
      </c>
      <c r="G1819" s="73" t="n">
        <f aca="false">F1827</f>
        <v>8535305.44860156</v>
      </c>
      <c r="H1819" s="73" t="n">
        <f aca="false">G1827</f>
        <v>8535305.44860156</v>
      </c>
      <c r="I1819" s="73" t="n">
        <f aca="false">H1827</f>
        <v>7100510.76523538</v>
      </c>
      <c r="J1819" s="73" t="n">
        <f aca="false">I1827</f>
        <v>7100510.76523538</v>
      </c>
      <c r="K1819" s="73" t="n">
        <f aca="false">J1827</f>
        <v>5692588.89358537</v>
      </c>
      <c r="L1819" s="73" t="n">
        <f aca="false">K1827</f>
        <v>5692588.89358537</v>
      </c>
      <c r="M1819" s="73" t="n">
        <f aca="false">L1827</f>
        <v>6614194.87407892</v>
      </c>
      <c r="N1819" s="73" t="n">
        <f aca="false">M1827</f>
        <v>6614194.87407892</v>
      </c>
      <c r="O1819" s="73" t="n">
        <f aca="false">N1827</f>
        <v>6614194.87407892</v>
      </c>
    </row>
    <row r="1820" customFormat="false" ht="15" hidden="false" customHeight="false" outlineLevel="0" collapsed="false">
      <c r="B1820" s="65" t="s">
        <v>1026</v>
      </c>
      <c r="C1820" s="25"/>
      <c r="D1820" s="73" t="n">
        <f aca="false">D1818+D1819</f>
        <v>12500000</v>
      </c>
      <c r="E1820" s="73" t="n">
        <f aca="false">E1818+E1819</f>
        <v>10000000</v>
      </c>
      <c r="F1820" s="73" t="n">
        <f aca="false">F1818+F1819</f>
        <v>10976463.0342656</v>
      </c>
      <c r="G1820" s="73" t="n">
        <f aca="false">G1818+G1819</f>
        <v>8535305.44860156</v>
      </c>
      <c r="H1820" s="73" t="n">
        <f aca="false">H1818+H1819</f>
        <v>9491835.23751235</v>
      </c>
      <c r="I1820" s="73" t="n">
        <f aca="false">I1818+I1819</f>
        <v>7100510.76523538</v>
      </c>
      <c r="J1820" s="73" t="n">
        <f aca="false">J1818+J1819</f>
        <v>8039125.34633539</v>
      </c>
      <c r="K1820" s="73" t="n">
        <f aca="false">K1818+K1819</f>
        <v>5692588.89358537</v>
      </c>
      <c r="L1820" s="73" t="n">
        <f aca="false">L1818+L1819</f>
        <v>6614194.87407892</v>
      </c>
      <c r="M1820" s="73" t="n">
        <f aca="false">M1818+M1819</f>
        <v>6614194.87407892</v>
      </c>
      <c r="N1820" s="73" t="n">
        <f aca="false">N1818+N1819</f>
        <v>6614194.87407892</v>
      </c>
      <c r="O1820" s="73" t="n">
        <f aca="false">O1818+O1819</f>
        <v>6614194.87407892</v>
      </c>
    </row>
    <row r="1821" customFormat="false" ht="15" hidden="false" customHeight="false" outlineLevel="0" collapsed="false">
      <c r="B1821" s="65" t="s">
        <v>1027</v>
      </c>
      <c r="C1821" s="25"/>
      <c r="D1821" s="73" t="n">
        <f aca="false">IF($AD$21=1,Gate*D1816+D1817,D1820)</f>
        <v>2500000</v>
      </c>
      <c r="E1821" s="73" t="n">
        <f aca="false">IF($AD$21=1,Gate*E1816+E1817,E1820)</f>
        <v>2405032.1875</v>
      </c>
      <c r="F1821" s="73" t="n">
        <f aca="false">IF($AD$21=1,Gate*F1816+F1817,F1820)</f>
        <v>2441157.58566406</v>
      </c>
      <c r="G1821" s="73" t="n">
        <f aca="false">IF($AD$21=1,Gate*G1816+G1817,G1820)</f>
        <v>2355258.6995245</v>
      </c>
      <c r="H1821" s="73" t="n">
        <f aca="false">IF($AD$21=1,Gate*H1816+H1817,H1820)</f>
        <v>2391324.47227697</v>
      </c>
      <c r="I1821" s="73" t="n">
        <f aca="false">IF($AD$21=1,Gate*I1816+I1817,I1820)</f>
        <v>2309194.46151722</v>
      </c>
      <c r="J1821" s="73" t="n">
        <f aca="false">IF($AD$21=1,Gate*J1816+J1817,J1820)</f>
        <v>2346536.45275002</v>
      </c>
      <c r="K1821" s="73" t="n">
        <f aca="false">IF($AD$21=1,Gate*K1816+K1817,K1820)</f>
        <v>2266632.57077278</v>
      </c>
      <c r="L1821" s="73" t="n">
        <f aca="false">IF($AD$21=1,Gate*L1816+L1817,L1820)</f>
        <v>2304014.95123387</v>
      </c>
      <c r="M1821" s="73" t="n">
        <f aca="false">IF($AD$21=1,Gate*M1816+M1817,M1820)</f>
        <v>2341527.67496683</v>
      </c>
      <c r="N1821" s="73" t="n">
        <f aca="false">IF($AD$21=1,Gate*N1816+N1817,N1820)</f>
        <v>2379194.47851228</v>
      </c>
      <c r="O1821" s="73" t="n">
        <f aca="false">IF($AD$21=1,Gate*O1816+O1817,O1820)</f>
        <v>2417038.43492053</v>
      </c>
    </row>
    <row r="1822" customFormat="false" ht="15" hidden="false" customHeight="false" outlineLevel="0" collapsed="false">
      <c r="B1822" s="65" t="s">
        <v>1028</v>
      </c>
      <c r="C1822" s="25"/>
      <c r="D1822" s="73" t="n">
        <f aca="false">IF(D1813=1,MIN(D1820,D1821),0)</f>
        <v>2500000</v>
      </c>
      <c r="E1822" s="73" t="n">
        <f aca="false">IF(E1813=1,MIN(E1820,E1821),0)</f>
        <v>0</v>
      </c>
      <c r="F1822" s="73" t="n">
        <f aca="false">IF(F1813=1,MIN(F1820,F1821),0)</f>
        <v>2441157.58566406</v>
      </c>
      <c r="G1822" s="73" t="n">
        <f aca="false">IF(G1813=1,MIN(G1820,G1821),0)</f>
        <v>0</v>
      </c>
      <c r="H1822" s="73" t="n">
        <f aca="false">IF(H1813=1,MIN(H1820,H1821),0)</f>
        <v>2391324.47227697</v>
      </c>
      <c r="I1822" s="73" t="n">
        <f aca="false">IF(I1813=1,MIN(I1820,I1821),0)</f>
        <v>0</v>
      </c>
      <c r="J1822" s="73" t="n">
        <f aca="false">IF(J1813=1,MIN(J1820,J1821),0)</f>
        <v>2346536.45275002</v>
      </c>
      <c r="K1822" s="73" t="n">
        <f aca="false">IF(K1813=1,MIN(K1820,K1821),0)</f>
        <v>0</v>
      </c>
      <c r="L1822" s="73" t="n">
        <f aca="false">IF(L1813=1,MIN(L1820,L1821),0)</f>
        <v>2304014.95123387</v>
      </c>
      <c r="M1822" s="73" t="n">
        <f aca="false">IF(M1813=1,MIN(M1820,M1821),0)</f>
        <v>0</v>
      </c>
      <c r="N1822" s="73" t="n">
        <f aca="false">IF(N1813=1,MIN(N1820,N1821),0)</f>
        <v>2379194.47851228</v>
      </c>
      <c r="O1822" s="73" t="n">
        <f aca="false">IF(O1813=1,MIN(O1820,O1821),0)</f>
        <v>0</v>
      </c>
    </row>
    <row r="1823" customFormat="false" ht="15" hidden="false" customHeight="false" outlineLevel="0" collapsed="false">
      <c r="B1823" s="65" t="s">
        <v>1029</v>
      </c>
      <c r="C1823" s="25"/>
      <c r="D1823" s="73" t="n">
        <f aca="false">MAX(0,D1851+D1842+D1843-Poche_min_exec*D1816-D1822-SUM(E1848:F1848)+MAX(0,MIN($AD$20*AN_cible,Emprunt_max*D1816)-C1859))</f>
        <v>0</v>
      </c>
      <c r="E1823" s="73" t="n">
        <f aca="false">MAX(0,E1851+E1842+E1843-Poche_min_exec*E1816-E1822-SUM(F1848:G1848)+MAX(0,MIN($AD$20*AN_cible,Emprunt_max*E1816)-D1859))</f>
        <v>502827.0625</v>
      </c>
      <c r="F1823" s="73" t="n">
        <f aca="false">MAX(0,F1851+F1842+F1843-Poche_min_exec*F1816-F1822-SUM(G1848:H1848)+MAX(0,MIN($AD$20*AN_cible,Emprunt_max*F1816)-E1859))</f>
        <v>0</v>
      </c>
      <c r="G1823" s="73" t="n">
        <f aca="false">MAX(0,G1851+G1842+G1843-Poche_min_exec*G1816-G1822-SUM(H1848:I1848)+MAX(0,MIN($AD$20*AN_cible,Emprunt_max*G1816)-F1859))</f>
        <v>0</v>
      </c>
      <c r="H1823" s="73" t="n">
        <f aca="false">MAX(0,H1851+H1842+H1843-Poche_min_exec*H1816-H1822-SUM(I1848:J1848)+MAX(0,MIN($AD$20*AN_cible,Emprunt_max*H1816)-G1859))</f>
        <v>0</v>
      </c>
      <c r="I1823" s="73" t="n">
        <f aca="false">MAX(0,I1851+I1842+I1843-Poche_min_exec*I1816-I1822-SUM(J1848:K1848)+MAX(0,MIN($AD$20*AN_cible,Emprunt_max*I1816)-H1859))</f>
        <v>0</v>
      </c>
      <c r="J1823" s="73" t="n">
        <f aca="false">MAX(0,J1851+J1842+J1843-Poche_min_exec*J1816-J1822-SUM(K1848:L1848)+MAX(0,MIN($AD$20*AN_cible,Emprunt_max*J1816)-I1859))</f>
        <v>0</v>
      </c>
      <c r="K1823" s="73" t="n">
        <f aca="false">MAX(0,K1851+K1842+K1843-Poche_min_exec*K1816-K1822-SUM(L1848:M1848)+MAX(0,MIN($AD$20*AN_cible,Emprunt_max*K1816)-J1859))</f>
        <v>0</v>
      </c>
      <c r="L1823" s="73" t="n">
        <f aca="false">MAX(0,L1851+L1842+L1843-Poche_min_exec*L1816-L1822-SUM(M1848:N1848)+MAX(0,MIN($AD$20*AN_cible,Emprunt_max*L1816)-K1859))</f>
        <v>0</v>
      </c>
      <c r="M1823" s="73" t="n">
        <f aca="false">MAX(0,M1851+M1842+M1843-Poche_min_exec*M1816-M1822-SUM(N1848:O1848)+MAX(0,MIN($AD$20*AN_cible,Emprunt_max*M1816)-L1859))</f>
        <v>0</v>
      </c>
      <c r="N1823" s="73" t="n">
        <f aca="false">MAX(0,N1851+N1842+N1843-Poche_min_exec*N1816-N1822-SUM(O1848:O1848)+MAX(0,MIN($AD$20*AN_cible,Emprunt_max*N1816)-M1859))</f>
        <v>0</v>
      </c>
      <c r="O1823" s="73" t="n">
        <f aca="false">MAX(0,O1851+O1842+O1843-Poche_min_exec*O1816-O1822-0+MAX(0,MIN($AD$20*AN_cible,Emprunt_max*O1816)-N1859))</f>
        <v>1190215.56571852</v>
      </c>
    </row>
    <row r="1824" customFormat="false" ht="15" hidden="false" customHeight="false" outlineLevel="0" collapsed="false">
      <c r="B1824" s="65" t="s">
        <v>1030</v>
      </c>
      <c r="C1824" s="25"/>
      <c r="D1824" s="73" t="n">
        <f aca="false">IF(AND(D1813=1,$AD$21=1,$AD$22=1),MIN(D1820-D1822,D1823),0)</f>
        <v>0</v>
      </c>
      <c r="E1824" s="73" t="n">
        <f aca="false">IF(AND(E1813=1,$AD$21=1,$AD$22=1),MIN(E1820-E1822,E1823),0)</f>
        <v>0</v>
      </c>
      <c r="F1824" s="73" t="n">
        <f aca="false">IF(AND(F1813=1,$AD$21=1,$AD$22=1),MIN(F1820-F1822,F1823),0)</f>
        <v>0</v>
      </c>
      <c r="G1824" s="73" t="n">
        <f aca="false">IF(AND(G1813=1,$AD$21=1,$AD$22=1),MIN(G1820-G1822,G1823),0)</f>
        <v>0</v>
      </c>
      <c r="H1824" s="73" t="n">
        <f aca="false">IF(AND(H1813=1,$AD$21=1,$AD$22=1),MIN(H1820-H1822,H1823),0)</f>
        <v>0</v>
      </c>
      <c r="I1824" s="73" t="n">
        <f aca="false">IF(AND(I1813=1,$AD$21=1,$AD$22=1),MIN(I1820-I1822,I1823),0)</f>
        <v>0</v>
      </c>
      <c r="J1824" s="73" t="n">
        <f aca="false">IF(AND(J1813=1,$AD$21=1,$AD$22=1),MIN(J1820-J1822,J1823),0)</f>
        <v>0</v>
      </c>
      <c r="K1824" s="73" t="n">
        <f aca="false">IF(AND(K1813=1,$AD$21=1,$AD$22=1),MIN(K1820-K1822,K1823),0)</f>
        <v>0</v>
      </c>
      <c r="L1824" s="73" t="n">
        <f aca="false">IF(AND(L1813=1,$AD$21=1,$AD$22=1),MIN(L1820-L1822,L1823),0)</f>
        <v>0</v>
      </c>
      <c r="M1824" s="73" t="n">
        <f aca="false">IF(AND(M1813=1,$AD$21=1,$AD$22=1),MIN(M1820-M1822,M1823),0)</f>
        <v>0</v>
      </c>
      <c r="N1824" s="73" t="n">
        <f aca="false">IF(AND(N1813=1,$AD$21=1,$AD$22=1),MIN(N1820-N1822,N1823),0)</f>
        <v>0</v>
      </c>
      <c r="O1824" s="73" t="n">
        <f aca="false">IF(AND(O1813=1,$AD$21=1,$AD$22=1),MIN(O1820-O1822,O1823),0)</f>
        <v>0</v>
      </c>
    </row>
    <row r="1825" customFormat="false" ht="15" hidden="false" customHeight="false" outlineLevel="0" collapsed="false">
      <c r="B1825" s="65" t="s">
        <v>1031</v>
      </c>
      <c r="C1825" s="65" t="n">
        <v>0</v>
      </c>
      <c r="D1825" s="65" t="n">
        <f aca="false">IF(C1825=1,1,IF(AND(D1813=1,$AD$21=1,C1829&gt;=Gate_dates,D1820-D1822-D1824&gt;0.000001),1,0))</f>
        <v>0</v>
      </c>
      <c r="E1825" s="65" t="n">
        <f aca="false">IF(D1825=1,1,IF(AND(E1813=1,$AD$21=1,D1829&gt;=Gate_dates,E1820-E1822-E1824&gt;0.000001),1,0))</f>
        <v>0</v>
      </c>
      <c r="F1825" s="65" t="n">
        <f aca="false">IF(E1825=1,1,IF(AND(F1813=1,$AD$21=1,E1829&gt;=Gate_dates,F1820-F1822-F1824&gt;0.000001),1,0))</f>
        <v>0</v>
      </c>
      <c r="G1825" s="65" t="n">
        <f aca="false">IF(F1825=1,1,IF(AND(G1813=1,$AD$21=1,F1829&gt;=Gate_dates,G1820-G1822-G1824&gt;0.000001),1,0))</f>
        <v>0</v>
      </c>
      <c r="H1825" s="65" t="n">
        <f aca="false">IF(G1825=1,1,IF(AND(H1813=1,$AD$21=1,G1829&gt;=Gate_dates,H1820-H1822-H1824&gt;0.000001),1,0))</f>
        <v>0</v>
      </c>
      <c r="I1825" s="65" t="n">
        <f aca="false">IF(H1825=1,1,IF(AND(I1813=1,$AD$21=1,H1829&gt;=Gate_dates,I1820-I1822-I1824&gt;0.000001),1,0))</f>
        <v>0</v>
      </c>
      <c r="J1825" s="65" t="n">
        <f aca="false">IF(I1825=1,1,IF(AND(J1813=1,$AD$21=1,I1829&gt;=Gate_dates,J1820-J1822-J1824&gt;0.000001),1,0))</f>
        <v>0</v>
      </c>
      <c r="K1825" s="65" t="n">
        <f aca="false">IF(J1825=1,1,IF(AND(K1813=1,$AD$21=1,J1829&gt;=Gate_dates,K1820-K1822-K1824&gt;0.000001),1,0))</f>
        <v>0</v>
      </c>
      <c r="L1825" s="65" t="n">
        <f aca="false">IF(K1825=1,1,IF(AND(L1813=1,$AD$21=1,K1829&gt;=Gate_dates,L1820-L1822-L1824&gt;0.000001),1,0))</f>
        <v>1</v>
      </c>
      <c r="M1825" s="65" t="n">
        <f aca="false">IF(L1825=1,1,IF(AND(M1813=1,$AD$21=1,L1829&gt;=Gate_dates,M1820-M1822-M1824&gt;0.000001),1,0))</f>
        <v>1</v>
      </c>
      <c r="N1825" s="65" t="n">
        <f aca="false">IF(M1825=1,1,IF(AND(N1813=1,$AD$21=1,M1829&gt;=Gate_dates,N1820-N1822-N1824&gt;0.000001),1,0))</f>
        <v>1</v>
      </c>
      <c r="O1825" s="65" t="n">
        <f aca="false">IF(N1825=1,1,IF(AND(O1813=1,$AD$21=1,N1829&gt;=Gate_dates,O1820-O1822-O1824&gt;0.000001),1,0))</f>
        <v>1</v>
      </c>
    </row>
    <row r="1826" customFormat="false" ht="15" hidden="false" customHeight="false" outlineLevel="0" collapsed="false">
      <c r="B1826" s="65" t="s">
        <v>1032</v>
      </c>
      <c r="C1826" s="25"/>
      <c r="D1826" s="73" t="n">
        <f aca="false">IF(D1825=1,0,D1822+D1824)</f>
        <v>2500000</v>
      </c>
      <c r="E1826" s="73" t="n">
        <f aca="false">IF(E1825=1,0,E1822+E1824)</f>
        <v>0</v>
      </c>
      <c r="F1826" s="73" t="n">
        <f aca="false">IF(F1825=1,0,F1822+F1824)</f>
        <v>2441157.58566406</v>
      </c>
      <c r="G1826" s="73" t="n">
        <f aca="false">IF(G1825=1,0,G1822+G1824)</f>
        <v>0</v>
      </c>
      <c r="H1826" s="73" t="n">
        <f aca="false">IF(H1825=1,0,H1822+H1824)</f>
        <v>2391324.47227697</v>
      </c>
      <c r="I1826" s="73" t="n">
        <f aca="false">IF(I1825=1,0,I1822+I1824)</f>
        <v>0</v>
      </c>
      <c r="J1826" s="73" t="n">
        <f aca="false">IF(J1825=1,0,J1822+J1824)</f>
        <v>2346536.45275002</v>
      </c>
      <c r="K1826" s="73" t="n">
        <f aca="false">IF(K1825=1,0,K1822+K1824)</f>
        <v>0</v>
      </c>
      <c r="L1826" s="73" t="n">
        <f aca="false">IF(L1825=1,0,L1822+L1824)</f>
        <v>0</v>
      </c>
      <c r="M1826" s="73" t="n">
        <f aca="false">IF(M1825=1,0,M1822+M1824)</f>
        <v>0</v>
      </c>
      <c r="N1826" s="73" t="n">
        <f aca="false">IF(N1825=1,0,N1822+N1824)</f>
        <v>0</v>
      </c>
      <c r="O1826" s="73" t="n">
        <f aca="false">IF(O1825=1,0,O1822+O1824)</f>
        <v>0</v>
      </c>
    </row>
    <row r="1827" customFormat="false" ht="15" hidden="false" customHeight="false" outlineLevel="0" collapsed="false">
      <c r="B1827" s="65" t="s">
        <v>1033</v>
      </c>
      <c r="C1827" s="73" t="n">
        <v>0</v>
      </c>
      <c r="D1827" s="73" t="n">
        <f aca="false">D1820-D1826</f>
        <v>10000000</v>
      </c>
      <c r="E1827" s="73" t="n">
        <f aca="false">E1820-E1826</f>
        <v>10000000</v>
      </c>
      <c r="F1827" s="73" t="n">
        <f aca="false">F1820-F1826</f>
        <v>8535305.44860156</v>
      </c>
      <c r="G1827" s="73" t="n">
        <f aca="false">G1820-G1826</f>
        <v>8535305.44860156</v>
      </c>
      <c r="H1827" s="73" t="n">
        <f aca="false">H1820-H1826</f>
        <v>7100510.76523538</v>
      </c>
      <c r="I1827" s="73" t="n">
        <f aca="false">I1820-I1826</f>
        <v>7100510.76523538</v>
      </c>
      <c r="J1827" s="73" t="n">
        <f aca="false">J1820-J1826</f>
        <v>5692588.89358537</v>
      </c>
      <c r="K1827" s="73" t="n">
        <f aca="false">K1820-K1826</f>
        <v>5692588.89358537</v>
      </c>
      <c r="L1827" s="73" t="n">
        <f aca="false">L1820-L1826</f>
        <v>6614194.87407892</v>
      </c>
      <c r="M1827" s="73" t="n">
        <f aca="false">M1820-M1826</f>
        <v>6614194.87407892</v>
      </c>
      <c r="N1827" s="73" t="n">
        <f aca="false">N1820-N1826</f>
        <v>6614194.87407892</v>
      </c>
      <c r="O1827" s="73" t="n">
        <f aca="false">O1820-O1826</f>
        <v>6614194.87407892</v>
      </c>
    </row>
    <row r="1828" customFormat="false" ht="15" hidden="false" customHeight="false" outlineLevel="0" collapsed="false">
      <c r="B1828" s="65" t="s">
        <v>1034</v>
      </c>
      <c r="C1828" s="25"/>
      <c r="D1828" s="65" t="n">
        <f aca="false">IF(AND(D1813=1,D1825=0,D1827&gt;0.000001),1,0)</f>
        <v>1</v>
      </c>
      <c r="E1828" s="65" t="n">
        <f aca="false">IF(AND(E1813=1,E1825=0,E1827&gt;0.000001),1,0)</f>
        <v>0</v>
      </c>
      <c r="F1828" s="65" t="n">
        <f aca="false">IF(AND(F1813=1,F1825=0,F1827&gt;0.000001),1,0)</f>
        <v>1</v>
      </c>
      <c r="G1828" s="65" t="n">
        <f aca="false">IF(AND(G1813=1,G1825=0,G1827&gt;0.000001),1,0)</f>
        <v>0</v>
      </c>
      <c r="H1828" s="65" t="n">
        <f aca="false">IF(AND(H1813=1,H1825=0,H1827&gt;0.000001),1,0)</f>
        <v>1</v>
      </c>
      <c r="I1828" s="65" t="n">
        <f aca="false">IF(AND(I1813=1,I1825=0,I1827&gt;0.000001),1,0)</f>
        <v>0</v>
      </c>
      <c r="J1828" s="65" t="n">
        <f aca="false">IF(AND(J1813=1,J1825=0,J1827&gt;0.000001),1,0)</f>
        <v>1</v>
      </c>
      <c r="K1828" s="65" t="n">
        <f aca="false">IF(AND(K1813=1,K1825=0,K1827&gt;0.000001),1,0)</f>
        <v>0</v>
      </c>
      <c r="L1828" s="65" t="n">
        <f aca="false">IF(AND(L1813=1,L1825=0,L1827&gt;0.000001),1,0)</f>
        <v>0</v>
      </c>
      <c r="M1828" s="65" t="n">
        <f aca="false">IF(AND(M1813=1,M1825=0,M1827&gt;0.000001),1,0)</f>
        <v>0</v>
      </c>
      <c r="N1828" s="65" t="n">
        <f aca="false">IF(AND(N1813=1,N1825=0,N1827&gt;0.000001),1,0)</f>
        <v>0</v>
      </c>
      <c r="O1828" s="65" t="n">
        <f aca="false">IF(AND(O1813=1,O1825=0,O1827&gt;0.000001),1,0)</f>
        <v>0</v>
      </c>
    </row>
    <row r="1829" customFormat="false" ht="15" hidden="false" customHeight="false" outlineLevel="0" collapsed="false">
      <c r="B1829" s="65" t="s">
        <v>843</v>
      </c>
      <c r="C1829" s="65" t="n">
        <v>0</v>
      </c>
      <c r="D1829" s="65" t="n">
        <f aca="false">IF(D1813=1,IF(D1828=1,C1829+1,0),C1829)</f>
        <v>1</v>
      </c>
      <c r="E1829" s="65" t="n">
        <f aca="false">IF(E1813=1,IF(E1828=1,D1829+1,0),D1829)</f>
        <v>1</v>
      </c>
      <c r="F1829" s="65" t="n">
        <f aca="false">IF(F1813=1,IF(F1828=1,E1829+1,0),E1829)</f>
        <v>2</v>
      </c>
      <c r="G1829" s="65" t="n">
        <f aca="false">IF(G1813=1,IF(G1828=1,F1829+1,0),F1829)</f>
        <v>2</v>
      </c>
      <c r="H1829" s="65" t="n">
        <f aca="false">IF(H1813=1,IF(H1828=1,G1829+1,0),G1829)</f>
        <v>3</v>
      </c>
      <c r="I1829" s="65" t="n">
        <f aca="false">IF(I1813=1,IF(I1828=1,H1829+1,0),H1829)</f>
        <v>3</v>
      </c>
      <c r="J1829" s="65" t="n">
        <f aca="false">IF(J1813=1,IF(J1828=1,I1829+1,0),I1829)</f>
        <v>4</v>
      </c>
      <c r="K1829" s="65" t="n">
        <f aca="false">IF(K1813=1,IF(K1828=1,J1829+1,0),J1829)</f>
        <v>4</v>
      </c>
      <c r="L1829" s="65" t="n">
        <f aca="false">IF(L1813=1,IF(L1828=1,K1829+1,0),K1829)</f>
        <v>0</v>
      </c>
      <c r="M1829" s="65" t="n">
        <f aca="false">IF(M1813=1,IF(M1828=1,L1829+1,0),L1829)</f>
        <v>0</v>
      </c>
      <c r="N1829" s="65" t="n">
        <f aca="false">IF(N1813=1,IF(N1828=1,M1829+1,0),M1829)</f>
        <v>0</v>
      </c>
      <c r="O1829" s="65" t="n">
        <f aca="false">IF(O1813=1,IF(O1828=1,N1829+1,0),N1829)</f>
        <v>0</v>
      </c>
    </row>
    <row r="1830" customFormat="false" ht="15" hidden="false" customHeight="false" outlineLevel="0" collapsed="false">
      <c r="B1830" s="65" t="s">
        <v>1035</v>
      </c>
      <c r="C1830" s="73" t="n">
        <f aca="false">AN_cible*Ws_MAPIF</f>
        <v>12500000</v>
      </c>
      <c r="D1830" s="73" t="n">
        <f aca="false">C1830*(1+Rend_MAPIF/4)*IF(D1811=1,(1-(Cap_MAPIF*$AD$15+(1-Cap_MAPIF)*$AD$16))*(1+1*$AD$14),1)+D1840-D1834-D1855*IF((C1830+C1831+C1832+C1833)&gt;0,C1830/(C1830+C1831+C1832+C1833),0)</f>
        <v>12971562.5</v>
      </c>
      <c r="E1830" s="73" t="n">
        <f aca="false">D1830*(1+Rend_MAPIF/4)*IF(E1811=1,(1-(Cap_MAPIF*$AD$15+(1-Cap_MAPIF)*$AD$16))*(1+1*$AD$14),1)+E1840-E1834-E1855*IF((D1830+D1831+D1832+D1833)&gt;0,D1830/(D1830+D1831+D1832+D1833),0)</f>
        <v>13446767.8203125</v>
      </c>
      <c r="F1830" s="73" t="n">
        <f aca="false">E1830*(1+Rend_MAPIF/4)*IF(F1811=1,(1-(Cap_MAPIF*$AD$15+(1-Cap_MAPIF)*$AD$16))*(1+1*$AD$14),1)+F1840-F1834-F1855*IF((E1830+E1831+E1832+E1833)&gt;0,E1830/(E1830+E1831+E1832+E1833),0)</f>
        <v>13925644.1017244</v>
      </c>
      <c r="G1830" s="73" t="n">
        <f aca="false">F1830*(1+Rend_MAPIF/4)*IF(G1811=1,(1-(Cap_MAPIF*$AD$15+(1-Cap_MAPIF)*$AD$16))*(1+1*$AD$14),1)+G1840-G1834-G1855*IF((F1830+F1831+F1832+F1833)&gt;0,F1830/(F1830+F1831+F1832+F1833),0)</f>
        <v>14408219.7024102</v>
      </c>
      <c r="H1830" s="73" t="n">
        <f aca="false">G1830*(1+Rend_MAPIF/4)*IF(H1811=1,(1-(Cap_MAPIF*$AD$15+(1-Cap_MAPIF)*$AD$16))*(1+1*$AD$14),1)+H1840-H1834-H1855*IF((G1830+G1831+G1832+G1833)&gt;0,G1830/(G1830+G1831+G1832+G1833),0)</f>
        <v>14894523.1996114</v>
      </c>
      <c r="I1830" s="73" t="n">
        <f aca="false">H1830*(1+Rend_MAPIF/4)*IF(I1811=1,(1-(Cap_MAPIF*$AD$15+(1-Cap_MAPIF)*$AD$16))*(1+1*$AD$14),1)+I1840-I1834-I1855*IF((H1830+H1831+H1832+H1833)&gt;0,H1830/(H1830+H1831+H1832+H1833),0)</f>
        <v>15384583.3913284</v>
      </c>
      <c r="J1830" s="73" t="n">
        <f aca="false">I1830*(1+Rend_MAPIF/4)*IF(J1811=1,(1-(Cap_MAPIF*$AD$15+(1-Cap_MAPIF)*$AD$16))*(1+1*$AD$14),1)+J1840-J1834-J1855*IF((I1830+I1831+I1832+I1833)&gt;0,I1830/(I1830+I1831+I1832+I1833),0)</f>
        <v>15878429.2980264</v>
      </c>
      <c r="K1830" s="73" t="n">
        <f aca="false">J1830*(1+Rend_MAPIF/4)*IF(K1811=1,(1-(Cap_MAPIF*$AD$15+(1-Cap_MAPIF)*$AD$16))*(1+1*$AD$14),1)+K1840-K1834-K1855*IF((J1830+J1831+J1832+J1833)&gt;0,J1830/(J1830+J1831+J1832+J1833),0)</f>
        <v>16376090.1643536</v>
      </c>
      <c r="L1830" s="73" t="n">
        <f aca="false">K1830*(1+Rend_MAPIF/4)*IF(L1811=1,(1-(Cap_MAPIF*$AD$15+(1-Cap_MAPIF)*$AD$16))*(1+1*$AD$14),1)+L1840-L1834-L1855*IF((K1830+K1831+K1832+K1833)&gt;0,K1830/(K1830+K1831+K1832+K1833),0)</f>
        <v>16877595.4608733</v>
      </c>
      <c r="M1830" s="73" t="n">
        <f aca="false">L1830*(1+Rend_MAPIF/4)*IF(M1811=1,(1-(Cap_MAPIF*$AD$15+(1-Cap_MAPIF)*$AD$16))*(1+1*$AD$14),1)+M1840-M1834-M1855*IF((L1830+L1831+L1832+L1833)&gt;0,L1830/(L1830+L1831+L1832+L1833),0)</f>
        <v>17382974.8858085</v>
      </c>
      <c r="N1830" s="73" t="n">
        <f aca="false">M1830*(1+Rend_MAPIF/4)*IF(N1811=1,(1-(Cap_MAPIF*$AD$15+(1-Cap_MAPIF)*$AD$16))*(1+1*$AD$14),1)+N1840-N1834-N1855*IF((M1830+M1831+M1832+M1833)&gt;0,M1830/(M1830+M1831+M1832+M1833),0)</f>
        <v>17892258.3668014</v>
      </c>
      <c r="O1830" s="73" t="n">
        <f aca="false">N1830*(1+Rend_MAPIF/4)*IF(O1811=1,(1-(Cap_MAPIF*$AD$15+(1-Cap_MAPIF)*$AD$16))*(1+1*$AD$14),1)+O1840-O1834-O1855*IF((N1830+N1831+N1832+N1833)&gt;0,N1830/(N1830+N1831+N1832+N1833),0)</f>
        <v>18405476.0626849</v>
      </c>
    </row>
    <row r="1831" customFormat="false" ht="15" hidden="false" customHeight="false" outlineLevel="0" collapsed="false">
      <c r="B1831" s="65" t="s">
        <v>1036</v>
      </c>
      <c r="C1831" s="73" t="n">
        <f aca="false">AN_cible*Ws_MSIG</f>
        <v>5500000</v>
      </c>
      <c r="D1831" s="73" t="n">
        <f aca="false">C1831*(1+Rend_MSIG/4)*IF(D1811=1,(1-(Cap_MSIG*$AD$15+(1-Cap_MSIG)*$AD$16))*(1+MSIG_USD*$AD$14),1)+D1841-D1835-D1855*IF((C1830+C1831+C1832+C1833)&gt;0,C1831/(C1830+C1831+C1832+C1833),0)</f>
        <v>5773237.5</v>
      </c>
      <c r="E1831" s="73" t="n">
        <f aca="false">D1831*(1+Rend_MSIG/4)*IF(E1811=1,(1-(Cap_MSIG*$AD$15+(1-Cap_MSIG)*$AD$16))*(1+MSIG_USD*$AD$14),1)+E1841-E1835-E1855*IF((D1830+D1831+D1832+D1833)&gt;0,D1831/(D1830+D1831+D1832+D1833),0)</f>
        <v>6047629.4284375</v>
      </c>
      <c r="F1831" s="73" t="n">
        <f aca="false">E1831*(1+Rend_MSIG/4)*IF(F1811=1,(1-(Cap_MSIG*$AD$15+(1-Cap_MSIG)*$AD$16))*(1+MSIG_USD*$AD$14),1)+F1841-F1835-F1855*IF((E1830+E1831+E1832+E1833)&gt;0,E1831/(E1830+E1831+E1832+E1833),0)</f>
        <v>6323180.66277265</v>
      </c>
      <c r="G1831" s="73" t="n">
        <f aca="false">F1831*(1+Rend_MSIG/4)*IF(G1811=1,(1-(Cap_MSIG*$AD$15+(1-Cap_MSIG)*$AD$16))*(1+MSIG_USD*$AD$14),1)+G1841-G1835-G1855*IF((F1830+F1831+F1832+F1833)&gt;0,F1831/(F1830+F1831+F1832+F1833),0)</f>
        <v>6599896.10107286</v>
      </c>
      <c r="H1831" s="73" t="n">
        <f aca="false">G1831*(1+Rend_MSIG/4)*IF(H1811=1,(1-(Cap_MSIG*$AD$15+(1-Cap_MSIG)*$AD$16))*(1+MSIG_USD*$AD$14),1)+H1841-H1835-H1855*IF((G1830+G1831+G1832+G1833)&gt;0,G1831/(G1830+G1831+G1832+G1833),0)</f>
        <v>6877780.6620999</v>
      </c>
      <c r="I1831" s="73" t="n">
        <f aca="false">H1831*(1+Rend_MSIG/4)*IF(I1811=1,(1-(Cap_MSIG*$AD$15+(1-Cap_MSIG)*$AD$16))*(1+MSIG_USD*$AD$14),1)+I1841-I1835-I1855*IF((H1830+H1831+H1832+H1833)&gt;0,H1831/(H1830+H1831+H1832+H1833),0)</f>
        <v>7156839.28539727</v>
      </c>
      <c r="J1831" s="73" t="n">
        <f aca="false">I1831*(1+Rend_MSIG/4)*IF(J1811=1,(1-(Cap_MSIG*$AD$15+(1-Cap_MSIG)*$AD$16))*(1+MSIG_USD*$AD$14),1)+J1841-J1835-J1855*IF((I1830+I1831+I1832+I1833)&gt;0,I1831/(I1830+I1831+I1832+I1833),0)</f>
        <v>7437076.93137807</v>
      </c>
      <c r="K1831" s="73" t="n">
        <f aca="false">J1831*(1+Rend_MSIG/4)*IF(K1811=1,(1-(Cap_MSIG*$AD$15+(1-Cap_MSIG)*$AD$16))*(1+MSIG_USD*$AD$14),1)+K1841-K1835-K1855*IF((J1830+J1831+J1832+J1833)&gt;0,J1831/(J1830+J1831+J1832+J1833),0)</f>
        <v>7718498.58141314</v>
      </c>
      <c r="L1831" s="73" t="n">
        <f aca="false">K1831*(1+Rend_MSIG/4)*IF(L1811=1,(1-(Cap_MSIG*$AD$15+(1-Cap_MSIG)*$AD$16))*(1+MSIG_USD*$AD$14),1)+L1841-L1835-L1855*IF((K1830+K1831+K1832+K1833)&gt;0,K1831/(K1830+K1831+K1832+K1833),0)</f>
        <v>8001109.23791962</v>
      </c>
      <c r="M1831" s="73" t="n">
        <f aca="false">L1831*(1+Rend_MSIG/4)*IF(M1811=1,(1-(Cap_MSIG*$AD$15+(1-Cap_MSIG)*$AD$16))*(1+MSIG_USD*$AD$14),1)+M1841-M1835-M1855*IF((L1830+L1831+L1832+L1833)&gt;0,L1831/(L1830+L1831+L1832+L1833),0)</f>
        <v>8284913.92444983</v>
      </c>
      <c r="N1831" s="73" t="n">
        <f aca="false">M1831*(1+Rend_MSIG/4)*IF(N1811=1,(1-(Cap_MSIG*$AD$15+(1-Cap_MSIG)*$AD$16))*(1+MSIG_USD*$AD$14),1)+N1841-N1835-N1855*IF((M1830+M1831+M1832+M1833)&gt;0,M1831/(M1830+M1831+M1832+M1833),0)</f>
        <v>8569917.68578063</v>
      </c>
      <c r="O1831" s="73" t="n">
        <f aca="false">N1831*(1+Rend_MSIG/4)*IF(O1811=1,(1-(Cap_MSIG*$AD$15+(1-Cap_MSIG)*$AD$16))*(1+MSIG_USD*$AD$14),1)+O1841-O1835-O1855*IF((N1830+N1831+N1832+N1833)&gt;0,N1831/(N1830+N1831+N1832+N1833),0)</f>
        <v>8856125.58800305</v>
      </c>
    </row>
    <row r="1832" customFormat="false" ht="15" hidden="false" customHeight="false" outlineLevel="0" collapsed="false">
      <c r="B1832" s="65" t="s">
        <v>1037</v>
      </c>
      <c r="C1832" s="73" t="n">
        <f aca="false">AN_cible*Ws_PG</f>
        <v>12250000</v>
      </c>
      <c r="D1832" s="73" t="n">
        <f aca="false">C1832*(1+Rend_PG/4)*IF(D1811=1,(1-(Cap_PG*$AD$15+(1-Cap_PG)*$AD$16))*(1+0*$AD$14),1)-D1836-D1852*IF((D1842+D1843)&gt;0,D1842/(D1842+D1843),0)+D1857/2-D1855*IF((C1830+C1831+C1832+C1833)&gt;0,C1832/(C1830+C1831+C1832+C1833),0)</f>
        <v>11888931.25</v>
      </c>
      <c r="E1832" s="73" t="n">
        <f aca="false">D1832*(1+Rend_PG/4)*IF(E1811=1,(1-(Cap_PG*$AD$15+(1-Cap_PG)*$AD$16))*(1+0*$AD$14),1)-E1836-E1852*IF((E1842+E1843)&gt;0,E1842/(E1842+E1843),0)+E1857/2-E1855*IF((D1830+D1831+D1832+D1833)&gt;0,D1832/(D1830+D1831+D1832+D1833),0)</f>
        <v>11538505.0014063</v>
      </c>
      <c r="F1832" s="73" t="n">
        <f aca="false">E1832*(1+Rend_PG/4)*IF(F1811=1,(1-(Cap_PG*$AD$15+(1-Cap_PG)*$AD$16))*(1+0*$AD$14),1)-F1836-F1852*IF((F1842+F1843)&gt;0,F1842/(F1842+F1843),0)+F1857/2-F1855*IF((E1830+E1831+E1832+E1833)&gt;0,E1832/(E1830+E1831+E1832+E1833),0)</f>
        <v>11198407.5664898</v>
      </c>
      <c r="G1832" s="73" t="n">
        <f aca="false">F1832*(1+Rend_PG/4)*IF(G1811=1,(1-(Cap_PG*$AD$15+(1-Cap_PG)*$AD$16))*(1+0*$AD$14),1)-G1836-G1852*IF((G1842+G1843)&gt;0,G1842/(G1842+G1843),0)+G1857/2-G1855*IF((F1830+F1831+F1832+F1833)&gt;0,F1832/(F1830+F1831+F1832+F1833),0)</f>
        <v>10868334.5034675</v>
      </c>
      <c r="H1832" s="73" t="n">
        <f aca="false">G1832*(1+Rend_PG/4)*IF(H1811=1,(1-(Cap_PG*$AD$15+(1-Cap_PG)*$AD$16))*(1+0*$AD$14),1)-H1836-H1852*IF((H1842+H1843)&gt;0,H1842/(H1842+H1843),0)+H1857/2-H1855*IF((G1830+G1831+G1832+G1833)&gt;0,G1832/(G1830+G1831+G1832+G1833),0)</f>
        <v>10547990.3439778</v>
      </c>
      <c r="I1832" s="73" t="n">
        <f aca="false">H1832*(1+Rend_PG/4)*IF(I1811=1,(1-(Cap_PG*$AD$15+(1-Cap_PG)*$AD$16))*(1+0*$AD$14),1)-I1836-I1852*IF((I1842+I1843)&gt;0,I1842/(I1842+I1843),0)+I1857/2-I1855*IF((H1830+H1831+H1832+H1833)&gt;0,H1832/(H1830+H1831+H1832+H1833),0)</f>
        <v>10237088.3285891</v>
      </c>
      <c r="J1832" s="73" t="n">
        <f aca="false">I1832*(1+Rend_PG/4)*IF(J1811=1,(1-(Cap_PG*$AD$15+(1-Cap_PG)*$AD$16))*(1+0*$AD$14),1)-J1836-J1852*IF((J1842+J1843)&gt;0,J1842/(J1842+J1843),0)+J1857/2-J1855*IF((I1830+I1831+I1832+I1833)&gt;0,I1832/(I1830+I1831+I1832+I1833),0)</f>
        <v>9935350.1501039</v>
      </c>
      <c r="K1832" s="73" t="n">
        <f aca="false">J1832*(1+Rend_PG/4)*IF(K1811=1,(1-(Cap_PG*$AD$15+(1-Cap_PG)*$AD$16))*(1+0*$AD$14),1)-K1836-K1852*IF((K1842+K1843)&gt;0,K1842/(K1842+K1843),0)+K1857/2-K1855*IF((J1830+J1831+J1832+J1833)&gt;0,J1832/(J1830+J1831+J1832+J1833),0)</f>
        <v>9642505.70442959</v>
      </c>
      <c r="L1832" s="73" t="n">
        <f aca="false">K1832*(1+Rend_PG/4)*IF(L1811=1,(1-(Cap_PG*$AD$15+(1-Cap_PG)*$AD$16))*(1+0*$AD$14),1)-L1836-L1852*IF((L1842+L1843)&gt;0,L1842/(L1842+L1843),0)+L1857/2-L1855*IF((K1830+K1831+K1832+K1833)&gt;0,K1832/(K1830+K1831+K1832+K1833),0)</f>
        <v>9358292.84879153</v>
      </c>
      <c r="M1832" s="73" t="n">
        <f aca="false">L1832*(1+Rend_PG/4)*IF(M1811=1,(1-(Cap_PG*$AD$15+(1-Cap_PG)*$AD$16))*(1+0*$AD$14),1)-M1836-M1852*IF((M1842+M1843)&gt;0,M1842/(M1842+M1843),0)+M1857/2-M1855*IF((L1830+L1831+L1832+L1833)&gt;0,L1832/(L1830+L1831+L1832+L1833),0)</f>
        <v>9082457.1670734</v>
      </c>
      <c r="N1832" s="73" t="n">
        <f aca="false">M1832*(1+Rend_PG/4)*IF(N1811=1,(1-(Cap_PG*$AD$15+(1-Cap_PG)*$AD$16))*(1+0*$AD$14),1)-N1836-N1852*IF((N1842+N1843)&gt;0,N1842/(N1842+N1843),0)+N1857/2-N1855*IF((M1830+M1831+M1832+M1833)&gt;0,M1832/(M1830+M1831+M1832+M1833),0)</f>
        <v>8814751.74207391</v>
      </c>
      <c r="O1832" s="73" t="n">
        <f aca="false">N1832*(1+Rend_PG/4)*IF(O1811=1,(1-(Cap_PG*$AD$15+(1-Cap_PG)*$AD$16))*(1+0*$AD$14),1)-O1836-O1852*IF((O1842+O1843)&gt;0,O1842/(O1842+O1843),0)+O1857/2-O1855*IF((N1830+N1831+N1832+N1833)&gt;0,N1832/(N1830+N1831+N1832+N1833),0)</f>
        <v>8554936.93447628</v>
      </c>
    </row>
    <row r="1833" customFormat="false" ht="15" hidden="false" customHeight="false" outlineLevel="0" collapsed="false">
      <c r="B1833" s="65" t="s">
        <v>1038</v>
      </c>
      <c r="C1833" s="73" t="n">
        <f aca="false">AN_cible*Ws_ARES</f>
        <v>12250000</v>
      </c>
      <c r="D1833" s="73" t="n">
        <f aca="false">C1833*(1+Rend_ARES/4)*IF(D1811=1,(1-(Cap_ARES*$AD$15+(1-Cap_ARES)*$AD$16))*(1+0*$AD$14),1)-D1837-D1852*IF((D1842+D1843)&gt;0,D1843/(D1842+D1843),0)/(1-IF(D1811&lt;=Deduc_trim,Deduc_ares,0))+D1857/2-D1855*IF((C1830+C1831+C1832+C1833)&gt;0,C1833/(C1830+C1831+C1832+C1833),0)</f>
        <v>11727537.5</v>
      </c>
      <c r="E1833" s="73" t="n">
        <f aca="false">D1833*(1+Rend_ARES/4)*IF(E1811=1,(1-(Cap_ARES*$AD$15+(1-Cap_ARES)*$AD$16))*(1+0*$AD$14),1)-E1837-E1852*IF((E1842+E1843)&gt;0,E1843/(E1842+E1843),0)/(1-IF(E1811&lt;=Deduc_trim,Deduc_ares,0))+E1857/2-E1855*IF((D1830+D1831+D1832+D1833)&gt;0,D1833/(D1830+D1831+D1832+D1833),0)</f>
        <v>11227358.025625</v>
      </c>
      <c r="F1833" s="73" t="n">
        <f aca="false">E1833*(1+Rend_ARES/4)*IF(F1811=1,(1-(Cap_ARES*$AD$15+(1-Cap_ARES)*$AD$16))*(1+0*$AD$14),1)-F1837-F1852*IF((F1842+F1843)&gt;0,F1843/(F1842+F1843),0)/(1-IF(F1811&lt;=Deduc_trim,Deduc_ares,0))+F1857/2-F1855*IF((E1830+E1831+E1832+E1833)&gt;0,E1833/(E1830+E1831+E1832+E1833),0)</f>
        <v>10748511.2058321</v>
      </c>
      <c r="G1833" s="73" t="n">
        <f aca="false">F1833*(1+Rend_ARES/4)*IF(G1811=1,(1-(Cap_ARES*$AD$15+(1-Cap_ARES)*$AD$16))*(1+0*$AD$14),1)-G1837-G1852*IF((G1842+G1843)&gt;0,G1843/(G1842+G1843),0)/(1-IF(G1811&lt;=Deduc_trim,Deduc_ares,0))+G1857/2-G1855*IF((F1830+F1831+F1832+F1833)&gt;0,F1833/(F1830+F1831+F1832+F1833),0)</f>
        <v>10290087.2029034</v>
      </c>
      <c r="H1833" s="73" t="n">
        <f aca="false">G1833*(1+Rend_ARES/4)*IF(H1811=1,(1-(Cap_ARES*$AD$15+(1-Cap_ARES)*$AD$16))*(1+0*$AD$14),1)-H1837-H1852*IF((H1842+H1843)&gt;0,H1843/(H1842+H1843),0)/(1-IF(H1811&lt;=Deduc_trim,Deduc_ares,0))+H1857/2-H1855*IF((G1830+G1831+G1832+G1833)&gt;0,G1833/(G1830+G1831+G1832+G1833),0)</f>
        <v>9851214.98369952</v>
      </c>
      <c r="I1833" s="73" t="n">
        <f aca="false">H1833*(1+Rend_ARES/4)*IF(I1811=1,(1-(Cap_ARES*$AD$15+(1-Cap_ARES)*$AD$16))*(1+0*$AD$14),1)-I1837-I1852*IF((I1842+I1843)&gt;0,I1843/(I1842+I1843),0)/(1-IF(I1811&lt;=Deduc_trim,Deduc_ares,0))+I1857/2-I1855*IF((H1830+H1831+H1832+H1833)&gt;0,H1833/(H1830+H1831+H1832+H1833),0)</f>
        <v>9431060.66464474</v>
      </c>
      <c r="J1833" s="73" t="n">
        <f aca="false">I1833*(1+Rend_ARES/4)*IF(J1811=1,(1-(Cap_ARES*$AD$15+(1-Cap_ARES)*$AD$16))*(1+0*$AD$14),1)-J1837-J1852*IF((J1842+J1843)&gt;0,J1843/(J1842+J1843),0)/(1-IF(J1811&lt;=Deduc_trim,Deduc_ares,0))+J1857/2-J1855*IF((I1830+I1831+I1832+I1833)&gt;0,I1833/(I1830+I1831+I1832+I1833),0)</f>
        <v>9028825.92729764</v>
      </c>
      <c r="K1833" s="73" t="n">
        <f aca="false">J1833*(1+Rend_ARES/4)*IF(K1811=1,(1-(Cap_ARES*$AD$15+(1-Cap_ARES)*$AD$16))*(1+0*$AD$14),1)-K1837-K1852*IF((K1842+K1843)&gt;0,K1843/(K1842+K1843),0)/(1-IF(K1811&lt;=Deduc_trim,Deduc_ares,0))+K1857/2-K1855*IF((J1830+J1831+J1832+J1833)&gt;0,J1833/(J1830+J1831+J1832+J1833),0)</f>
        <v>8643746.5014984</v>
      </c>
      <c r="L1833" s="73" t="n">
        <f aca="false">K1833*(1+Rend_ARES/4)*IF(L1811=1,(1-(Cap_ARES*$AD$15+(1-Cap_ARES)*$AD$16))*(1+0*$AD$14),1)-L1837-L1852*IF((L1842+L1843)&gt;0,L1843/(L1842+L1843),0)/(1-IF(L1811&lt;=Deduc_trim,Deduc_ares,0))+L1857/2-L1855*IF((K1830+K1831+K1832+K1833)&gt;0,K1833/(K1830+K1831+K1832+K1833),0)</f>
        <v>8275090.71320949</v>
      </c>
      <c r="M1833" s="73" t="n">
        <f aca="false">L1833*(1+Rend_ARES/4)*IF(M1811=1,(1-(Cap_ARES*$AD$15+(1-Cap_ARES)*$AD$16))*(1+0*$AD$14),1)-M1837-M1852*IF((M1842+M1843)&gt;0,M1843/(M1842+M1843),0)/(1-IF(M1811&lt;=Deduc_trim,Deduc_ares,0))+M1857/2-M1855*IF((L1830+L1831+L1832+L1833)&gt;0,L1833/(L1830+L1831+L1832+L1833),0)</f>
        <v>7922158.0942911</v>
      </c>
      <c r="N1833" s="73" t="n">
        <f aca="false">M1833*(1+Rend_ARES/4)*IF(N1811=1,(1-(Cap_ARES*$AD$15+(1-Cap_ARES)*$AD$16))*(1+0*$AD$14),1)-N1837-N1852*IF((N1842+N1843)&gt;0,N1843/(N1842+N1843),0)/(1-IF(N1811&lt;=Deduc_trim,Deduc_ares,0))+N1857/2-N1855*IF((M1830+M1831+M1832+M1833)&gt;0,M1833/(M1830+M1831+M1832+M1833),0)</f>
        <v>7584278.05156959</v>
      </c>
      <c r="O1833" s="73" t="n">
        <f aca="false">N1833*(1+Rend_ARES/4)*IF(O1811=1,(1-(Cap_ARES*$AD$15+(1-Cap_ARES)*$AD$16))*(1+0*$AD$14),1)-O1837-O1852*IF((O1842+O1843)&gt;0,O1843/(O1842+O1843),0)/(1-IF(O1811&lt;=Deduc_trim,Deduc_ares,0))+O1857/2-O1855*IF((N1830+N1831+N1832+N1833)&gt;0,N1833/(N1830+N1831+N1832+N1833),0)</f>
        <v>7260808.59267014</v>
      </c>
    </row>
    <row r="1834" customFormat="false" ht="15" hidden="false" customHeight="false" outlineLevel="0" collapsed="false">
      <c r="B1834" s="65" t="s">
        <v>1039</v>
      </c>
      <c r="C1834" s="25"/>
      <c r="D1834" s="73" t="n">
        <f aca="false">C1830*Dist_MAPIF/4*IF(D1811&lt;=$AD$11,0,$AD$10)</f>
        <v>187500</v>
      </c>
      <c r="E1834" s="73" t="n">
        <f aca="false">D1830*Dist_MAPIF/4*IF(E1811&lt;=$AD$11,0,$AD$10)</f>
        <v>194573.4375</v>
      </c>
      <c r="F1834" s="73" t="n">
        <f aca="false">E1830*Dist_MAPIF/4*IF(F1811&lt;=$AD$11,0,$AD$10)</f>
        <v>201701.517304688</v>
      </c>
      <c r="G1834" s="73" t="n">
        <f aca="false">F1830*Dist_MAPIF/4*IF(G1811&lt;=$AD$11,0,$AD$10)</f>
        <v>208884.661525866</v>
      </c>
      <c r="H1834" s="73" t="n">
        <f aca="false">G1830*Dist_MAPIF/4*IF(H1811&lt;=$AD$11,0,$AD$10)</f>
        <v>216123.295536154</v>
      </c>
      <c r="I1834" s="73" t="n">
        <f aca="false">H1830*Dist_MAPIF/4*IF(I1811&lt;=$AD$11,0,$AD$10)</f>
        <v>223417.84799417</v>
      </c>
      <c r="J1834" s="73" t="n">
        <f aca="false">I1830*Dist_MAPIF/4*IF(J1811&lt;=$AD$11,0,$AD$10)</f>
        <v>230768.750869925</v>
      </c>
      <c r="K1834" s="73" t="n">
        <f aca="false">J1830*Dist_MAPIF/4*IF(K1811&lt;=$AD$11,0,$AD$10)</f>
        <v>238176.439470396</v>
      </c>
      <c r="L1834" s="73" t="n">
        <f aca="false">K1830*Dist_MAPIF/4*IF(L1811&lt;=$AD$11,0,$AD$10)</f>
        <v>245641.352465304</v>
      </c>
      <c r="M1834" s="73" t="n">
        <f aca="false">L1830*Dist_MAPIF/4*IF(M1811&lt;=$AD$11,0,$AD$10)</f>
        <v>253163.931913099</v>
      </c>
      <c r="N1834" s="73" t="n">
        <f aca="false">M1830*Dist_MAPIF/4*IF(N1811&lt;=$AD$11,0,$AD$10)</f>
        <v>260744.623287128</v>
      </c>
      <c r="O1834" s="73" t="n">
        <f aca="false">N1830*Dist_MAPIF/4*IF(O1811&lt;=$AD$11,0,$AD$10)</f>
        <v>268383.875502021</v>
      </c>
    </row>
    <row r="1835" customFormat="false" ht="15" hidden="false" customHeight="false" outlineLevel="0" collapsed="false">
      <c r="B1835" s="65" t="s">
        <v>1040</v>
      </c>
      <c r="C1835" s="25"/>
      <c r="D1835" s="73" t="n">
        <f aca="false">C1831*Dist_MSIG/4*IF(D1811&lt;=$AD$11,0,$AD$10)</f>
        <v>96250</v>
      </c>
      <c r="E1835" s="73" t="n">
        <f aca="false">D1831*Dist_MSIG/4*IF(E1811&lt;=$AD$11,0,$AD$10)</f>
        <v>101031.65625</v>
      </c>
      <c r="F1835" s="73" t="n">
        <f aca="false">E1831*Dist_MSIG/4*IF(F1811&lt;=$AD$11,0,$AD$10)</f>
        <v>105833.514997656</v>
      </c>
      <c r="G1835" s="73" t="n">
        <f aca="false">F1831*Dist_MSIG/4*IF(G1811&lt;=$AD$11,0,$AD$10)</f>
        <v>110655.661598521</v>
      </c>
      <c r="H1835" s="73" t="n">
        <f aca="false">G1831*Dist_MSIG/4*IF(H1811&lt;=$AD$11,0,$AD$10)</f>
        <v>115498.181768775</v>
      </c>
      <c r="I1835" s="73" t="n">
        <f aca="false">H1831*Dist_MSIG/4*IF(I1811&lt;=$AD$11,0,$AD$10)</f>
        <v>120361.161586748</v>
      </c>
      <c r="J1835" s="73" t="n">
        <f aca="false">I1831*Dist_MSIG/4*IF(J1811&lt;=$AD$11,0,$AD$10)</f>
        <v>125244.687494452</v>
      </c>
      <c r="K1835" s="73" t="n">
        <f aca="false">J1831*Dist_MSIG/4*IF(K1811&lt;=$AD$11,0,$AD$10)</f>
        <v>130148.846299116</v>
      </c>
      <c r="L1835" s="73" t="n">
        <f aca="false">K1831*Dist_MSIG/4*IF(L1811&lt;=$AD$11,0,$AD$10)</f>
        <v>135073.72517473</v>
      </c>
      <c r="M1835" s="73" t="n">
        <f aca="false">L1831*Dist_MSIG/4*IF(M1811&lt;=$AD$11,0,$AD$10)</f>
        <v>140019.411663593</v>
      </c>
      <c r="N1835" s="73" t="n">
        <f aca="false">M1831*Dist_MSIG/4*IF(N1811&lt;=$AD$11,0,$AD$10)</f>
        <v>144985.993677872</v>
      </c>
      <c r="O1835" s="73" t="n">
        <f aca="false">N1831*Dist_MSIG/4*IF(O1811&lt;=$AD$11,0,$AD$10)</f>
        <v>149973.559501161</v>
      </c>
    </row>
    <row r="1836" customFormat="false" ht="15" hidden="false" customHeight="false" outlineLevel="0" collapsed="false">
      <c r="B1836" s="65" t="s">
        <v>1041</v>
      </c>
      <c r="C1836" s="25"/>
      <c r="D1836" s="73" t="n">
        <f aca="false">C1832*Dist_PG/4*IF(D1811&lt;=$AD$11,0,$AD$10)</f>
        <v>61250</v>
      </c>
      <c r="E1836" s="73" t="n">
        <f aca="false">D1832*Dist_PG/4*IF(E1811&lt;=$AD$11,0,$AD$10)</f>
        <v>59444.65625</v>
      </c>
      <c r="F1836" s="73" t="n">
        <f aca="false">E1832*Dist_PG/4*IF(F1811&lt;=$AD$11,0,$AD$10)</f>
        <v>57692.5250070313</v>
      </c>
      <c r="G1836" s="73" t="n">
        <f aca="false">F1832*Dist_PG/4*IF(G1811&lt;=$AD$11,0,$AD$10)</f>
        <v>55992.037832449</v>
      </c>
      <c r="H1836" s="73" t="n">
        <f aca="false">G1832*Dist_PG/4*IF(H1811&lt;=$AD$11,0,$AD$10)</f>
        <v>54341.6725173376</v>
      </c>
      <c r="I1836" s="73" t="n">
        <f aca="false">H1832*Dist_PG/4*IF(I1811&lt;=$AD$11,0,$AD$10)</f>
        <v>52739.9517198891</v>
      </c>
      <c r="J1836" s="73" t="n">
        <f aca="false">I1832*Dist_PG/4*IF(J1811&lt;=$AD$11,0,$AD$10)</f>
        <v>51185.4416429453</v>
      </c>
      <c r="K1836" s="73" t="n">
        <f aca="false">J1832*Dist_PG/4*IF(K1811&lt;=$AD$11,0,$AD$10)</f>
        <v>49676.7507505195</v>
      </c>
      <c r="L1836" s="73" t="n">
        <f aca="false">K1832*Dist_PG/4*IF(L1811&lt;=$AD$11,0,$AD$10)</f>
        <v>48212.528522148</v>
      </c>
      <c r="M1836" s="73" t="n">
        <f aca="false">L1832*Dist_PG/4*IF(M1811&lt;=$AD$11,0,$AD$10)</f>
        <v>46791.4642439576</v>
      </c>
      <c r="N1836" s="73" t="n">
        <f aca="false">M1832*Dist_PG/4*IF(N1811&lt;=$AD$11,0,$AD$10)</f>
        <v>45412.285835367</v>
      </c>
      <c r="O1836" s="73" t="n">
        <f aca="false">N1832*Dist_PG/4*IF(O1811&lt;=$AD$11,0,$AD$10)</f>
        <v>44073.7587103696</v>
      </c>
    </row>
    <row r="1837" customFormat="false" ht="15" hidden="false" customHeight="false" outlineLevel="0" collapsed="false">
      <c r="B1837" s="65" t="s">
        <v>1042</v>
      </c>
      <c r="C1837" s="25"/>
      <c r="D1837" s="73" t="n">
        <f aca="false">C1833*Dist_ARES/4*IF(D1811&lt;=$AD$11,0,$AD$10)</f>
        <v>153125</v>
      </c>
      <c r="E1837" s="73" t="n">
        <f aca="false">D1833*Dist_ARES/4*IF(E1811&lt;=$AD$11,0,$AD$10)</f>
        <v>146594.21875</v>
      </c>
      <c r="F1837" s="73" t="n">
        <f aca="false">E1833*Dist_ARES/4*IF(F1811&lt;=$AD$11,0,$AD$10)</f>
        <v>140341.975320313</v>
      </c>
      <c r="G1837" s="73" t="n">
        <f aca="false">F1833*Dist_ARES/4*IF(G1811&lt;=$AD$11,0,$AD$10)</f>
        <v>134356.390072901</v>
      </c>
      <c r="H1837" s="73" t="n">
        <f aca="false">G1833*Dist_ARES/4*IF(H1811&lt;=$AD$11,0,$AD$10)</f>
        <v>128626.090036292</v>
      </c>
      <c r="I1837" s="73" t="n">
        <f aca="false">H1833*Dist_ARES/4*IF(I1811&lt;=$AD$11,0,$AD$10)</f>
        <v>123140.187296244</v>
      </c>
      <c r="J1837" s="73" t="n">
        <f aca="false">I1833*Dist_ARES/4*IF(J1811&lt;=$AD$11,0,$AD$10)</f>
        <v>117888.258308059</v>
      </c>
      <c r="K1837" s="73" t="n">
        <f aca="false">J1833*Dist_ARES/4*IF(K1811&lt;=$AD$11,0,$AD$10)</f>
        <v>112860.324091221</v>
      </c>
      <c r="L1837" s="73" t="n">
        <f aca="false">K1833*Dist_ARES/4*IF(L1811&lt;=$AD$11,0,$AD$10)</f>
        <v>108046.83126873</v>
      </c>
      <c r="M1837" s="73" t="n">
        <f aca="false">L1833*Dist_ARES/4*IF(M1811&lt;=$AD$11,0,$AD$10)</f>
        <v>103438.633915119</v>
      </c>
      <c r="N1837" s="73" t="n">
        <f aca="false">M1833*Dist_ARES/4*IF(N1811&lt;=$AD$11,0,$AD$10)</f>
        <v>99026.9761786388</v>
      </c>
      <c r="O1837" s="73" t="n">
        <f aca="false">N1833*Dist_ARES/4*IF(O1811&lt;=$AD$11,0,$AD$10)</f>
        <v>94803.4756446198</v>
      </c>
    </row>
    <row r="1838" customFormat="false" ht="15" hidden="false" customHeight="false" outlineLevel="0" collapsed="false">
      <c r="B1838" s="65" t="s">
        <v>1043</v>
      </c>
      <c r="C1838" s="73" t="n">
        <f aca="false">AN_cible*$AD$12*Part_MAPIF_NA</f>
        <v>4500000</v>
      </c>
      <c r="D1838" s="73" t="n">
        <f aca="false">C1838*IF(D1811=1,1+$AD$14,1)-D1840</f>
        <v>4125000</v>
      </c>
      <c r="E1838" s="73" t="n">
        <f aca="false">D1838*IF(E1811=1,1+$AD$14,1)-E1840</f>
        <v>3750000</v>
      </c>
      <c r="F1838" s="73" t="n">
        <f aca="false">E1838*IF(F1811=1,1+$AD$14,1)-F1840</f>
        <v>3375000</v>
      </c>
      <c r="G1838" s="73" t="n">
        <f aca="false">F1838*IF(G1811=1,1+$AD$14,1)-G1840</f>
        <v>3000000</v>
      </c>
      <c r="H1838" s="73" t="n">
        <f aca="false">G1838*IF(H1811=1,1+$AD$14,1)-H1840</f>
        <v>2625000</v>
      </c>
      <c r="I1838" s="73" t="n">
        <f aca="false">H1838*IF(I1811=1,1+$AD$14,1)-I1840</f>
        <v>2250000</v>
      </c>
      <c r="J1838" s="73" t="n">
        <f aca="false">I1838*IF(J1811=1,1+$AD$14,1)-J1840</f>
        <v>1875000</v>
      </c>
      <c r="K1838" s="73" t="n">
        <f aca="false">J1838*IF(K1811=1,1+$AD$14,1)-K1840</f>
        <v>1500000</v>
      </c>
      <c r="L1838" s="73" t="n">
        <f aca="false">K1838*IF(L1811=1,1+$AD$14,1)-L1840</f>
        <v>1125000</v>
      </c>
      <c r="M1838" s="73" t="n">
        <f aca="false">L1838*IF(M1811=1,1+$AD$14,1)-M1840</f>
        <v>750000</v>
      </c>
      <c r="N1838" s="73" t="n">
        <f aca="false">M1838*IF(N1811=1,1+$AD$14,1)-N1840</f>
        <v>375000</v>
      </c>
      <c r="O1838" s="73" t="n">
        <f aca="false">N1838*IF(O1811=1,1+$AD$14,1)-O1840</f>
        <v>0</v>
      </c>
    </row>
    <row r="1839" customFormat="false" ht="15" hidden="false" customHeight="false" outlineLevel="0" collapsed="false">
      <c r="B1839" s="65" t="s">
        <v>1044</v>
      </c>
      <c r="C1839" s="73" t="n">
        <f aca="false">AN_cible*$AD$12*(1-Part_MAPIF_NA)</f>
        <v>3000000</v>
      </c>
      <c r="D1839" s="73" t="n">
        <f aca="false">C1839*IF(D1811=1,1+MSIG_USD*$AD$14,1)-D1841</f>
        <v>2750000</v>
      </c>
      <c r="E1839" s="73" t="n">
        <f aca="false">D1839*IF(E1811=1,1+MSIG_USD*$AD$14,1)-E1841</f>
        <v>2500000</v>
      </c>
      <c r="F1839" s="73" t="n">
        <f aca="false">E1839*IF(F1811=1,1+MSIG_USD*$AD$14,1)-F1841</f>
        <v>2250000</v>
      </c>
      <c r="G1839" s="73" t="n">
        <f aca="false">F1839*IF(G1811=1,1+MSIG_USD*$AD$14,1)-G1841</f>
        <v>2000000</v>
      </c>
      <c r="H1839" s="73" t="n">
        <f aca="false">G1839*IF(H1811=1,1+MSIG_USD*$AD$14,1)-H1841</f>
        <v>1750000</v>
      </c>
      <c r="I1839" s="73" t="n">
        <f aca="false">H1839*IF(I1811=1,1+MSIG_USD*$AD$14,1)-I1841</f>
        <v>1500000</v>
      </c>
      <c r="J1839" s="73" t="n">
        <f aca="false">I1839*IF(J1811=1,1+MSIG_USD*$AD$14,1)-J1841</f>
        <v>1250000</v>
      </c>
      <c r="K1839" s="73" t="n">
        <f aca="false">J1839*IF(K1811=1,1+MSIG_USD*$AD$14,1)-K1841</f>
        <v>1000000</v>
      </c>
      <c r="L1839" s="73" t="n">
        <f aca="false">K1839*IF(L1811=1,1+MSIG_USD*$AD$14,1)-L1841</f>
        <v>750000</v>
      </c>
      <c r="M1839" s="73" t="n">
        <f aca="false">L1839*IF(M1811=1,1+MSIG_USD*$AD$14,1)-M1841</f>
        <v>500000</v>
      </c>
      <c r="N1839" s="73" t="n">
        <f aca="false">M1839*IF(N1811=1,1+MSIG_USD*$AD$14,1)-N1841</f>
        <v>250000</v>
      </c>
      <c r="O1839" s="73" t="n">
        <f aca="false">N1839*IF(O1811=1,1+MSIG_USD*$AD$14,1)-O1841</f>
        <v>0</v>
      </c>
    </row>
    <row r="1840" customFormat="false" ht="15" hidden="false" customHeight="false" outlineLevel="0" collapsed="false">
      <c r="B1840" s="65" t="s">
        <v>1045</v>
      </c>
      <c r="C1840" s="25"/>
      <c r="D1840" s="73" t="n">
        <f aca="false">MIN(C1838*IF(D1811=1,1+$AD$14,1),$C1838*(1+$AD$14)*IF(D1811&lt;=4,$AD$13/4,Appels_base))</f>
        <v>375000</v>
      </c>
      <c r="E1840" s="73" t="n">
        <f aca="false">MIN(D1838*IF(E1811=1,1+$AD$14,1),$C1838*(1+$AD$14)*IF(E1811&lt;=4,$AD$13/4,Appels_base))</f>
        <v>375000</v>
      </c>
      <c r="F1840" s="73" t="n">
        <f aca="false">MIN(E1838*IF(F1811=1,1+$AD$14,1),$C1838*(1+$AD$14)*IF(F1811&lt;=4,$AD$13/4,Appels_base))</f>
        <v>375000</v>
      </c>
      <c r="G1840" s="73" t="n">
        <f aca="false">MIN(F1838*IF(G1811=1,1+$AD$14,1),$C1838*(1+$AD$14)*IF(G1811&lt;=4,$AD$13/4,Appels_base))</f>
        <v>375000</v>
      </c>
      <c r="H1840" s="73" t="n">
        <f aca="false">MIN(G1838*IF(H1811=1,1+$AD$14,1),$C1838*(1+$AD$14)*IF(H1811&lt;=4,$AD$13/4,Appels_base))</f>
        <v>375000</v>
      </c>
      <c r="I1840" s="73" t="n">
        <f aca="false">MIN(H1838*IF(I1811=1,1+$AD$14,1),$C1838*(1+$AD$14)*IF(I1811&lt;=4,$AD$13/4,Appels_base))</f>
        <v>375000</v>
      </c>
      <c r="J1840" s="73" t="n">
        <f aca="false">MIN(I1838*IF(J1811=1,1+$AD$14,1),$C1838*(1+$AD$14)*IF(J1811&lt;=4,$AD$13/4,Appels_base))</f>
        <v>375000</v>
      </c>
      <c r="K1840" s="73" t="n">
        <f aca="false">MIN(J1838*IF(K1811=1,1+$AD$14,1),$C1838*(1+$AD$14)*IF(K1811&lt;=4,$AD$13/4,Appels_base))</f>
        <v>375000</v>
      </c>
      <c r="L1840" s="73" t="n">
        <f aca="false">MIN(K1838*IF(L1811=1,1+$AD$14,1),$C1838*(1+$AD$14)*IF(L1811&lt;=4,$AD$13/4,Appels_base))</f>
        <v>375000</v>
      </c>
      <c r="M1840" s="73" t="n">
        <f aca="false">MIN(L1838*IF(M1811=1,1+$AD$14,1),$C1838*(1+$AD$14)*IF(M1811&lt;=4,$AD$13/4,Appels_base))</f>
        <v>375000</v>
      </c>
      <c r="N1840" s="73" t="n">
        <f aca="false">MIN(M1838*IF(N1811=1,1+$AD$14,1),$C1838*(1+$AD$14)*IF(N1811&lt;=4,$AD$13/4,Appels_base))</f>
        <v>375000</v>
      </c>
      <c r="O1840" s="73" t="n">
        <f aca="false">MIN(N1838*IF(O1811=1,1+$AD$14,1),$C1838*(1+$AD$14)*IF(O1811&lt;=4,$AD$13/4,Appels_base))</f>
        <v>375000</v>
      </c>
    </row>
    <row r="1841" customFormat="false" ht="15" hidden="false" customHeight="false" outlineLevel="0" collapsed="false">
      <c r="B1841" s="65" t="s">
        <v>1046</v>
      </c>
      <c r="C1841" s="25"/>
      <c r="D1841" s="73" t="n">
        <f aca="false">MIN(C1839*IF(D1811=1,1+MSIG_USD*$AD$14,1),$C1839*(1+MSIG_USD*$AD$14)*IF(D1811&lt;=4,$AD$13/4,Appels_base))</f>
        <v>250000</v>
      </c>
      <c r="E1841" s="73" t="n">
        <f aca="false">MIN(D1839*IF(E1811=1,1+MSIG_USD*$AD$14,1),$C1839*(1+MSIG_USD*$AD$14)*IF(E1811&lt;=4,$AD$13/4,Appels_base))</f>
        <v>250000</v>
      </c>
      <c r="F1841" s="73" t="n">
        <f aca="false">MIN(E1839*IF(F1811=1,1+MSIG_USD*$AD$14,1),$C1839*(1+MSIG_USD*$AD$14)*IF(F1811&lt;=4,$AD$13/4,Appels_base))</f>
        <v>250000</v>
      </c>
      <c r="G1841" s="73" t="n">
        <f aca="false">MIN(F1839*IF(G1811=1,1+MSIG_USD*$AD$14,1),$C1839*(1+MSIG_USD*$AD$14)*IF(G1811&lt;=4,$AD$13/4,Appels_base))</f>
        <v>250000</v>
      </c>
      <c r="H1841" s="73" t="n">
        <f aca="false">MIN(G1839*IF(H1811=1,1+MSIG_USD*$AD$14,1),$C1839*(1+MSIG_USD*$AD$14)*IF(H1811&lt;=4,$AD$13/4,Appels_base))</f>
        <v>250000</v>
      </c>
      <c r="I1841" s="73" t="n">
        <f aca="false">MIN(H1839*IF(I1811=1,1+MSIG_USD*$AD$14,1),$C1839*(1+MSIG_USD*$AD$14)*IF(I1811&lt;=4,$AD$13/4,Appels_base))</f>
        <v>250000</v>
      </c>
      <c r="J1841" s="73" t="n">
        <f aca="false">MIN(I1839*IF(J1811=1,1+MSIG_USD*$AD$14,1),$C1839*(1+MSIG_USD*$AD$14)*IF(J1811&lt;=4,$AD$13/4,Appels_base))</f>
        <v>250000</v>
      </c>
      <c r="K1841" s="73" t="n">
        <f aca="false">MIN(J1839*IF(K1811=1,1+MSIG_USD*$AD$14,1),$C1839*(1+MSIG_USD*$AD$14)*IF(K1811&lt;=4,$AD$13/4,Appels_base))</f>
        <v>250000</v>
      </c>
      <c r="L1841" s="73" t="n">
        <f aca="false">MIN(K1839*IF(L1811=1,1+MSIG_USD*$AD$14,1),$C1839*(1+MSIG_USD*$AD$14)*IF(L1811&lt;=4,$AD$13/4,Appels_base))</f>
        <v>250000</v>
      </c>
      <c r="M1841" s="73" t="n">
        <f aca="false">MIN(L1839*IF(M1811=1,1+MSIG_USD*$AD$14,1),$C1839*(1+MSIG_USD*$AD$14)*IF(M1811&lt;=4,$AD$13/4,Appels_base))</f>
        <v>250000</v>
      </c>
      <c r="N1841" s="73" t="n">
        <f aca="false">MIN(M1839*IF(N1811=1,1+MSIG_USD*$AD$14,1),$C1839*(1+MSIG_USD*$AD$14)*IF(N1811&lt;=4,$AD$13/4,Appels_base))</f>
        <v>250000</v>
      </c>
      <c r="O1841" s="73" t="n">
        <f aca="false">MIN(N1839*IF(O1811=1,1+MSIG_USD*$AD$14,1),$C1839*(1+MSIG_USD*$AD$14)*IF(O1811&lt;=4,$AD$13/4,Appels_base))</f>
        <v>250000</v>
      </c>
    </row>
    <row r="1842" customFormat="false" ht="15" hidden="false" customHeight="false" outlineLevel="0" collapsed="false">
      <c r="B1842" s="65" t="s">
        <v>1047</v>
      </c>
      <c r="C1842" s="25"/>
      <c r="D1842" s="73" t="n">
        <f aca="false">C1832*Capacite_evg*IF(D1811&lt;=4,$AD$17,$AD$18)</f>
        <v>612500</v>
      </c>
      <c r="E1842" s="73" t="n">
        <f aca="false">D1832*Capacite_evg*IF(E1811&lt;=4,$AD$17,$AD$18)</f>
        <v>594446.5625</v>
      </c>
      <c r="F1842" s="73" t="n">
        <f aca="false">E1832*Capacite_evg*IF(F1811&lt;=4,$AD$17,$AD$18)</f>
        <v>576925.250070313</v>
      </c>
      <c r="G1842" s="73" t="n">
        <f aca="false">F1832*Capacite_evg*IF(G1811&lt;=4,$AD$17,$AD$18)</f>
        <v>559920.37832449</v>
      </c>
      <c r="H1842" s="73" t="n">
        <f aca="false">G1832*Capacite_evg*IF(H1811&lt;=4,$AD$17,$AD$18)</f>
        <v>543416.725173376</v>
      </c>
      <c r="I1842" s="73" t="n">
        <f aca="false">H1832*Capacite_evg*IF(I1811&lt;=4,$AD$17,$AD$18)</f>
        <v>527399.517198891</v>
      </c>
      <c r="J1842" s="73" t="n">
        <f aca="false">I1832*Capacite_evg*IF(J1811&lt;=4,$AD$17,$AD$18)</f>
        <v>511854.416429453</v>
      </c>
      <c r="K1842" s="73" t="n">
        <f aca="false">J1832*Capacite_evg*IF(K1811&lt;=4,$AD$17,$AD$18)</f>
        <v>496767.507505195</v>
      </c>
      <c r="L1842" s="73" t="n">
        <f aca="false">K1832*Capacite_evg*IF(L1811&lt;=4,$AD$17,$AD$18)</f>
        <v>482125.28522148</v>
      </c>
      <c r="M1842" s="73" t="n">
        <f aca="false">L1832*Capacite_evg*IF(M1811&lt;=4,$AD$17,$AD$18)</f>
        <v>467914.642439576</v>
      </c>
      <c r="N1842" s="73" t="n">
        <f aca="false">M1832*Capacite_evg*IF(N1811&lt;=4,$AD$17,$AD$18)</f>
        <v>454122.85835367</v>
      </c>
      <c r="O1842" s="73" t="n">
        <f aca="false">N1832*Capacite_evg*IF(O1811&lt;=4,$AD$17,$AD$18)</f>
        <v>440737.587103696</v>
      </c>
    </row>
    <row r="1843" customFormat="false" ht="15" hidden="false" customHeight="false" outlineLevel="0" collapsed="false">
      <c r="B1843" s="65" t="s">
        <v>1048</v>
      </c>
      <c r="C1843" s="25"/>
      <c r="D1843" s="73" t="n">
        <f aca="false">C1833*Capacite_evg*IF(D1811&lt;=4,$AD$17,$AD$19)*(1-IF(D1811&lt;=Deduc_trim,Deduc_ares,0))</f>
        <v>581875</v>
      </c>
      <c r="E1843" s="73" t="n">
        <f aca="false">D1833*Capacite_evg*IF(E1811&lt;=4,$AD$17,$AD$19)*(1-IF(E1811&lt;=Deduc_trim,Deduc_ares,0))</f>
        <v>557058.03125</v>
      </c>
      <c r="F1843" s="73" t="n">
        <f aca="false">E1833*Capacite_evg*IF(F1811&lt;=4,$AD$17,$AD$19)*(1-IF(F1811&lt;=Deduc_trim,Deduc_ares,0))</f>
        <v>533299.506217187</v>
      </c>
      <c r="G1843" s="73" t="n">
        <f aca="false">F1833*Capacite_evg*IF(G1811&lt;=4,$AD$17,$AD$19)*(1-IF(G1811&lt;=Deduc_trim,Deduc_ares,0))</f>
        <v>510554.282277024</v>
      </c>
      <c r="H1843" s="73" t="n">
        <f aca="false">G1833*Capacite_evg*IF(H1811&lt;=4,$AD$17,$AD$19)*(1-IF(H1811&lt;=Deduc_trim,Deduc_ares,0))</f>
        <v>514504.360145168</v>
      </c>
      <c r="I1843" s="73" t="n">
        <f aca="false">H1833*Capacite_evg*IF(I1811&lt;=4,$AD$17,$AD$19)*(1-IF(I1811&lt;=Deduc_trim,Deduc_ares,0))</f>
        <v>492560.749184976</v>
      </c>
      <c r="J1843" s="73" t="n">
        <f aca="false">I1833*Capacite_evg*IF(J1811&lt;=4,$AD$17,$AD$19)*(1-IF(J1811&lt;=Deduc_trim,Deduc_ares,0))</f>
        <v>471553.033232237</v>
      </c>
      <c r="K1843" s="73" t="n">
        <f aca="false">J1833*Capacite_evg*IF(K1811&lt;=4,$AD$17,$AD$19)*(1-IF(K1811&lt;=Deduc_trim,Deduc_ares,0))</f>
        <v>451441.296364882</v>
      </c>
      <c r="L1843" s="73" t="n">
        <f aca="false">K1833*Capacite_evg*IF(L1811&lt;=4,$AD$17,$AD$19)*(1-IF(L1811&lt;=Deduc_trim,Deduc_ares,0))</f>
        <v>432187.32507492</v>
      </c>
      <c r="M1843" s="73" t="n">
        <f aca="false">L1833*Capacite_evg*IF(M1811&lt;=4,$AD$17,$AD$19)*(1-IF(M1811&lt;=Deduc_trim,Deduc_ares,0))</f>
        <v>413754.535660474</v>
      </c>
      <c r="N1843" s="73" t="n">
        <f aca="false">M1833*Capacite_evg*IF(N1811&lt;=4,$AD$17,$AD$19)*(1-IF(N1811&lt;=Deduc_trim,Deduc_ares,0))</f>
        <v>396107.904714555</v>
      </c>
      <c r="O1843" s="73" t="n">
        <f aca="false">N1833*Capacite_evg*IF(O1811&lt;=4,$AD$17,$AD$19)*(1-IF(O1811&lt;=Deduc_trim,Deduc_ares,0))</f>
        <v>379213.902578479</v>
      </c>
    </row>
    <row r="1844" customFormat="false" ht="15" hidden="false" customHeight="false" outlineLevel="0" collapsed="false">
      <c r="B1844" s="65" t="s">
        <v>1049</v>
      </c>
      <c r="C1844" s="25"/>
      <c r="D1844" s="73" t="n">
        <f aca="false">C1858</f>
        <v>7500000</v>
      </c>
      <c r="E1844" s="73" t="n">
        <f aca="false">D1858</f>
        <v>5739375</v>
      </c>
      <c r="F1844" s="73" t="n">
        <f aca="false">E1858</f>
        <v>6562891.4375</v>
      </c>
      <c r="G1844" s="73" t="n">
        <f aca="false">F1858</f>
        <v>4909430.45367109</v>
      </c>
      <c r="H1844" s="73" t="n">
        <f aca="false">G1858</f>
        <v>5659951.93568534</v>
      </c>
      <c r="I1844" s="73" t="n">
        <f aca="false">H1858</f>
        <v>4012380.04095581</v>
      </c>
      <c r="J1844" s="73" t="n">
        <f aca="false">I1858</f>
        <v>4721157.38504098</v>
      </c>
      <c r="K1844" s="73" t="n">
        <f aca="false">J1858</f>
        <v>3052969.10864954</v>
      </c>
      <c r="L1844" s="73" t="n">
        <f aca="false">K1858</f>
        <v>3699458.07298265</v>
      </c>
      <c r="M1844" s="73" t="n">
        <f aca="false">L1858</f>
        <v>4318465.23854271</v>
      </c>
      <c r="N1844" s="73" t="n">
        <f aca="false">M1858</f>
        <v>4911385.49862274</v>
      </c>
      <c r="O1844" s="73" t="n">
        <f aca="false">N1858</f>
        <v>5479562.85218514</v>
      </c>
    </row>
    <row r="1845" customFormat="false" ht="15" hidden="false" customHeight="false" outlineLevel="0" collapsed="false">
      <c r="B1845" s="65" t="s">
        <v>1050</v>
      </c>
      <c r="C1845" s="25"/>
      <c r="D1845" s="73" t="n">
        <f aca="false">D1844*Taux_treso/4</f>
        <v>46875</v>
      </c>
      <c r="E1845" s="73" t="n">
        <f aca="false">E1844*Taux_treso/4</f>
        <v>35871.09375</v>
      </c>
      <c r="F1845" s="73" t="n">
        <f aca="false">F1844*Taux_treso/4</f>
        <v>41018.071484375</v>
      </c>
      <c r="G1845" s="73" t="n">
        <f aca="false">G1844*Taux_treso/4</f>
        <v>30683.9403354443</v>
      </c>
      <c r="H1845" s="73" t="n">
        <f aca="false">H1844*Taux_treso/4</f>
        <v>35374.6995980334</v>
      </c>
      <c r="I1845" s="73" t="n">
        <f aca="false">I1844*Taux_treso/4</f>
        <v>25077.3752559738</v>
      </c>
      <c r="J1845" s="73" t="n">
        <f aca="false">J1844*Taux_treso/4</f>
        <v>29507.2336565061</v>
      </c>
      <c r="K1845" s="73" t="n">
        <f aca="false">K1844*Taux_treso/4</f>
        <v>19081.0569290596</v>
      </c>
      <c r="L1845" s="73" t="n">
        <f aca="false">L1844*Taux_treso/4</f>
        <v>23121.6129561415</v>
      </c>
      <c r="M1845" s="73" t="n">
        <f aca="false">M1844*Taux_treso/4</f>
        <v>26990.407740892</v>
      </c>
      <c r="N1845" s="73" t="n">
        <f aca="false">N1844*Taux_treso/4</f>
        <v>30696.1593663921</v>
      </c>
      <c r="O1845" s="73" t="n">
        <f aca="false">O1844*Taux_treso/4</f>
        <v>34247.2678261571</v>
      </c>
    </row>
    <row r="1846" customFormat="false" ht="15" hidden="false" customHeight="false" outlineLevel="0" collapsed="false">
      <c r="B1846" s="65" t="s">
        <v>1051</v>
      </c>
      <c r="C1846" s="25"/>
      <c r="D1846" s="73" t="n">
        <f aca="false">SUM(D1834:D1837)</f>
        <v>498125</v>
      </c>
      <c r="E1846" s="73" t="n">
        <f aca="false">SUM(E1834:E1837)</f>
        <v>501643.96875</v>
      </c>
      <c r="F1846" s="73" t="n">
        <f aca="false">SUM(F1834:F1837)</f>
        <v>505569.532629688</v>
      </c>
      <c r="G1846" s="73" t="n">
        <f aca="false">SUM(G1834:G1837)</f>
        <v>509888.751029738</v>
      </c>
      <c r="H1846" s="73" t="n">
        <f aca="false">SUM(H1834:H1837)</f>
        <v>514589.239858558</v>
      </c>
      <c r="I1846" s="73" t="n">
        <f aca="false">SUM(I1834:I1837)</f>
        <v>519659.148597052</v>
      </c>
      <c r="J1846" s="73" t="n">
        <f aca="false">SUM(J1834:J1837)</f>
        <v>525087.138315382</v>
      </c>
      <c r="K1846" s="73" t="n">
        <f aca="false">SUM(K1834:K1837)</f>
        <v>530862.360611252</v>
      </c>
      <c r="L1846" s="73" t="n">
        <f aca="false">SUM(L1834:L1837)</f>
        <v>536974.437430912</v>
      </c>
      <c r="M1846" s="73" t="n">
        <f aca="false">SUM(M1834:M1837)</f>
        <v>543413.441735769</v>
      </c>
      <c r="N1846" s="73" t="n">
        <f aca="false">SUM(N1834:N1837)</f>
        <v>550169.878979005</v>
      </c>
      <c r="O1846" s="73" t="n">
        <f aca="false">SUM(O1834:O1837)</f>
        <v>557234.669358171</v>
      </c>
    </row>
    <row r="1847" customFormat="false" ht="15" hidden="false" customHeight="false" outlineLevel="0" collapsed="false">
      <c r="B1847" s="65" t="s">
        <v>1052</v>
      </c>
      <c r="C1847" s="25"/>
      <c r="D1847" s="73" t="n">
        <f aca="false">IF(AND(Distrib_tension=1,OR(D1819&gt;0.000001,C1861&lt;Liq_min,C1825=1)),0,MIN(Dist_porteurs/4*Part_d*D1816,D1846))</f>
        <v>125000</v>
      </c>
      <c r="E1847" s="73" t="n">
        <f aca="false">IF(AND(Distrib_tension=1,OR(E1819&gt;0.000001,D1861&lt;Liq_min,D1825=1)),0,MIN(Dist_porteurs/4*Part_d*E1816,E1846))</f>
        <v>0</v>
      </c>
      <c r="F1847" s="73" t="n">
        <f aca="false">IF(AND(Distrib_tension=1,OR(F1819&gt;0.000001,E1861&lt;Liq_min,E1825=1)),0,MIN(Dist_porteurs/4*Part_d*F1816,F1846))</f>
        <v>0</v>
      </c>
      <c r="G1847" s="73" t="n">
        <f aca="false">IF(AND(Distrib_tension=1,OR(G1819&gt;0.000001,F1861&lt;Liq_min,F1825=1)),0,MIN(Dist_porteurs/4*Part_d*G1816,G1846))</f>
        <v>0</v>
      </c>
      <c r="H1847" s="73" t="n">
        <f aca="false">IF(AND(Distrib_tension=1,OR(H1819&gt;0.000001,G1861&lt;Liq_min,G1825=1)),0,MIN(Dist_porteurs/4*Part_d*H1816,H1846))</f>
        <v>0</v>
      </c>
      <c r="I1847" s="73" t="n">
        <f aca="false">IF(AND(Distrib_tension=1,OR(I1819&gt;0.000001,H1861&lt;Liq_min,H1825=1)),0,MIN(Dist_porteurs/4*Part_d*I1816,I1846))</f>
        <v>0</v>
      </c>
      <c r="J1847" s="73" t="n">
        <f aca="false">IF(AND(Distrib_tension=1,OR(J1819&gt;0.000001,I1861&lt;Liq_min,I1825=1)),0,MIN(Dist_porteurs/4*Part_d*J1816,J1846))</f>
        <v>0</v>
      </c>
      <c r="K1847" s="73" t="n">
        <f aca="false">IF(AND(Distrib_tension=1,OR(K1819&gt;0.000001,J1861&lt;Liq_min,J1825=1)),0,MIN(Dist_porteurs/4*Part_d*K1816,K1846))</f>
        <v>0</v>
      </c>
      <c r="L1847" s="73" t="n">
        <f aca="false">IF(AND(Distrib_tension=1,OR(L1819&gt;0.000001,K1861&lt;Liq_min,K1825=1)),0,MIN(Dist_porteurs/4*Part_d*L1816,L1846))</f>
        <v>0</v>
      </c>
      <c r="M1847" s="73" t="n">
        <f aca="false">IF(AND(Distrib_tension=1,OR(M1819&gt;0.000001,L1861&lt;Liq_min,L1825=1)),0,MIN(Dist_porteurs/4*Part_d*M1816,M1846))</f>
        <v>0</v>
      </c>
      <c r="N1847" s="73" t="n">
        <f aca="false">IF(AND(Distrib_tension=1,OR(N1819&gt;0.000001,M1861&lt;Liq_min,M1825=1)),0,MIN(Dist_porteurs/4*Part_d*N1816,N1846))</f>
        <v>0</v>
      </c>
      <c r="O1847" s="73" t="n">
        <f aca="false">IF(AND(Distrib_tension=1,OR(O1819&gt;0.000001,N1861&lt;Liq_min,N1825=1)),0,MIN(Dist_porteurs/4*Part_d*O1816,O1846))</f>
        <v>0</v>
      </c>
    </row>
    <row r="1848" customFormat="false" ht="15" hidden="false" customHeight="false" outlineLevel="0" collapsed="false">
      <c r="B1848" s="65" t="s">
        <v>1053</v>
      </c>
      <c r="C1848" s="25"/>
      <c r="D1848" s="73" t="n">
        <f aca="false">D1840+D1841</f>
        <v>625000</v>
      </c>
      <c r="E1848" s="73" t="n">
        <f aca="false">E1840+E1841</f>
        <v>625000</v>
      </c>
      <c r="F1848" s="73" t="n">
        <f aca="false">F1840+F1841</f>
        <v>625000</v>
      </c>
      <c r="G1848" s="73" t="n">
        <f aca="false">G1840+G1841</f>
        <v>625000</v>
      </c>
      <c r="H1848" s="73" t="n">
        <f aca="false">H1840+H1841</f>
        <v>625000</v>
      </c>
      <c r="I1848" s="73" t="n">
        <f aca="false">I1840+I1841</f>
        <v>625000</v>
      </c>
      <c r="J1848" s="73" t="n">
        <f aca="false">J1840+J1841</f>
        <v>625000</v>
      </c>
      <c r="K1848" s="73" t="n">
        <f aca="false">K1840+K1841</f>
        <v>625000</v>
      </c>
      <c r="L1848" s="73" t="n">
        <f aca="false">L1840+L1841</f>
        <v>625000</v>
      </c>
      <c r="M1848" s="73" t="n">
        <f aca="false">M1840+M1841</f>
        <v>625000</v>
      </c>
      <c r="N1848" s="73" t="n">
        <f aca="false">N1840+N1841</f>
        <v>625000</v>
      </c>
      <c r="O1848" s="73" t="n">
        <f aca="false">O1840+O1841</f>
        <v>625000</v>
      </c>
    </row>
    <row r="1849" customFormat="false" ht="15" hidden="false" customHeight="false" outlineLevel="0" collapsed="false">
      <c r="B1849" s="65" t="s">
        <v>1054</v>
      </c>
      <c r="C1849" s="25"/>
      <c r="D1849" s="73" t="n">
        <f aca="false">D1816*Frais_an/4</f>
        <v>250000</v>
      </c>
      <c r="E1849" s="73" t="n">
        <f aca="false">E1816*Frais_an/4</f>
        <v>240503.21875</v>
      </c>
      <c r="F1849" s="73" t="n">
        <f aca="false">F1816*Frais_an/4</f>
        <v>244115.758566406</v>
      </c>
      <c r="G1849" s="73" t="n">
        <f aca="false">G1816*Frais_an/4</f>
        <v>235525.86995245</v>
      </c>
      <c r="H1849" s="73" t="n">
        <f aca="false">H1816*Frais_an/4</f>
        <v>239132.447227697</v>
      </c>
      <c r="I1849" s="73" t="n">
        <f aca="false">I1816*Frais_an/4</f>
        <v>230919.446151722</v>
      </c>
      <c r="J1849" s="73" t="n">
        <f aca="false">J1816*Frais_an/4</f>
        <v>234653.645275002</v>
      </c>
      <c r="K1849" s="73" t="n">
        <f aca="false">K1816*Frais_an/4</f>
        <v>226663.257077278</v>
      </c>
      <c r="L1849" s="73" t="n">
        <f aca="false">L1816*Frais_an/4</f>
        <v>230401.495123387</v>
      </c>
      <c r="M1849" s="73" t="n">
        <f aca="false">M1816*Frais_an/4</f>
        <v>234152.767496683</v>
      </c>
      <c r="N1849" s="73" t="n">
        <f aca="false">N1816*Frais_an/4</f>
        <v>237919.447851228</v>
      </c>
      <c r="O1849" s="73" t="n">
        <f aca="false">O1816*Frais_an/4</f>
        <v>241703.843492053</v>
      </c>
    </row>
    <row r="1850" customFormat="false" ht="15" hidden="false" customHeight="false" outlineLevel="0" collapsed="false">
      <c r="B1850" s="65" t="s">
        <v>1055</v>
      </c>
      <c r="C1850" s="25"/>
      <c r="D1850" s="73" t="n">
        <f aca="false">C1859*Taux_emprunt/4</f>
        <v>0</v>
      </c>
      <c r="E1850" s="73" t="n">
        <f aca="false">D1859*Taux_emprunt/4</f>
        <v>0</v>
      </c>
      <c r="F1850" s="73" t="n">
        <f aca="false">E1859*Taux_emprunt/4</f>
        <v>0</v>
      </c>
      <c r="G1850" s="73" t="n">
        <f aca="false">F1859*Taux_emprunt/4</f>
        <v>0</v>
      </c>
      <c r="H1850" s="73" t="n">
        <f aca="false">G1859*Taux_emprunt/4</f>
        <v>0</v>
      </c>
      <c r="I1850" s="73" t="n">
        <f aca="false">H1859*Taux_emprunt/4</f>
        <v>0</v>
      </c>
      <c r="J1850" s="73" t="n">
        <f aca="false">I1859*Taux_emprunt/4</f>
        <v>0</v>
      </c>
      <c r="K1850" s="73" t="n">
        <f aca="false">J1859*Taux_emprunt/4</f>
        <v>0</v>
      </c>
      <c r="L1850" s="73" t="n">
        <f aca="false">K1859*Taux_emprunt/4</f>
        <v>0</v>
      </c>
      <c r="M1850" s="73" t="n">
        <f aca="false">L1859*Taux_emprunt/4</f>
        <v>0</v>
      </c>
      <c r="N1850" s="73" t="n">
        <f aca="false">M1859*Taux_emprunt/4</f>
        <v>0</v>
      </c>
      <c r="O1850" s="73" t="n">
        <f aca="false">N1859*Taux_emprunt/4</f>
        <v>0</v>
      </c>
    </row>
    <row r="1851" customFormat="false" ht="15" hidden="false" customHeight="false" outlineLevel="0" collapsed="false">
      <c r="B1851" s="65" t="s">
        <v>1056</v>
      </c>
      <c r="C1851" s="25"/>
      <c r="D1851" s="73" t="n">
        <f aca="false">D1844+D1845+D1846-D1847+D1817-D1848-D1849-D1850</f>
        <v>7045000</v>
      </c>
      <c r="E1851" s="73" t="n">
        <f aca="false">E1844+E1845+E1846-E1847+E1817-E1848-E1849-E1850</f>
        <v>5411386.84375</v>
      </c>
      <c r="F1851" s="73" t="n">
        <f aca="false">F1844+F1845+F1846-F1847+F1817-F1848-F1849-F1850</f>
        <v>6240363.28304766</v>
      </c>
      <c r="G1851" s="73" t="n">
        <f aca="false">G1844+G1845+G1846-G1847+G1817-G1848-G1849-G1850</f>
        <v>4589477.27508382</v>
      </c>
      <c r="H1851" s="73" t="n">
        <f aca="false">H1844+H1845+H1846-H1847+H1817-H1848-H1849-H1850</f>
        <v>5345783.42791423</v>
      </c>
      <c r="I1851" s="73" t="n">
        <f aca="false">I1844+I1845+I1846-I1847+I1817-I1848-I1849-I1850</f>
        <v>3701197.11865711</v>
      </c>
      <c r="J1851" s="73" t="n">
        <f aca="false">J1844+J1845+J1846-J1847+J1817-J1848-J1849-J1850</f>
        <v>4416098.11173787</v>
      </c>
      <c r="K1851" s="73" t="n">
        <f aca="false">K1844+K1845+K1846-K1847+K1817-K1848-K1849-K1850</f>
        <v>2751249.26911257</v>
      </c>
      <c r="L1851" s="73" t="n">
        <f aca="false">L1844+L1845+L1846-L1847+L1817-L1848-L1849-L1850</f>
        <v>3404152.62824631</v>
      </c>
      <c r="M1851" s="73" t="n">
        <f aca="false">M1844+M1845+M1846-M1847+M1817-M1848-M1849-M1850</f>
        <v>4029716.32052269</v>
      </c>
      <c r="N1851" s="73" t="n">
        <f aca="false">N1844+N1845+N1846-N1847+N1817-N1848-N1849-N1850</f>
        <v>4629332.08911691</v>
      </c>
      <c r="O1851" s="73" t="n">
        <f aca="false">O1844+O1845+O1846-O1847+O1817-O1848-O1849-O1850</f>
        <v>5204340.94587741</v>
      </c>
    </row>
    <row r="1852" customFormat="false" ht="15" hidden="false" customHeight="false" outlineLevel="0" collapsed="false">
      <c r="B1852" s="65" t="s">
        <v>1057</v>
      </c>
      <c r="C1852" s="25"/>
      <c r="D1852" s="73" t="n">
        <f aca="false">MIN(D1842+D1843,MAX(0,Liq_cible*D1816-(D1851-D1826)))</f>
        <v>1194375</v>
      </c>
      <c r="E1852" s="73" t="n">
        <f aca="false">MIN(E1842+E1843,MAX(0,Liq_cible*E1816-(E1851-E1826)))</f>
        <v>1151504.59375</v>
      </c>
      <c r="F1852" s="73" t="n">
        <f aca="false">MIN(F1842+F1843,MAX(0,Liq_cible*F1816-(F1851-F1826)))</f>
        <v>1110224.7562875</v>
      </c>
      <c r="G1852" s="73" t="n">
        <f aca="false">MIN(G1842+G1843,MAX(0,Liq_cible*G1816-(G1851-G1826)))</f>
        <v>1070474.66060151</v>
      </c>
      <c r="H1852" s="73" t="n">
        <f aca="false">MIN(H1842+H1843,MAX(0,Liq_cible*H1816-(H1851-H1826)))</f>
        <v>1057921.08531854</v>
      </c>
      <c r="I1852" s="73" t="n">
        <f aca="false">MIN(I1842+I1843,MAX(0,Liq_cible*I1816-(I1851-I1826)))</f>
        <v>1019960.26638387</v>
      </c>
      <c r="J1852" s="73" t="n">
        <f aca="false">MIN(J1842+J1843,MAX(0,Liq_cible*J1816-(J1851-J1826)))</f>
        <v>983407.44966169</v>
      </c>
      <c r="K1852" s="73" t="n">
        <f aca="false">MIN(K1842+K1843,MAX(0,Liq_cible*K1816-(K1851-K1826)))</f>
        <v>948208.803870077</v>
      </c>
      <c r="L1852" s="73" t="n">
        <f aca="false">MIN(L1842+L1843,MAX(0,Liq_cible*L1816-(L1851-L1826)))</f>
        <v>914312.610296399</v>
      </c>
      <c r="M1852" s="73" t="n">
        <f aca="false">MIN(M1842+M1843,MAX(0,Liq_cible*M1816-(M1851-M1826)))</f>
        <v>881669.178100051</v>
      </c>
      <c r="N1852" s="73" t="n">
        <f aca="false">MIN(N1842+N1843,MAX(0,Liq_cible*N1816-(N1851-N1826)))</f>
        <v>850230.763068225</v>
      </c>
      <c r="O1852" s="73" t="n">
        <f aca="false">MIN(O1842+O1843,MAX(0,Liq_cible*O1816-(O1851-O1826)))</f>
        <v>819951.489682175</v>
      </c>
    </row>
    <row r="1853" customFormat="false" ht="15" hidden="false" customHeight="false" outlineLevel="0" collapsed="false">
      <c r="B1853" s="65" t="s">
        <v>1058</v>
      </c>
      <c r="C1853" s="25"/>
      <c r="D1853" s="73" t="n">
        <f aca="false">D1851-D1826+D1852</f>
        <v>5739375</v>
      </c>
      <c r="E1853" s="73" t="n">
        <f aca="false">E1851-E1826+E1852</f>
        <v>6562891.4375</v>
      </c>
      <c r="F1853" s="73" t="n">
        <f aca="false">F1851-F1826+F1852</f>
        <v>4909430.45367109</v>
      </c>
      <c r="G1853" s="73" t="n">
        <f aca="false">G1851-G1826+G1852</f>
        <v>5659951.93568534</v>
      </c>
      <c r="H1853" s="73" t="n">
        <f aca="false">H1851-H1826+H1852</f>
        <v>4012380.04095581</v>
      </c>
      <c r="I1853" s="73" t="n">
        <f aca="false">I1851-I1826+I1852</f>
        <v>4721157.38504098</v>
      </c>
      <c r="J1853" s="73" t="n">
        <f aca="false">J1851-J1826+J1852</f>
        <v>3052969.10864954</v>
      </c>
      <c r="K1853" s="73" t="n">
        <f aca="false">K1851-K1826+K1852</f>
        <v>3699458.07298265</v>
      </c>
      <c r="L1853" s="73" t="n">
        <f aca="false">L1851-L1826+L1852</f>
        <v>4318465.23854271</v>
      </c>
      <c r="M1853" s="73" t="n">
        <f aca="false">M1851-M1826+M1852</f>
        <v>4911385.49862274</v>
      </c>
      <c r="N1853" s="73" t="n">
        <f aca="false">N1851-N1826+N1852</f>
        <v>5479562.85218514</v>
      </c>
      <c r="O1853" s="73" t="n">
        <f aca="false">O1851-O1826+O1852</f>
        <v>6024292.43555959</v>
      </c>
    </row>
    <row r="1854" customFormat="false" ht="15" hidden="false" customHeight="false" outlineLevel="0" collapsed="false">
      <c r="B1854" s="65" t="s">
        <v>1059</v>
      </c>
      <c r="C1854" s="25"/>
      <c r="D1854" s="73" t="n">
        <f aca="false">MIN(MAX(0,MIN($AD$20*AN_cible,Emprunt_max*D1816)-C1859),MAX(0,IF($AD$20&gt;0,Poche_min_exec*D1816,0)-D1853))-IF(D1853&gt;Liq_cible*D1816,MIN(C1859,D1853-Liq_cible*D1816),0)</f>
        <v>0</v>
      </c>
      <c r="E1854" s="73" t="n">
        <f aca="false">MIN(MAX(0,MIN($AD$20*AN_cible,Emprunt_max*E1816)-D1859),MAX(0,IF($AD$20&gt;0,Poche_min_exec*E1816,0)-E1853))-IF(E1853&gt;Liq_cible*E1816,MIN(D1859,E1853-Liq_cible*E1816),0)</f>
        <v>0</v>
      </c>
      <c r="F1854" s="73" t="n">
        <f aca="false">MIN(MAX(0,MIN($AD$20*AN_cible,Emprunt_max*F1816)-E1859),MAX(0,IF($AD$20&gt;0,Poche_min_exec*F1816,0)-F1853))-IF(F1853&gt;Liq_cible*F1816,MIN(E1859,F1853-Liq_cible*F1816),0)</f>
        <v>0</v>
      </c>
      <c r="G1854" s="73" t="n">
        <f aca="false">MIN(MAX(0,MIN($AD$20*AN_cible,Emprunt_max*G1816)-F1859),MAX(0,IF($AD$20&gt;0,Poche_min_exec*G1816,0)-G1853))-IF(G1853&gt;Liq_cible*G1816,MIN(F1859,G1853-Liq_cible*G1816),0)</f>
        <v>0</v>
      </c>
      <c r="H1854" s="73" t="n">
        <f aca="false">MIN(MAX(0,MIN($AD$20*AN_cible,Emprunt_max*H1816)-G1859),MAX(0,IF($AD$20&gt;0,Poche_min_exec*H1816,0)-H1853))-IF(H1853&gt;Liq_cible*H1816,MIN(G1859,H1853-Liq_cible*H1816),0)</f>
        <v>0</v>
      </c>
      <c r="I1854" s="73" t="n">
        <f aca="false">MIN(MAX(0,MIN($AD$20*AN_cible,Emprunt_max*I1816)-H1859),MAX(0,IF($AD$20&gt;0,Poche_min_exec*I1816,0)-I1853))-IF(I1853&gt;Liq_cible*I1816,MIN(H1859,I1853-Liq_cible*I1816),0)</f>
        <v>0</v>
      </c>
      <c r="J1854" s="73" t="n">
        <f aca="false">MIN(MAX(0,MIN($AD$20*AN_cible,Emprunt_max*J1816)-I1859),MAX(0,IF($AD$20&gt;0,Poche_min_exec*J1816,0)-J1853))-IF(J1853&gt;Liq_cible*J1816,MIN(I1859,J1853-Liq_cible*J1816),0)</f>
        <v>0</v>
      </c>
      <c r="K1854" s="73" t="n">
        <f aca="false">MIN(MAX(0,MIN($AD$20*AN_cible,Emprunt_max*K1816)-J1859),MAX(0,IF($AD$20&gt;0,Poche_min_exec*K1816,0)-K1853))-IF(K1853&gt;Liq_cible*K1816,MIN(J1859,K1853-Liq_cible*K1816),0)</f>
        <v>0</v>
      </c>
      <c r="L1854" s="73" t="n">
        <f aca="false">MIN(MAX(0,MIN($AD$20*AN_cible,Emprunt_max*L1816)-K1859),MAX(0,IF($AD$20&gt;0,Poche_min_exec*L1816,0)-L1853))-IF(L1853&gt;Liq_cible*L1816,MIN(K1859,L1853-Liq_cible*L1816),0)</f>
        <v>0</v>
      </c>
      <c r="M1854" s="73" t="n">
        <f aca="false">MIN(MAX(0,MIN($AD$20*AN_cible,Emprunt_max*M1816)-L1859),MAX(0,IF($AD$20&gt;0,Poche_min_exec*M1816,0)-M1853))-IF(M1853&gt;Liq_cible*M1816,MIN(L1859,M1853-Liq_cible*M1816),0)</f>
        <v>0</v>
      </c>
      <c r="N1854" s="73" t="n">
        <f aca="false">MIN(MAX(0,MIN($AD$20*AN_cible,Emprunt_max*N1816)-M1859),MAX(0,IF($AD$20&gt;0,Poche_min_exec*N1816,0)-N1853))-IF(N1853&gt;Liq_cible*N1816,MIN(M1859,N1853-Liq_cible*N1816),0)</f>
        <v>0</v>
      </c>
      <c r="O1854" s="73" t="n">
        <f aca="false">MIN(MAX(0,MIN($AD$20*AN_cible,Emprunt_max*O1816)-N1859),MAX(0,IF($AD$20&gt;0,Poche_min_exec*O1816,0)-O1853))-IF(O1853&gt;Liq_cible*O1816,MIN(N1859,O1853-Liq_cible*O1816),0)</f>
        <v>0</v>
      </c>
    </row>
    <row r="1855" customFormat="false" ht="15" hidden="false" customHeight="false" outlineLevel="0" collapsed="false">
      <c r="B1855" s="65" t="s">
        <v>1060</v>
      </c>
      <c r="C1855" s="25"/>
      <c r="D1855" s="73" t="n">
        <f aca="false">MIN((C1830+C1831+C1832+C1833),MAX(0,-(D1853+D1854))/(1-Decote))</f>
        <v>0</v>
      </c>
      <c r="E1855" s="73" t="n">
        <f aca="false">MIN((D1830+D1831+D1832+D1833),MAX(0,-(E1853+E1854))/(1-Decote))</f>
        <v>0</v>
      </c>
      <c r="F1855" s="73" t="n">
        <f aca="false">MIN((E1830+E1831+E1832+E1833),MAX(0,-(F1853+F1854))/(1-Decote))</f>
        <v>0</v>
      </c>
      <c r="G1855" s="73" t="n">
        <f aca="false">MIN((F1830+F1831+F1832+F1833),MAX(0,-(G1853+G1854))/(1-Decote))</f>
        <v>0</v>
      </c>
      <c r="H1855" s="73" t="n">
        <f aca="false">MIN((G1830+G1831+G1832+G1833),MAX(0,-(H1853+H1854))/(1-Decote))</f>
        <v>0</v>
      </c>
      <c r="I1855" s="73" t="n">
        <f aca="false">MIN((H1830+H1831+H1832+H1833),MAX(0,-(I1853+I1854))/(1-Decote))</f>
        <v>0</v>
      </c>
      <c r="J1855" s="73" t="n">
        <f aca="false">MIN((I1830+I1831+I1832+I1833),MAX(0,-(J1853+J1854))/(1-Decote))</f>
        <v>0</v>
      </c>
      <c r="K1855" s="73" t="n">
        <f aca="false">MIN((J1830+J1831+J1832+J1833),MAX(0,-(K1853+K1854))/(1-Decote))</f>
        <v>0</v>
      </c>
      <c r="L1855" s="73" t="n">
        <f aca="false">MIN((K1830+K1831+K1832+K1833),MAX(0,-(L1853+L1854))/(1-Decote))</f>
        <v>0</v>
      </c>
      <c r="M1855" s="73" t="n">
        <f aca="false">MIN((L1830+L1831+L1832+L1833),MAX(0,-(M1853+M1854))/(1-Decote))</f>
        <v>0</v>
      </c>
      <c r="N1855" s="73" t="n">
        <f aca="false">MIN((M1830+M1831+M1832+M1833),MAX(0,-(N1853+N1854))/(1-Decote))</f>
        <v>0</v>
      </c>
      <c r="O1855" s="73" t="n">
        <f aca="false">MIN((N1830+N1831+N1832+N1833),MAX(0,-(O1853+O1854))/(1-Decote))</f>
        <v>0</v>
      </c>
    </row>
    <row r="1856" customFormat="false" ht="15" hidden="false" customHeight="false" outlineLevel="0" collapsed="false">
      <c r="B1856" s="65" t="s">
        <v>1061</v>
      </c>
      <c r="C1856" s="25"/>
      <c r="D1856" s="73" t="n">
        <f aca="false">D1855*Decote</f>
        <v>0</v>
      </c>
      <c r="E1856" s="73" t="n">
        <f aca="false">E1855*Decote</f>
        <v>0</v>
      </c>
      <c r="F1856" s="73" t="n">
        <f aca="false">F1855*Decote</f>
        <v>0</v>
      </c>
      <c r="G1856" s="73" t="n">
        <f aca="false">G1855*Decote</f>
        <v>0</v>
      </c>
      <c r="H1856" s="73" t="n">
        <f aca="false">H1855*Decote</f>
        <v>0</v>
      </c>
      <c r="I1856" s="73" t="n">
        <f aca="false">I1855*Decote</f>
        <v>0</v>
      </c>
      <c r="J1856" s="73" t="n">
        <f aca="false">J1855*Decote</f>
        <v>0</v>
      </c>
      <c r="K1856" s="73" t="n">
        <f aca="false">K1855*Decote</f>
        <v>0</v>
      </c>
      <c r="L1856" s="73" t="n">
        <f aca="false">L1855*Decote</f>
        <v>0</v>
      </c>
      <c r="M1856" s="73" t="n">
        <f aca="false">M1855*Decote</f>
        <v>0</v>
      </c>
      <c r="N1856" s="73" t="n">
        <f aca="false">N1855*Decote</f>
        <v>0</v>
      </c>
      <c r="O1856" s="73" t="n">
        <f aca="false">O1855*Decote</f>
        <v>0</v>
      </c>
    </row>
    <row r="1857" customFormat="false" ht="15" hidden="false" customHeight="false" outlineLevel="0" collapsed="false">
      <c r="B1857" s="65" t="s">
        <v>1062</v>
      </c>
      <c r="C1857" s="25"/>
      <c r="D1857" s="73" t="n">
        <f aca="false">IF(AND(D1827&lt;0.000001,C1859+D1854&lt;0.000001),MAX(0,D1853+D1854-Seuil_reinv*D1816),0)</f>
        <v>0</v>
      </c>
      <c r="E1857" s="73" t="n">
        <f aca="false">IF(AND(E1827&lt;0.000001,D1859+E1854&lt;0.000001),MAX(0,E1853+E1854-Seuil_reinv*E1816),0)</f>
        <v>0</v>
      </c>
      <c r="F1857" s="73" t="n">
        <f aca="false">IF(AND(F1827&lt;0.000001,E1859+F1854&lt;0.000001),MAX(0,F1853+F1854-Seuil_reinv*F1816),0)</f>
        <v>0</v>
      </c>
      <c r="G1857" s="73" t="n">
        <f aca="false">IF(AND(G1827&lt;0.000001,F1859+G1854&lt;0.000001),MAX(0,G1853+G1854-Seuil_reinv*G1816),0)</f>
        <v>0</v>
      </c>
      <c r="H1857" s="73" t="n">
        <f aca="false">IF(AND(H1827&lt;0.000001,G1859+H1854&lt;0.000001),MAX(0,H1853+H1854-Seuil_reinv*H1816),0)</f>
        <v>0</v>
      </c>
      <c r="I1857" s="73" t="n">
        <f aca="false">IF(AND(I1827&lt;0.000001,H1859+I1854&lt;0.000001),MAX(0,I1853+I1854-Seuil_reinv*I1816),0)</f>
        <v>0</v>
      </c>
      <c r="J1857" s="73" t="n">
        <f aca="false">IF(AND(J1827&lt;0.000001,I1859+J1854&lt;0.000001),MAX(0,J1853+J1854-Seuil_reinv*J1816),0)</f>
        <v>0</v>
      </c>
      <c r="K1857" s="73" t="n">
        <f aca="false">IF(AND(K1827&lt;0.000001,J1859+K1854&lt;0.000001),MAX(0,K1853+K1854-Seuil_reinv*K1816),0)</f>
        <v>0</v>
      </c>
      <c r="L1857" s="73" t="n">
        <f aca="false">IF(AND(L1827&lt;0.000001,K1859+L1854&lt;0.000001),MAX(0,L1853+L1854-Seuil_reinv*L1816),0)</f>
        <v>0</v>
      </c>
      <c r="M1857" s="73" t="n">
        <f aca="false">IF(AND(M1827&lt;0.000001,L1859+M1854&lt;0.000001),MAX(0,M1853+M1854-Seuil_reinv*M1816),0)</f>
        <v>0</v>
      </c>
      <c r="N1857" s="73" t="n">
        <f aca="false">IF(AND(N1827&lt;0.000001,M1859+N1854&lt;0.000001),MAX(0,N1853+N1854-Seuil_reinv*N1816),0)</f>
        <v>0</v>
      </c>
      <c r="O1857" s="73" t="n">
        <f aca="false">IF(AND(O1827&lt;0.000001,N1859+O1854&lt;0.000001),MAX(0,O1853+O1854-Seuil_reinv*O1816),0)</f>
        <v>0</v>
      </c>
    </row>
    <row r="1858" customFormat="false" ht="15" hidden="false" customHeight="false" outlineLevel="0" collapsed="false">
      <c r="B1858" s="65" t="s">
        <v>1063</v>
      </c>
      <c r="C1858" s="73" t="n">
        <f aca="false">AN_cible*Ws_LIQ</f>
        <v>7500000</v>
      </c>
      <c r="D1858" s="73" t="n">
        <f aca="false">D1853+D1854+D1855-D1856-D1857</f>
        <v>5739375</v>
      </c>
      <c r="E1858" s="73" t="n">
        <f aca="false">E1853+E1854+E1855-E1856-E1857</f>
        <v>6562891.4375</v>
      </c>
      <c r="F1858" s="73" t="n">
        <f aca="false">F1853+F1854+F1855-F1856-F1857</f>
        <v>4909430.45367109</v>
      </c>
      <c r="G1858" s="73" t="n">
        <f aca="false">G1853+G1854+G1855-G1856-G1857</f>
        <v>5659951.93568534</v>
      </c>
      <c r="H1858" s="73" t="n">
        <f aca="false">H1853+H1854+H1855-H1856-H1857</f>
        <v>4012380.04095581</v>
      </c>
      <c r="I1858" s="73" t="n">
        <f aca="false">I1853+I1854+I1855-I1856-I1857</f>
        <v>4721157.38504098</v>
      </c>
      <c r="J1858" s="73" t="n">
        <f aca="false">J1853+J1854+J1855-J1856-J1857</f>
        <v>3052969.10864954</v>
      </c>
      <c r="K1858" s="73" t="n">
        <f aca="false">K1853+K1854+K1855-K1856-K1857</f>
        <v>3699458.07298265</v>
      </c>
      <c r="L1858" s="73" t="n">
        <f aca="false">L1853+L1854+L1855-L1856-L1857</f>
        <v>4318465.23854271</v>
      </c>
      <c r="M1858" s="73" t="n">
        <f aca="false">M1853+M1854+M1855-M1856-M1857</f>
        <v>4911385.49862274</v>
      </c>
      <c r="N1858" s="73" t="n">
        <f aca="false">N1853+N1854+N1855-N1856-N1857</f>
        <v>5479562.85218514</v>
      </c>
      <c r="O1858" s="73" t="n">
        <f aca="false">O1853+O1854+O1855-O1856-O1857</f>
        <v>6024292.43555959</v>
      </c>
    </row>
    <row r="1859" customFormat="false" ht="15" hidden="false" customHeight="false" outlineLevel="0" collapsed="false">
      <c r="B1859" s="65" t="s">
        <v>1064</v>
      </c>
      <c r="C1859" s="73" t="n">
        <v>0</v>
      </c>
      <c r="D1859" s="73" t="n">
        <f aca="false">C1859+D1854</f>
        <v>0</v>
      </c>
      <c r="E1859" s="73" t="n">
        <f aca="false">D1859+E1854</f>
        <v>0</v>
      </c>
      <c r="F1859" s="73" t="n">
        <f aca="false">E1859+F1854</f>
        <v>0</v>
      </c>
      <c r="G1859" s="73" t="n">
        <f aca="false">F1859+G1854</f>
        <v>0</v>
      </c>
      <c r="H1859" s="73" t="n">
        <f aca="false">G1859+H1854</f>
        <v>0</v>
      </c>
      <c r="I1859" s="73" t="n">
        <f aca="false">H1859+I1854</f>
        <v>0</v>
      </c>
      <c r="J1859" s="73" t="n">
        <f aca="false">I1859+J1854</f>
        <v>0</v>
      </c>
      <c r="K1859" s="73" t="n">
        <f aca="false">J1859+K1854</f>
        <v>0</v>
      </c>
      <c r="L1859" s="73" t="n">
        <f aca="false">K1859+L1854</f>
        <v>0</v>
      </c>
      <c r="M1859" s="73" t="n">
        <f aca="false">L1859+M1854</f>
        <v>0</v>
      </c>
      <c r="N1859" s="73" t="n">
        <f aca="false">M1859+N1854</f>
        <v>0</v>
      </c>
      <c r="O1859" s="73" t="n">
        <f aca="false">N1859+O1854</f>
        <v>0</v>
      </c>
    </row>
    <row r="1860" customFormat="false" ht="15" hidden="false" customHeight="false" outlineLevel="0" collapsed="false">
      <c r="B1860" s="74" t="s">
        <v>1065</v>
      </c>
      <c r="C1860" s="73" t="n">
        <f aca="false">C1830+C1831+C1832+C1833+C1858-C1859</f>
        <v>50000000</v>
      </c>
      <c r="D1860" s="73" t="n">
        <f aca="false">D1830+D1831+D1832+D1833+D1858-D1859</f>
        <v>48100643.75</v>
      </c>
      <c r="E1860" s="73" t="n">
        <f aca="false">E1830+E1831+E1832+E1833+E1858-E1859</f>
        <v>48823151.7132813</v>
      </c>
      <c r="F1860" s="73" t="n">
        <f aca="false">F1830+F1831+F1832+F1833+F1858-F1859</f>
        <v>47105173.9904901</v>
      </c>
      <c r="G1860" s="73" t="n">
        <f aca="false">G1830+G1831+G1832+G1833+G1858-G1859</f>
        <v>47826489.4455393</v>
      </c>
      <c r="H1860" s="73" t="n">
        <f aca="false">H1830+H1831+H1832+H1833+H1858-H1859</f>
        <v>46183889.2303444</v>
      </c>
      <c r="I1860" s="73" t="n">
        <f aca="false">I1830+I1831+I1832+I1833+I1858-I1859</f>
        <v>46930729.0550004</v>
      </c>
      <c r="J1860" s="73" t="n">
        <f aca="false">J1830+J1831+J1832+J1833+J1858-J1859</f>
        <v>45332651.4154555</v>
      </c>
      <c r="K1860" s="73" t="n">
        <f aca="false">K1830+K1831+K1832+K1833+K1858-K1859</f>
        <v>46080299.0246774</v>
      </c>
      <c r="L1860" s="73" t="n">
        <f aca="false">L1830+L1831+L1832+L1833+L1858-L1859</f>
        <v>46830553.4993366</v>
      </c>
      <c r="M1860" s="73" t="n">
        <f aca="false">M1830+M1831+M1832+M1833+M1858-M1859</f>
        <v>47583889.5702456</v>
      </c>
      <c r="N1860" s="73" t="n">
        <f aca="false">N1830+N1831+N1832+N1833+N1858-N1859</f>
        <v>48340768.6984106</v>
      </c>
      <c r="O1860" s="73" t="n">
        <f aca="false">O1830+O1831+O1832+O1833+O1858-O1859</f>
        <v>49101639.613394</v>
      </c>
    </row>
    <row r="1861" customFormat="false" ht="15" hidden="false" customHeight="false" outlineLevel="0" collapsed="false">
      <c r="B1861" s="65" t="s">
        <v>1066</v>
      </c>
      <c r="C1861" s="72" t="n">
        <f aca="false">IF((C1860+C1859)&gt;0,C1858/(C1860+C1859),0)</f>
        <v>0.15</v>
      </c>
      <c r="D1861" s="72" t="n">
        <f aca="false">IF((D1860+D1859)&gt;0,D1858/(D1860+D1859),0)</f>
        <v>0.119320128641729</v>
      </c>
      <c r="E1861" s="72" t="n">
        <f aca="false">IF((E1860+E1859)&gt;0,E1858/(E1860+E1859),0)</f>
        <v>0.134421707882384</v>
      </c>
      <c r="F1861" s="72" t="n">
        <f aca="false">IF((F1860+F1859)&gt;0,F1858/(F1860+F1859),0)</f>
        <v>0.104222743231184</v>
      </c>
      <c r="G1861" s="72" t="n">
        <f aca="false">IF((G1860+G1859)&gt;0,G1858/(G1860+G1859),0)</f>
        <v>0.118343453623758</v>
      </c>
      <c r="H1861" s="72" t="n">
        <f aca="false">IF((H1860+H1859)&gt;0,H1858/(H1860+H1859),0)</f>
        <v>0.0868783488749479</v>
      </c>
      <c r="I1861" s="72" t="n">
        <f aca="false">IF((I1860+I1859)&gt;0,I1858/(I1860+I1859),0)</f>
        <v>0.100598424105196</v>
      </c>
      <c r="J1861" s="72" t="n">
        <f aca="false">IF((J1860+J1859)&gt;0,J1858/(J1860+J1859),0)</f>
        <v>0.0673459198463885</v>
      </c>
      <c r="K1861" s="72" t="n">
        <f aca="false">IF((K1860+K1859)&gt;0,K1858/(K1860+K1859),0)</f>
        <v>0.0802828573443387</v>
      </c>
      <c r="L1861" s="72" t="n">
        <f aca="false">IF((L1860+L1859)&gt;0,L1858/(L1860+L1859),0)</f>
        <v>0.0922146956602571</v>
      </c>
      <c r="M1861" s="72" t="n">
        <f aca="false">IF((M1860+M1859)&gt;0,M1858/(M1860+M1859),0)</f>
        <v>0.103215301291676</v>
      </c>
      <c r="N1861" s="72" t="n">
        <f aca="false">IF((N1860+N1859)&gt;0,N1858/(N1860+N1859),0)</f>
        <v>0.113352828259127</v>
      </c>
      <c r="O1861" s="72" t="n">
        <f aca="false">IF((O1860+O1859)&gt;0,O1858/(O1860+O1859),0)</f>
        <v>0.122690249918177</v>
      </c>
    </row>
    <row r="1862" customFormat="false" ht="15" hidden="false" customHeight="false" outlineLevel="0" collapsed="false">
      <c r="B1862" s="65" t="s">
        <v>1067</v>
      </c>
      <c r="C1862" s="72" t="n">
        <f aca="false">0</f>
        <v>0</v>
      </c>
      <c r="D1862" s="72" t="n">
        <f aca="false">IF(D1860&gt;0,D1827/D1860,0)</f>
        <v>0.207897425489238</v>
      </c>
      <c r="E1862" s="72" t="n">
        <f aca="false">IF(E1860&gt;0,E1827/E1860,0)</f>
        <v>0.204820861601192</v>
      </c>
      <c r="F1862" s="72" t="n">
        <f aca="false">IF(F1860&gt;0,F1827/F1860,0)</f>
        <v>0.181196771512292</v>
      </c>
      <c r="G1862" s="72" t="n">
        <f aca="false">IF(G1860&gt;0,G1827/G1860,0)</f>
        <v>0.178463975666055</v>
      </c>
      <c r="H1862" s="72" t="n">
        <f aca="false">IF(H1860&gt;0,H1827/H1860,0)</f>
        <v>0.153744322610451</v>
      </c>
      <c r="I1862" s="72" t="n">
        <f aca="false">IF(I1860&gt;0,I1827/I1860,0)</f>
        <v>0.15129768721287</v>
      </c>
      <c r="J1862" s="72" t="n">
        <f aca="false">IF(J1860&gt;0,J1827/J1860,0)</f>
        <v>0.125573702747167</v>
      </c>
      <c r="K1862" s="72" t="n">
        <f aca="false">IF(K1860&gt;0,K1827/K1860,0)</f>
        <v>0.123536283706337</v>
      </c>
      <c r="L1862" s="72" t="n">
        <f aca="false">IF(L1860&gt;0,L1827/L1860,0)</f>
        <v>0.141236743532673</v>
      </c>
      <c r="M1862" s="72" t="n">
        <f aca="false">IF(M1860&gt;0,M1827/M1860,0)</f>
        <v>0.139000719231133</v>
      </c>
      <c r="N1862" s="72" t="n">
        <f aca="false">IF(N1860&gt;0,N1827/N1860,0)</f>
        <v>0.136824362792898</v>
      </c>
      <c r="O1862" s="72" t="n">
        <f aca="false">IF(O1860&gt;0,O1827/O1860,0)</f>
        <v>0.134704155017151</v>
      </c>
    </row>
    <row r="1863" customFormat="false" ht="15" hidden="false" customHeight="false" outlineLevel="0" collapsed="false">
      <c r="B1863" s="65" t="s">
        <v>1068</v>
      </c>
      <c r="C1863" s="75" t="n">
        <f aca="false">IF((C1827+SUM(D1818:G1818)+SUM(D1848:G1848)+SUM(D1849:G1849)+SUM(D1847:G1847))&lt;=0,9.99,MIN(9.99,(C1858+SUM(D1846:G1846)+SUM(D1842:G1843)+MAX(0,MIN($AD$20*AN_cible,Emprunt_max*C1860)-C1859))/(C1827+SUM(D1818:G1818)+SUM(D1848:G1848)+SUM(D1849:G1849)+SUM(D1847:G1847))))</f>
        <v>0.822523945048947</v>
      </c>
      <c r="D1863" s="73" t="n">
        <f aca="false">IF((D1827+SUM(E1818:H1818)+SUM(E1848:H1848)+SUM(E1849:H1849)+SUM(E1847:H1847))&lt;=0,9.99,MIN(9.99,(D1858+SUM(E1846:H1846)+SUM(E1842:H1843)+MAX(0,MIN($AD$20*AN_cible,Emprunt_max*D1860)-D1859))/(D1827+SUM(E1818:H1818)+SUM(E1848:H1848)+SUM(E1849:H1849)+SUM(E1847:H1847))))</f>
        <v>0.790084340727779</v>
      </c>
      <c r="E1863" s="73" t="n">
        <f aca="false">IF((E1827+SUM(F1818:I1818)+SUM(F1848:I1848)+SUM(F1849:I1849)+SUM(F1847:I1847))&lt;=0,9.99,MIN(9.99,(E1858+SUM(F1846:I1846)+SUM(F1842:I1843)+MAX(0,MIN($AD$20*AN_cible,Emprunt_max*E1860)-E1859))/(E1827+SUM(F1818:I1818)+SUM(F1848:I1848)+SUM(F1849:I1849)+SUM(F1847:I1847))))</f>
        <v>0.836731542818438</v>
      </c>
      <c r="F1863" s="73" t="n">
        <f aca="false">IF((F1827+SUM(G1818:J1818)+SUM(G1848:J1848)+SUM(G1849:J1849)+SUM(G1847:J1847))&lt;=0,9.99,MIN(9.99,(F1858+SUM(G1846:J1846)+SUM(G1842:J1843)+MAX(0,MIN($AD$20*AN_cible,Emprunt_max*F1860)-F1859))/(F1827+SUM(G1818:J1818)+SUM(G1848:J1848)+SUM(G1849:J1849)+SUM(G1847:J1847))))</f>
        <v>0.801000182430466</v>
      </c>
      <c r="G1863" s="73" t="n">
        <f aca="false">IF((G1827+SUM(H1818:K1818)+SUM(H1848:K1848)+SUM(H1849:K1849)+SUM(H1847:K1847))&lt;=0,9.99,MIN(9.99,(G1858+SUM(H1846:K1846)+SUM(H1842:K1843)+MAX(0,MIN($AD$20*AN_cible,Emprunt_max*G1860)-G1859))/(G1827+SUM(H1818:K1818)+SUM(H1848:K1848)+SUM(H1849:K1849)+SUM(H1847:K1847))))</f>
        <v>0.848348095980206</v>
      </c>
      <c r="H1863" s="73" t="n">
        <f aca="false">IF((H1827+SUM(I1818:L1818)+SUM(I1848:L1848)+SUM(I1849:L1849)+SUM(I1847:L1847))&lt;=0,9.99,MIN(9.99,(H1858+SUM(I1846:L1846)+SUM(I1842:L1843)+MAX(0,MIN($AD$20*AN_cible,Emprunt_max*H1860)-H1859))/(H1827+SUM(I1818:L1818)+SUM(I1848:L1848)+SUM(I1849:L1849)+SUM(I1847:L1847))))</f>
        <v>0.806795963085568</v>
      </c>
      <c r="I1863" s="73" t="n">
        <f aca="false">IF((I1827+SUM(J1818:M1818)+SUM(J1848:M1848)+SUM(J1849:M1849)+SUM(J1847:M1847))&lt;=0,9.99,MIN(9.99,(I1858+SUM(J1846:M1846)+SUM(J1842:M1843)+MAX(0,MIN($AD$20*AN_cible,Emprunt_max*I1860)-I1859))/(I1827+SUM(J1818:M1818)+SUM(J1848:M1848)+SUM(J1849:M1849)+SUM(J1847:M1847))))</f>
        <v>0.85455982074736</v>
      </c>
      <c r="J1863" s="73" t="n">
        <f aca="false">IF((J1827+SUM(K1818:N1818)+SUM(K1848:N1848)+SUM(K1849:N1849)+SUM(K1847:N1847))&lt;=0,9.99,MIN(9.99,(J1858+SUM(K1846:N1846)+SUM(K1842:N1843)+MAX(0,MIN($AD$20*AN_cible,Emprunt_max*J1860)-J1859))/(J1827+SUM(K1818:N1818)+SUM(K1848:N1848)+SUM(K1849:N1849)+SUM(K1847:N1847))))</f>
        <v>0.877080506912115</v>
      </c>
      <c r="K1863" s="73" t="n">
        <f aca="false">IF((K1827+SUM(L1818:O1818)+SUM(L1848:O1848)+SUM(L1849:O1849)+SUM(L1847:O1847))&lt;=0,9.99,MIN(9.99,(K1858+SUM(L1846:O1846)+SUM(L1842:O1843)+MAX(0,MIN($AD$20*AN_cible,Emprunt_max*K1860)-K1859))/(K1827+SUM(L1818:O1818)+SUM(L1848:O1848)+SUM(L1849:O1849)+SUM(L1847:O1847))))</f>
        <v>0.929913324302496</v>
      </c>
      <c r="L1863" s="73" t="n">
        <f aca="false">IF((L1827+SUM(M1818:O1818)+SUM(M1848:O1848)+SUM(M1849:O1849)+SUM(M1847:O1847))&lt;=0,9.99,MIN(9.99,(L1858+SUM(M1846:O1846)+SUM(M1842:O1843)+MAX(0,MIN($AD$20*AN_cible,Emprunt_max*L1860)-L1859))/(L1827+SUM(M1818:O1818)+SUM(M1848:O1848)+SUM(M1849:O1849)+SUM(M1847:O1847))))</f>
        <v>0.925911286863479</v>
      </c>
      <c r="M1863" s="73" t="n">
        <f aca="false">IF((M1827+SUM(N1818:O1818)+SUM(N1848:O1848)+SUM(N1849:O1849)+SUM(N1847:O1847))&lt;=0,9.99,MIN(9.99,(M1858+SUM(N1846:O1846)+SUM(N1842:O1843)+MAX(0,MIN($AD$20*AN_cible,Emprunt_max*M1860)-M1859))/(M1827+SUM(N1818:O1818)+SUM(N1848:O1848)+SUM(N1849:O1849)+SUM(N1847:O1847))))</f>
        <v>0.921517241539893</v>
      </c>
      <c r="N1863" s="73" t="n">
        <f aca="false">IF((N1827+SUM(O1818:O1818)+SUM(O1848:O1848)+SUM(O1849:O1849)+SUM(O1847:O1847))&lt;=0,9.99,MIN(9.99,(N1858+SUM(O1846:O1846)+SUM(O1842:O1843)+MAX(0,MIN($AD$20*AN_cible,Emprunt_max*N1860)-N1859))/(N1827+SUM(O1818:O1818)+SUM(O1848:O1848)+SUM(O1849:O1849)+SUM(O1847:O1847))))</f>
        <v>0.916567550249076</v>
      </c>
      <c r="O1863" s="73" t="n">
        <f aca="false">9.99</f>
        <v>9.99</v>
      </c>
    </row>
    <row r="1864" customFormat="false" ht="15" hidden="false" customHeight="false" outlineLevel="0" collapsed="false">
      <c r="B1864" s="65" t="s">
        <v>1069</v>
      </c>
      <c r="C1864" s="72" t="n">
        <f aca="false">(C1830+C1831+C1832+C1833+C1838+C1839)/C1860</f>
        <v>1</v>
      </c>
      <c r="D1864" s="72" t="n">
        <f aca="false">(D1830+D1831+D1832+D1833+D1838+D1839)/D1860</f>
        <v>1.02360935138212</v>
      </c>
      <c r="E1864" s="72" t="n">
        <f aca="false">(E1830+E1831+E1832+E1833+E1838+E1839)/E1860</f>
        <v>0.993591330618362</v>
      </c>
      <c r="F1864" s="72" t="n">
        <f aca="false">(F1830+F1831+F1832+F1833+F1838+F1839)/F1860</f>
        <v>1.01519089063281</v>
      </c>
      <c r="G1864" s="72" t="n">
        <f aca="false">(G1830+G1831+G1832+G1833+G1838+G1839)/G1860</f>
        <v>0.986201121108067</v>
      </c>
      <c r="H1864" s="72" t="n">
        <f aca="false">(H1830+H1831+H1832+H1833+H1838+H1839)/H1860</f>
        <v>1.00785165487548</v>
      </c>
      <c r="I1864" s="72" t="n">
        <f aca="false">(I1830+I1831+I1832+I1833+I1838+I1839)/I1860</f>
        <v>0.979306577916085</v>
      </c>
      <c r="J1864" s="72" t="n">
        <f aca="false">(J1830+J1831+J1832+J1833+J1838+J1839)/J1860</f>
        <v>1.0015889406223</v>
      </c>
      <c r="K1864" s="72" t="n">
        <f aca="false">(K1830+K1831+K1832+K1833+K1838+K1839)/K1860</f>
        <v>0.97397026281578</v>
      </c>
      <c r="L1864" s="72" t="n">
        <f aca="false">(L1830+L1831+L1832+L1833+L1838+L1839)/L1860</f>
        <v>0.947823268017165</v>
      </c>
      <c r="M1864" s="72" t="n">
        <f aca="false">(M1830+M1831+M1832+M1833+M1838+M1839)/M1860</f>
        <v>0.923054093902567</v>
      </c>
      <c r="N1864" s="72" t="n">
        <f aca="false">(N1830+N1831+N1832+N1833+N1838+N1839)/N1860</f>
        <v>0.899576217282107</v>
      </c>
      <c r="O1864" s="72" t="n">
        <f aca="false">(O1830+O1831+O1832+O1833+O1838+O1839)/O1860</f>
        <v>0.877309750081823</v>
      </c>
    </row>
    <row r="1865" customFormat="false" ht="15" hidden="false" customHeight="false" outlineLevel="0" collapsed="false">
      <c r="B1865" s="65" t="s">
        <v>849</v>
      </c>
      <c r="C1865" s="72" t="n">
        <f aca="false">(C1860+C1859)/C1860</f>
        <v>1</v>
      </c>
      <c r="D1865" s="72" t="n">
        <f aca="false">(D1860+D1859)/D1860</f>
        <v>1</v>
      </c>
      <c r="E1865" s="72" t="n">
        <f aca="false">(E1860+E1859)/E1860</f>
        <v>1</v>
      </c>
      <c r="F1865" s="72" t="n">
        <f aca="false">(F1860+F1859)/F1860</f>
        <v>1</v>
      </c>
      <c r="G1865" s="72" t="n">
        <f aca="false">(G1860+G1859)/G1860</f>
        <v>1</v>
      </c>
      <c r="H1865" s="72" t="n">
        <f aca="false">(H1860+H1859)/H1860</f>
        <v>1</v>
      </c>
      <c r="I1865" s="72" t="n">
        <f aca="false">(I1860+I1859)/I1860</f>
        <v>1</v>
      </c>
      <c r="J1865" s="72" t="n">
        <f aca="false">(J1860+J1859)/J1860</f>
        <v>1</v>
      </c>
      <c r="K1865" s="72" t="n">
        <f aca="false">(K1860+K1859)/K1860</f>
        <v>1</v>
      </c>
      <c r="L1865" s="72" t="n">
        <f aca="false">(L1860+L1859)/L1860</f>
        <v>1</v>
      </c>
      <c r="M1865" s="72" t="n">
        <f aca="false">(M1860+M1859)/M1860</f>
        <v>1</v>
      </c>
      <c r="N1865" s="72" t="n">
        <f aca="false">(N1860+N1859)/N1860</f>
        <v>1</v>
      </c>
      <c r="O1865" s="72" t="n">
        <f aca="false">(O1860+O1859)/O1860</f>
        <v>1</v>
      </c>
    </row>
    <row r="1866" customFormat="false" ht="15" hidden="false" customHeight="false" outlineLevel="0" collapsed="false">
      <c r="B1866" s="65" t="s">
        <v>1070</v>
      </c>
      <c r="C1866" s="72" t="n">
        <f aca="false">(C1830+C1831*MSIG_USD)/C1860</f>
        <v>0.25</v>
      </c>
      <c r="D1866" s="72" t="n">
        <f aca="false">(D1830+D1831*MSIG_USD)/D1860</f>
        <v>0.269675444832274</v>
      </c>
      <c r="E1866" s="72" t="n">
        <f aca="false">(E1830+E1831*MSIG_USD)/E1860</f>
        <v>0.27541785707076</v>
      </c>
      <c r="F1866" s="72" t="n">
        <f aca="false">(F1830+F1831*MSIG_USD)/F1860</f>
        <v>0.295628758414858</v>
      </c>
      <c r="G1866" s="72" t="n">
        <f aca="false">(G1830+G1831*MSIG_USD)/G1860</f>
        <v>0.301260240286235</v>
      </c>
      <c r="H1866" s="72" t="n">
        <f aca="false">(H1830+H1831*MSIG_USD)/H1860</f>
        <v>0.3225047402423</v>
      </c>
      <c r="I1866" s="72" t="n">
        <f aca="false">(I1830+I1831*MSIG_USD)/I1860</f>
        <v>0.327814711194842</v>
      </c>
      <c r="J1866" s="72" t="n">
        <f aca="false">(J1830+J1831*MSIG_USD)/J1860</f>
        <v>0.350264738598829</v>
      </c>
      <c r="K1866" s="72" t="n">
        <f aca="false">(K1830+K1831*MSIG_USD)/K1860</f>
        <v>0.355381594975843</v>
      </c>
      <c r="L1866" s="72" t="n">
        <f aca="false">(L1830+L1831*MSIG_USD)/L1860</f>
        <v>0.360397095479821</v>
      </c>
      <c r="M1866" s="72" t="n">
        <f aca="false">(M1830+M1831*MSIG_USD)/M1860</f>
        <v>0.365312189541524</v>
      </c>
      <c r="N1866" s="72" t="n">
        <f aca="false">(N1830+N1831*MSIG_USD)/N1860</f>
        <v>0.370127717215834</v>
      </c>
      <c r="O1866" s="72" t="n">
        <f aca="false">(O1830+O1831*MSIG_USD)/O1860</f>
        <v>0.374844428976344</v>
      </c>
    </row>
    <row r="1867" customFormat="false" ht="15" hidden="false" customHeight="false" outlineLevel="0" collapsed="false">
      <c r="B1867" s="65" t="s">
        <v>1071</v>
      </c>
      <c r="C1867" s="25"/>
      <c r="D1867" s="65" t="n">
        <f aca="false">IF(AND($AD$9&lt;0.5*Collecte_norm,IF(D1811&lt;=$AD$11,0,$AD$10)&lt;0.5,IF(D1811&lt;=4,$AD$17,($AD$18+$AD$19)/2)&lt;0.7),1,0)</f>
        <v>0</v>
      </c>
      <c r="E1867" s="65" t="n">
        <f aca="false">IF(AND($AD$9&lt;0.5*Collecte_norm,IF(E1811&lt;=$AD$11,0,$AD$10)&lt;0.5,IF(E1811&lt;=4,$AD$17,($AD$18+$AD$19)/2)&lt;0.7),1,0)</f>
        <v>0</v>
      </c>
      <c r="F1867" s="65" t="n">
        <f aca="false">IF(AND($AD$9&lt;0.5*Collecte_norm,IF(F1811&lt;=$AD$11,0,$AD$10)&lt;0.5,IF(F1811&lt;=4,$AD$17,($AD$18+$AD$19)/2)&lt;0.7),1,0)</f>
        <v>0</v>
      </c>
      <c r="G1867" s="65" t="n">
        <f aca="false">IF(AND($AD$9&lt;0.5*Collecte_norm,IF(G1811&lt;=$AD$11,0,$AD$10)&lt;0.5,IF(G1811&lt;=4,$AD$17,($AD$18+$AD$19)/2)&lt;0.7),1,0)</f>
        <v>0</v>
      </c>
      <c r="H1867" s="65" t="n">
        <f aca="false">IF(AND($AD$9&lt;0.5*Collecte_norm,IF(H1811&lt;=$AD$11,0,$AD$10)&lt;0.5,IF(H1811&lt;=4,$AD$17,($AD$18+$AD$19)/2)&lt;0.7),1,0)</f>
        <v>0</v>
      </c>
      <c r="I1867" s="65" t="n">
        <f aca="false">IF(AND($AD$9&lt;0.5*Collecte_norm,IF(I1811&lt;=$AD$11,0,$AD$10)&lt;0.5,IF(I1811&lt;=4,$AD$17,($AD$18+$AD$19)/2)&lt;0.7),1,0)</f>
        <v>0</v>
      </c>
      <c r="J1867" s="65" t="n">
        <f aca="false">IF(AND($AD$9&lt;0.5*Collecte_norm,IF(J1811&lt;=$AD$11,0,$AD$10)&lt;0.5,IF(J1811&lt;=4,$AD$17,($AD$18+$AD$19)/2)&lt;0.7),1,0)</f>
        <v>0</v>
      </c>
      <c r="K1867" s="65" t="n">
        <f aca="false">IF(AND($AD$9&lt;0.5*Collecte_norm,IF(K1811&lt;=$AD$11,0,$AD$10)&lt;0.5,IF(K1811&lt;=4,$AD$17,($AD$18+$AD$19)/2)&lt;0.7),1,0)</f>
        <v>0</v>
      </c>
      <c r="L1867" s="65" t="n">
        <f aca="false">IF(AND($AD$9&lt;0.5*Collecte_norm,IF(L1811&lt;=$AD$11,0,$AD$10)&lt;0.5,IF(L1811&lt;=4,$AD$17,($AD$18+$AD$19)/2)&lt;0.7),1,0)</f>
        <v>0</v>
      </c>
      <c r="M1867" s="65" t="n">
        <f aca="false">IF(AND($AD$9&lt;0.5*Collecte_norm,IF(M1811&lt;=$AD$11,0,$AD$10)&lt;0.5,IF(M1811&lt;=4,$AD$17,($AD$18+$AD$19)/2)&lt;0.7),1,0)</f>
        <v>0</v>
      </c>
      <c r="N1867" s="65" t="n">
        <f aca="false">IF(AND($AD$9&lt;0.5*Collecte_norm,IF(N1811&lt;=$AD$11,0,$AD$10)&lt;0.5,IF(N1811&lt;=4,$AD$17,($AD$18+$AD$19)/2)&lt;0.7),1,0)</f>
        <v>0</v>
      </c>
      <c r="O1867" s="65" t="n">
        <f aca="false">IF(AND($AD$9&lt;0.5*Collecte_norm,IF(O1811&lt;=$AD$11,0,$AD$10)&lt;0.5,IF(O1811&lt;=4,$AD$17,($AD$18+$AD$19)/2)&lt;0.7),1,0)</f>
        <v>0</v>
      </c>
    </row>
    <row r="1868" customFormat="false" ht="15" hidden="false" customHeight="false" outlineLevel="0" collapsed="false">
      <c r="B1868" s="76" t="s">
        <v>1072</v>
      </c>
      <c r="C1868" s="76" t="n">
        <v>99</v>
      </c>
      <c r="D1868" s="76" t="n">
        <f aca="false">IF(D1828=1,D1814,99)</f>
        <v>1</v>
      </c>
      <c r="E1868" s="76" t="n">
        <f aca="false">IF(E1828=1,E1814,99)</f>
        <v>99</v>
      </c>
      <c r="F1868" s="76" t="n">
        <f aca="false">IF(F1828=1,F1814,99)</f>
        <v>2</v>
      </c>
      <c r="G1868" s="76" t="n">
        <f aca="false">IF(G1828=1,G1814,99)</f>
        <v>99</v>
      </c>
      <c r="H1868" s="76" t="n">
        <f aca="false">IF(H1828=1,H1814,99)</f>
        <v>3</v>
      </c>
      <c r="I1868" s="76" t="n">
        <f aca="false">IF(I1828=1,I1814,99)</f>
        <v>99</v>
      </c>
      <c r="J1868" s="76" t="n">
        <f aca="false">IF(J1828=1,J1814,99)</f>
        <v>4</v>
      </c>
      <c r="K1868" s="76" t="n">
        <f aca="false">IF(K1828=1,K1814,99)</f>
        <v>99</v>
      </c>
      <c r="L1868" s="76" t="n">
        <f aca="false">IF(L1828=1,L1814,99)</f>
        <v>99</v>
      </c>
      <c r="M1868" s="76" t="n">
        <f aca="false">IF(M1828=1,M1814,99)</f>
        <v>99</v>
      </c>
      <c r="N1868" s="76" t="n">
        <f aca="false">IF(N1828=1,N1814,99)</f>
        <v>99</v>
      </c>
      <c r="O1868" s="76" t="n">
        <f aca="false">IF(O1828=1,O1814,99)</f>
        <v>99</v>
      </c>
    </row>
    <row r="1869" customFormat="false" ht="15" hidden="false" customHeight="false" outlineLevel="0" collapsed="false">
      <c r="B1869" s="76" t="s">
        <v>1073</v>
      </c>
      <c r="C1869" s="76" t="n">
        <v>99</v>
      </c>
      <c r="D1869" s="76" t="n">
        <f aca="false">IF(AND(D1813=1,D1814&gt;MIN($D1868:$O1868),D1827&lt;=0.000001),D1814,99)</f>
        <v>99</v>
      </c>
      <c r="E1869" s="76" t="n">
        <f aca="false">IF(AND(E1813=1,E1814&gt;MIN($D1868:$O1868),E1827&lt;=0.000001),E1814,99)</f>
        <v>99</v>
      </c>
      <c r="F1869" s="76" t="n">
        <f aca="false">IF(AND(F1813=1,F1814&gt;MIN($D1868:$O1868),F1827&lt;=0.000001),F1814,99)</f>
        <v>99</v>
      </c>
      <c r="G1869" s="76" t="n">
        <f aca="false">IF(AND(G1813=1,G1814&gt;MIN($D1868:$O1868),G1827&lt;=0.000001),G1814,99)</f>
        <v>99</v>
      </c>
      <c r="H1869" s="76" t="n">
        <f aca="false">IF(AND(H1813=1,H1814&gt;MIN($D1868:$O1868),H1827&lt;=0.000001),H1814,99)</f>
        <v>99</v>
      </c>
      <c r="I1869" s="76" t="n">
        <f aca="false">IF(AND(I1813=1,I1814&gt;MIN($D1868:$O1868),I1827&lt;=0.000001),I1814,99)</f>
        <v>99</v>
      </c>
      <c r="J1869" s="76" t="n">
        <f aca="false">IF(AND(J1813=1,J1814&gt;MIN($D1868:$O1868),J1827&lt;=0.000001),J1814,99)</f>
        <v>99</v>
      </c>
      <c r="K1869" s="76" t="n">
        <f aca="false">IF(AND(K1813=1,K1814&gt;MIN($D1868:$O1868),K1827&lt;=0.000001),K1814,99)</f>
        <v>99</v>
      </c>
      <c r="L1869" s="76" t="n">
        <f aca="false">IF(AND(L1813=1,L1814&gt;MIN($D1868:$O1868),L1827&lt;=0.000001),L1814,99)</f>
        <v>99</v>
      </c>
      <c r="M1869" s="76" t="n">
        <f aca="false">IF(AND(M1813=1,M1814&gt;MIN($D1868:$O1868),M1827&lt;=0.000001),M1814,99)</f>
        <v>99</v>
      </c>
      <c r="N1869" s="76" t="n">
        <f aca="false">IF(AND(N1813=1,N1814&gt;MIN($D1868:$O1868),N1827&lt;=0.000001),N1814,99)</f>
        <v>99</v>
      </c>
      <c r="O1869" s="76" t="n">
        <f aca="false">IF(AND(O1813=1,O1814&gt;MIN($D1868:$O1868),O1827&lt;=0.000001),O1814,99)</f>
        <v>99</v>
      </c>
    </row>
    <row r="1870" customFormat="false" ht="15" hidden="false" customHeight="false" outlineLevel="0" collapsed="false">
      <c r="B1870" s="76" t="s">
        <v>1074</v>
      </c>
      <c r="C1870" s="76" t="n">
        <v>9999999</v>
      </c>
      <c r="D1870" s="76" t="n">
        <f aca="false">IF(D1825=1,D1812,9999999)</f>
        <v>9999999</v>
      </c>
      <c r="E1870" s="76" t="n">
        <f aca="false">IF(E1825=1,E1812,9999999)</f>
        <v>9999999</v>
      </c>
      <c r="F1870" s="76" t="n">
        <f aca="false">IF(F1825=1,F1812,9999999)</f>
        <v>9999999</v>
      </c>
      <c r="G1870" s="76" t="n">
        <f aca="false">IF(G1825=1,G1812,9999999)</f>
        <v>9999999</v>
      </c>
      <c r="H1870" s="76" t="n">
        <f aca="false">IF(H1825=1,H1812,9999999)</f>
        <v>9999999</v>
      </c>
      <c r="I1870" s="76" t="n">
        <f aca="false">IF(I1825=1,I1812,9999999)</f>
        <v>9999999</v>
      </c>
      <c r="J1870" s="76" t="n">
        <f aca="false">IF(J1825=1,J1812,9999999)</f>
        <v>9999999</v>
      </c>
      <c r="K1870" s="76" t="n">
        <f aca="false">IF(K1825=1,K1812,9999999)</f>
        <v>9999999</v>
      </c>
      <c r="L1870" s="77" t="n">
        <f aca="false">IF(L1825=1,L1812,9999999)</f>
        <v>47848</v>
      </c>
      <c r="M1870" s="77" t="n">
        <f aca="false">IF(M1825=1,M1812,9999999)</f>
        <v>47938</v>
      </c>
      <c r="N1870" s="77" t="n">
        <f aca="false">IF(N1825=1,N1812,9999999)</f>
        <v>48029</v>
      </c>
      <c r="O1870" s="77" t="n">
        <f aca="false">IF(O1825=1,O1812,9999999)</f>
        <v>48121</v>
      </c>
    </row>
    <row r="1871" customFormat="false" ht="15" hidden="false" customHeight="false" outlineLevel="0" collapsed="false">
      <c r="B1871" s="76" t="s">
        <v>1075</v>
      </c>
      <c r="C1871" s="76" t="n">
        <v>9999999</v>
      </c>
      <c r="D1871" s="76" t="n">
        <f aca="false">IF(D1867=1,D1812,9999999)</f>
        <v>9999999</v>
      </c>
      <c r="E1871" s="76" t="n">
        <f aca="false">IF(E1867=1,E1812,9999999)</f>
        <v>9999999</v>
      </c>
      <c r="F1871" s="76" t="n">
        <f aca="false">IF(F1867=1,F1812,9999999)</f>
        <v>9999999</v>
      </c>
      <c r="G1871" s="76" t="n">
        <f aca="false">IF(G1867=1,G1812,9999999)</f>
        <v>9999999</v>
      </c>
      <c r="H1871" s="76" t="n">
        <f aca="false">IF(H1867=1,H1812,9999999)</f>
        <v>9999999</v>
      </c>
      <c r="I1871" s="76" t="n">
        <f aca="false">IF(I1867=1,I1812,9999999)</f>
        <v>9999999</v>
      </c>
      <c r="J1871" s="76" t="n">
        <f aca="false">IF(J1867=1,J1812,9999999)</f>
        <v>9999999</v>
      </c>
      <c r="K1871" s="76" t="n">
        <f aca="false">IF(K1867=1,K1812,9999999)</f>
        <v>9999999</v>
      </c>
      <c r="L1871" s="76" t="n">
        <f aca="false">IF(L1867=1,L1812,9999999)</f>
        <v>9999999</v>
      </c>
      <c r="M1871" s="76" t="n">
        <f aca="false">IF(M1867=1,M1812,9999999)</f>
        <v>9999999</v>
      </c>
      <c r="N1871" s="76" t="n">
        <f aca="false">IF(N1867=1,N1812,9999999)</f>
        <v>9999999</v>
      </c>
      <c r="O1871" s="76" t="n">
        <f aca="false">IF(O1867=1,O1812,9999999)</f>
        <v>9999999</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H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6" min="3" style="0" width="40"/>
    <col collapsed="false" customWidth="true" hidden="false" outlineLevel="0" max="7" min="7" style="0" width="20"/>
  </cols>
  <sheetData>
    <row r="2" customFormat="false" ht="15" hidden="false" customHeight="false" outlineLevel="0" collapsed="false">
      <c r="B2" s="31" t="s">
        <v>1076</v>
      </c>
    </row>
    <row r="3" customFormat="false" ht="15" hidden="false" customHeight="false" outlineLevel="0" collapsed="false">
      <c r="B3" s="32" t="s">
        <v>1077</v>
      </c>
    </row>
    <row r="5" customFormat="false" ht="18" hidden="false" customHeight="true" outlineLevel="0" collapsed="false">
      <c r="B5" s="33" t="s">
        <v>312</v>
      </c>
      <c r="C5" s="33" t="s">
        <v>313</v>
      </c>
      <c r="D5" s="33" t="s">
        <v>314</v>
      </c>
      <c r="E5" s="33" t="s">
        <v>315</v>
      </c>
      <c r="F5" s="33" t="s">
        <v>316</v>
      </c>
    </row>
    <row r="6" customFormat="false" ht="42" hidden="false" customHeight="true" outlineLevel="0" collapsed="false">
      <c r="B6" s="34" t="s">
        <v>1078</v>
      </c>
      <c r="C6" s="34" t="s">
        <v>1079</v>
      </c>
      <c r="D6" s="34" t="s">
        <v>1080</v>
      </c>
      <c r="E6" s="34" t="s">
        <v>1081</v>
      </c>
      <c r="F6" s="34" t="s">
        <v>1082</v>
      </c>
    </row>
    <row r="7" customFormat="false" ht="42" hidden="false" customHeight="true" outlineLevel="0" collapsed="false">
      <c r="B7" s="34" t="s">
        <v>462</v>
      </c>
      <c r="C7" s="34" t="s">
        <v>1083</v>
      </c>
      <c r="D7" s="34" t="s">
        <v>1084</v>
      </c>
      <c r="E7" s="34" t="s">
        <v>1085</v>
      </c>
      <c r="F7" s="34" t="s">
        <v>1086</v>
      </c>
    </row>
    <row r="8" customFormat="false" ht="42" hidden="false" customHeight="true" outlineLevel="0" collapsed="false">
      <c r="B8" s="34" t="s">
        <v>1087</v>
      </c>
      <c r="C8" s="34" t="s">
        <v>1088</v>
      </c>
      <c r="D8" s="34" t="s">
        <v>1089</v>
      </c>
      <c r="E8" s="34" t="s">
        <v>1090</v>
      </c>
      <c r="F8" s="34" t="s">
        <v>1091</v>
      </c>
    </row>
    <row r="9" customFormat="false" ht="42" hidden="false" customHeight="true" outlineLevel="0" collapsed="false">
      <c r="B9" s="34" t="s">
        <v>1092</v>
      </c>
      <c r="C9" s="34" t="s">
        <v>1093</v>
      </c>
      <c r="D9" s="34" t="s">
        <v>1094</v>
      </c>
      <c r="E9" s="34" t="s">
        <v>1095</v>
      </c>
      <c r="F9" s="34" t="s">
        <v>165</v>
      </c>
    </row>
    <row r="10" customFormat="false" ht="42" hidden="false" customHeight="true" outlineLevel="0" collapsed="false">
      <c r="B10" s="34" t="s">
        <v>1096</v>
      </c>
      <c r="C10" s="34" t="s">
        <v>1097</v>
      </c>
      <c r="D10" s="34" t="s">
        <v>1098</v>
      </c>
      <c r="E10" s="34" t="s">
        <v>1098</v>
      </c>
      <c r="F10" s="34" t="s">
        <v>1098</v>
      </c>
    </row>
    <row r="11" customFormat="false" ht="42" hidden="false" customHeight="true" outlineLevel="0" collapsed="false">
      <c r="B11" s="34" t="s">
        <v>177</v>
      </c>
      <c r="C11" s="34" t="s">
        <v>1099</v>
      </c>
      <c r="D11" s="34" t="s">
        <v>1100</v>
      </c>
      <c r="E11" s="34" t="s">
        <v>1101</v>
      </c>
      <c r="F11" s="34" t="s">
        <v>1102</v>
      </c>
    </row>
    <row r="12" customFormat="false" ht="42" hidden="false" customHeight="true" outlineLevel="0" collapsed="false">
      <c r="B12" s="34" t="s">
        <v>180</v>
      </c>
      <c r="C12" s="34" t="s">
        <v>1103</v>
      </c>
      <c r="D12" s="34" t="s">
        <v>1104</v>
      </c>
      <c r="E12" s="34" t="s">
        <v>1105</v>
      </c>
      <c r="F12" s="34" t="s">
        <v>1106</v>
      </c>
    </row>
    <row r="13" customFormat="false" ht="42" hidden="false" customHeight="true" outlineLevel="0" collapsed="false">
      <c r="B13" s="34" t="s">
        <v>317</v>
      </c>
      <c r="C13" s="34" t="s">
        <v>1107</v>
      </c>
      <c r="D13" s="34" t="s">
        <v>1108</v>
      </c>
      <c r="E13" s="34" t="s">
        <v>1109</v>
      </c>
      <c r="F13" s="34" t="s">
        <v>1110</v>
      </c>
    </row>
    <row r="14" customFormat="false" ht="42" hidden="false" customHeight="true" outlineLevel="0" collapsed="false">
      <c r="B14" s="34" t="s">
        <v>318</v>
      </c>
      <c r="C14" s="34" t="s">
        <v>1107</v>
      </c>
      <c r="D14" s="34" t="s">
        <v>1111</v>
      </c>
      <c r="E14" s="34" t="s">
        <v>1112</v>
      </c>
      <c r="F14" s="34" t="s">
        <v>1113</v>
      </c>
    </row>
    <row r="15" customFormat="false" ht="42" hidden="false" customHeight="true" outlineLevel="0" collapsed="false">
      <c r="B15" s="34" t="s">
        <v>174</v>
      </c>
      <c r="C15" s="34" t="s">
        <v>1114</v>
      </c>
      <c r="D15" s="34" t="s">
        <v>1115</v>
      </c>
      <c r="E15" s="34" t="s">
        <v>1116</v>
      </c>
      <c r="F15" s="34" t="s">
        <v>1117</v>
      </c>
    </row>
    <row r="16" customFormat="false" ht="42" hidden="false" customHeight="true" outlineLevel="0" collapsed="false">
      <c r="B16" s="34" t="s">
        <v>319</v>
      </c>
      <c r="C16" s="34" t="s">
        <v>1118</v>
      </c>
      <c r="D16" s="34" t="s">
        <v>1119</v>
      </c>
      <c r="E16" s="34" t="s">
        <v>1120</v>
      </c>
      <c r="F16" s="34" t="s">
        <v>1121</v>
      </c>
    </row>
    <row r="17" customFormat="false" ht="42" hidden="false" customHeight="true" outlineLevel="0" collapsed="false">
      <c r="B17" s="34" t="s">
        <v>1122</v>
      </c>
      <c r="C17" s="34" t="s">
        <v>1123</v>
      </c>
      <c r="D17" s="34" t="s">
        <v>1124</v>
      </c>
      <c r="E17" s="34" t="s">
        <v>1125</v>
      </c>
      <c r="F17" s="34" t="s">
        <v>1126</v>
      </c>
    </row>
    <row r="18" customFormat="false" ht="42" hidden="false" customHeight="true" outlineLevel="0" collapsed="false">
      <c r="B18" s="34" t="s">
        <v>321</v>
      </c>
      <c r="C18" s="34" t="s">
        <v>1127</v>
      </c>
      <c r="D18" s="34" t="s">
        <v>1128</v>
      </c>
      <c r="E18" s="34" t="s">
        <v>1129</v>
      </c>
      <c r="F18" s="34" t="s">
        <v>1130</v>
      </c>
    </row>
    <row r="19" customFormat="false" ht="42" hidden="false" customHeight="true" outlineLevel="0" collapsed="false">
      <c r="B19" s="34" t="s">
        <v>322</v>
      </c>
      <c r="C19" s="34" t="s">
        <v>1131</v>
      </c>
      <c r="D19" s="34" t="s">
        <v>1132</v>
      </c>
      <c r="E19" s="34" t="s">
        <v>1133</v>
      </c>
      <c r="F19" s="34" t="s">
        <v>1134</v>
      </c>
    </row>
    <row r="20" customFormat="false" ht="42" hidden="false" customHeight="true" outlineLevel="0" collapsed="false">
      <c r="B20" s="34" t="s">
        <v>1135</v>
      </c>
      <c r="C20" s="34" t="s">
        <v>1136</v>
      </c>
      <c r="D20" s="34" t="s">
        <v>1137</v>
      </c>
      <c r="E20" s="34" t="s">
        <v>1138</v>
      </c>
      <c r="F20" s="34" t="s">
        <v>1139</v>
      </c>
    </row>
    <row r="21" customFormat="false" ht="42" hidden="false" customHeight="true" outlineLevel="0" collapsed="false">
      <c r="B21" s="34" t="s">
        <v>323</v>
      </c>
      <c r="C21" s="34" t="s">
        <v>1140</v>
      </c>
      <c r="D21" s="34" t="s">
        <v>1141</v>
      </c>
      <c r="E21" s="34" t="s">
        <v>1142</v>
      </c>
      <c r="F21" s="34" t="s">
        <v>1140</v>
      </c>
    </row>
    <row r="22" customFormat="false" ht="42" hidden="false" customHeight="true" outlineLevel="0" collapsed="false">
      <c r="B22" s="34" t="s">
        <v>1143</v>
      </c>
      <c r="C22" s="34" t="s">
        <v>1144</v>
      </c>
      <c r="D22" s="34" t="s">
        <v>1145</v>
      </c>
      <c r="E22" s="34" t="s">
        <v>1146</v>
      </c>
      <c r="F22" s="34" t="s">
        <v>1147</v>
      </c>
    </row>
    <row r="24" customFormat="false" ht="43.25" hidden="false" customHeight="false" outlineLevel="0" collapsed="false">
      <c r="B24" s="1" t="s">
        <v>1148</v>
      </c>
      <c r="C24" s="2"/>
      <c r="D24" s="2"/>
      <c r="E24" s="2"/>
      <c r="F24" s="2"/>
    </row>
    <row r="25" customFormat="false" ht="18" hidden="false" customHeight="true" outlineLevel="0" collapsed="false">
      <c r="B25" s="33" t="s">
        <v>1149</v>
      </c>
      <c r="C25" s="33" t="s">
        <v>1150</v>
      </c>
      <c r="D25" s="33" t="s">
        <v>313</v>
      </c>
      <c r="E25" s="33" t="s">
        <v>314</v>
      </c>
      <c r="F25" s="33" t="s">
        <v>315</v>
      </c>
      <c r="G25" s="33" t="s">
        <v>316</v>
      </c>
    </row>
    <row r="26" customFormat="false" ht="15.75" hidden="false" customHeight="true" outlineLevel="0" collapsed="false">
      <c r="B26" s="34" t="s">
        <v>1151</v>
      </c>
      <c r="C26" s="34" t="s">
        <v>1152</v>
      </c>
      <c r="D26" s="34" t="s">
        <v>1152</v>
      </c>
      <c r="E26" s="34" t="s">
        <v>1153</v>
      </c>
      <c r="F26" s="34" t="s">
        <v>1152</v>
      </c>
      <c r="G26" s="34" t="s">
        <v>1152</v>
      </c>
    </row>
    <row r="27" customFormat="false" ht="15.75" hidden="false" customHeight="true" outlineLevel="0" collapsed="false">
      <c r="B27" s="34" t="s">
        <v>1154</v>
      </c>
      <c r="C27" s="34" t="s">
        <v>1155</v>
      </c>
      <c r="D27" s="34" t="s">
        <v>1156</v>
      </c>
      <c r="E27" s="34" t="s">
        <v>1157</v>
      </c>
      <c r="F27" s="34" t="s">
        <v>1155</v>
      </c>
      <c r="G27" s="34" t="s">
        <v>1155</v>
      </c>
    </row>
    <row r="28" customFormat="false" ht="15.75" hidden="false" customHeight="true" outlineLevel="0" collapsed="false">
      <c r="B28" s="34" t="s">
        <v>1158</v>
      </c>
      <c r="C28" s="34" t="s">
        <v>1159</v>
      </c>
      <c r="D28" s="34" t="s">
        <v>1160</v>
      </c>
      <c r="E28" s="34" t="s">
        <v>1159</v>
      </c>
      <c r="F28" s="34" t="s">
        <v>1159</v>
      </c>
      <c r="G28" s="34" t="s">
        <v>1159</v>
      </c>
    </row>
    <row r="29" customFormat="false" ht="15.75" hidden="false" customHeight="true" outlineLevel="0" collapsed="false">
      <c r="B29" s="34" t="s">
        <v>1161</v>
      </c>
      <c r="C29" s="34" t="s">
        <v>1162</v>
      </c>
      <c r="D29" s="34" t="s">
        <v>1163</v>
      </c>
      <c r="E29" s="34" t="s">
        <v>1164</v>
      </c>
      <c r="F29" s="34" t="s">
        <v>1165</v>
      </c>
      <c r="G29" s="34" t="s">
        <v>1164</v>
      </c>
    </row>
    <row r="30" customFormat="false" ht="15.75" hidden="false" customHeight="true" outlineLevel="0" collapsed="false">
      <c r="B30" s="34" t="s">
        <v>1166</v>
      </c>
      <c r="C30" s="34" t="s">
        <v>1167</v>
      </c>
      <c r="D30" s="34" t="s">
        <v>1168</v>
      </c>
      <c r="E30" s="34" t="s">
        <v>1168</v>
      </c>
      <c r="F30" s="34" t="s">
        <v>1169</v>
      </c>
      <c r="G30" s="34" t="s">
        <v>1167</v>
      </c>
    </row>
    <row r="31" customFormat="false" ht="15.75" hidden="false" customHeight="true" outlineLevel="0" collapsed="false">
      <c r="B31" s="34" t="s">
        <v>1170</v>
      </c>
      <c r="C31" s="34" t="s">
        <v>1171</v>
      </c>
      <c r="D31" s="34" t="s">
        <v>1172</v>
      </c>
      <c r="E31" s="34" t="s">
        <v>1172</v>
      </c>
      <c r="F31" s="34" t="s">
        <v>1172</v>
      </c>
      <c r="G31" s="34" t="s">
        <v>1172</v>
      </c>
    </row>
    <row r="32" customFormat="false" ht="15.75" hidden="false" customHeight="true" outlineLevel="0" collapsed="false">
      <c r="B32" s="34" t="s">
        <v>1173</v>
      </c>
      <c r="C32" s="78" t="n">
        <f aca="false">ROUND(100*(0.25*10/13+0.3*4/4+0.1*2/2+0.1*1/6+0.15*7/10+0.1*0/3),1)</f>
        <v>71.4</v>
      </c>
      <c r="D32" s="78" t="n">
        <f aca="false">ROUND(100*(0.25*10/13+0.3*1/4+0.1*0/2+0.1*2/6+0.15*8/10+0.1*3/3),1)</f>
        <v>52.1</v>
      </c>
      <c r="E32" s="78" t="n">
        <f aca="false">ROUND(100*(0.25*11/13+0.3*3/4+0.1*2/2+0.1*4/6+0.15*8/10+0.1*3/3),1)</f>
        <v>82.3</v>
      </c>
      <c r="F32" s="78" t="n">
        <f aca="false">ROUND(100*(0.25*10/13+0.3*4/4+0.1*2/2+0.1*5/6+0.15*10/10+0.1*3/3),1)</f>
        <v>92.6</v>
      </c>
      <c r="G32" s="78" t="n">
        <f aca="false">ROUND(100*(0.25*10/13+0.3*4/4+0.1*2/2+0.1*4/6+0.15*7/10+0.1*3/3),1)</f>
        <v>86.4</v>
      </c>
    </row>
    <row r="33" customFormat="false" ht="15.75" hidden="false" customHeight="true" outlineLevel="0" collapsed="false">
      <c r="B33" s="34" t="s">
        <v>327</v>
      </c>
      <c r="C33" s="34" t="str">
        <f aca="false">IF(C32&gt;56,"Élevé",IF(C32&gt;34,"Moyen","Faible"))</f>
        <v>Élevé</v>
      </c>
      <c r="D33" s="34" t="str">
        <f aca="false">IF(D32&gt;56,"Élevé",IF(D32&gt;34,"Moyen","Faible"))</f>
        <v>Moyen</v>
      </c>
      <c r="E33" s="34" t="str">
        <f aca="false">IF(E32&gt;56,"Élevé",IF(E32&gt;34,"Moyen","Faible"))</f>
        <v>Élevé</v>
      </c>
      <c r="F33" s="34" t="str">
        <f aca="false">IF(F32&gt;56,"Élevé",IF(F32&gt;34,"Moyen","Faible"))</f>
        <v>Élevé</v>
      </c>
      <c r="G33" s="34" t="str">
        <f aca="false">IF(G32&gt;56,"Élevé",IF(G32&gt;34,"Moyen","Faible"))</f>
        <v>Élevé</v>
      </c>
    </row>
    <row r="34" customFormat="false" ht="15.75" hidden="false" customHeight="true" outlineLevel="0" collapsed="false">
      <c r="B34" s="34" t="s">
        <v>1096</v>
      </c>
      <c r="C34" s="34" t="s">
        <v>90</v>
      </c>
      <c r="D34" s="39" t="n">
        <f aca="false">W_MAPIF</f>
        <v>0.34</v>
      </c>
      <c r="E34" s="39" t="n">
        <f aca="false">W_MSIG</f>
        <v>0.17</v>
      </c>
      <c r="F34" s="39" t="n">
        <f aca="false">W_PG</f>
        <v>0.17</v>
      </c>
      <c r="G34" s="39" t="n">
        <f aca="false">W_ARES</f>
        <v>0.17</v>
      </c>
    </row>
    <row r="35" customFormat="false" ht="22.35" hidden="false" customHeight="false" outlineLevel="0" collapsed="false">
      <c r="B35" s="34" t="s">
        <v>1174</v>
      </c>
      <c r="C35" s="78" t="n">
        <f aca="false">ROUND(D34*D32+E34*E32+F34*F32+G34*G32,1)</f>
        <v>62.1</v>
      </c>
      <c r="D35" s="34"/>
      <c r="E35" s="34"/>
      <c r="F35" s="34"/>
      <c r="G35" s="34"/>
    </row>
    <row r="36" customFormat="false" ht="22.35" hidden="false" customHeight="false" outlineLevel="0" collapsed="false">
      <c r="B36" s="34" t="s">
        <v>1175</v>
      </c>
      <c r="C36" s="52" t="n">
        <f aca="false">ROUND(C35/(1-W_LIQ),1)</f>
        <v>73.1</v>
      </c>
      <c r="D36" s="34"/>
      <c r="E36" s="34"/>
      <c r="F36" s="34"/>
      <c r="G36" s="34"/>
    </row>
    <row r="38" customFormat="false" ht="25.5" hidden="false" customHeight="true" outlineLevel="0" collapsed="false">
      <c r="B38" s="21" t="s">
        <v>1176</v>
      </c>
      <c r="C38" s="21"/>
      <c r="D38" s="21"/>
      <c r="E38" s="21"/>
      <c r="F38" s="21"/>
      <c r="G38" s="21"/>
      <c r="H38" s="21"/>
    </row>
  </sheetData>
  <mergeCells count="1">
    <mergeCell ref="B38:H38"/>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48"/>
    <col collapsed="false" customWidth="true" hidden="false" outlineLevel="0" max="4" min="4" style="0" width="70"/>
    <col collapsed="false" customWidth="true" hidden="false" outlineLevel="0" max="5" min="5" style="0" width="30"/>
    <col collapsed="false" customWidth="true" hidden="false" outlineLevel="0" max="6" min="6" style="0" width="24"/>
    <col collapsed="false" customWidth="true" hidden="false" outlineLevel="0" max="7" min="7" style="0" width="20"/>
  </cols>
  <sheetData>
    <row r="2" customFormat="false" ht="15" hidden="false" customHeight="false" outlineLevel="0" collapsed="false">
      <c r="B2" s="31" t="s">
        <v>1177</v>
      </c>
    </row>
    <row r="3" customFormat="false" ht="15" hidden="false" customHeight="false" outlineLevel="0" collapsed="false">
      <c r="B3" s="32" t="s">
        <v>1178</v>
      </c>
    </row>
    <row r="5" customFormat="false" ht="18" hidden="false" customHeight="true" outlineLevel="0" collapsed="false">
      <c r="B5" s="33" t="s">
        <v>55</v>
      </c>
      <c r="C5" s="33" t="s">
        <v>1179</v>
      </c>
      <c r="D5" s="33" t="s">
        <v>1180</v>
      </c>
      <c r="E5" s="33" t="s">
        <v>1181</v>
      </c>
      <c r="F5" s="33" t="s">
        <v>1182</v>
      </c>
    </row>
    <row r="6" customFormat="false" ht="48" hidden="false" customHeight="true" outlineLevel="0" collapsed="false">
      <c r="B6" s="34" t="s">
        <v>1183</v>
      </c>
      <c r="C6" s="34" t="s">
        <v>1184</v>
      </c>
      <c r="D6" s="34" t="s">
        <v>1185</v>
      </c>
      <c r="E6" s="34" t="s">
        <v>1186</v>
      </c>
      <c r="F6" s="34" t="s">
        <v>1187</v>
      </c>
    </row>
    <row r="7" customFormat="false" ht="48" hidden="false" customHeight="true" outlineLevel="0" collapsed="false">
      <c r="B7" s="34" t="s">
        <v>1188</v>
      </c>
      <c r="C7" s="34" t="s">
        <v>1189</v>
      </c>
      <c r="D7" s="34" t="s">
        <v>1190</v>
      </c>
      <c r="E7" s="34" t="s">
        <v>1191</v>
      </c>
      <c r="F7" s="34" t="s">
        <v>1187</v>
      </c>
    </row>
    <row r="8" customFormat="false" ht="48" hidden="false" customHeight="true" outlineLevel="0" collapsed="false">
      <c r="B8" s="34" t="s">
        <v>1192</v>
      </c>
      <c r="C8" s="34" t="s">
        <v>1193</v>
      </c>
      <c r="D8" s="34" t="s">
        <v>1194</v>
      </c>
      <c r="E8" s="34" t="s">
        <v>1195</v>
      </c>
      <c r="F8" s="34" t="s">
        <v>1187</v>
      </c>
    </row>
    <row r="9" customFormat="false" ht="48" hidden="false" customHeight="true" outlineLevel="0" collapsed="false">
      <c r="B9" s="34" t="s">
        <v>1196</v>
      </c>
      <c r="C9" s="34" t="s">
        <v>1197</v>
      </c>
      <c r="D9" s="34" t="s">
        <v>1198</v>
      </c>
      <c r="E9" s="34" t="s">
        <v>1199</v>
      </c>
      <c r="F9" s="34" t="s">
        <v>1200</v>
      </c>
    </row>
    <row r="10" customFormat="false" ht="48" hidden="false" customHeight="true" outlineLevel="0" collapsed="false">
      <c r="B10" s="34" t="s">
        <v>1201</v>
      </c>
      <c r="C10" s="34" t="s">
        <v>1202</v>
      </c>
      <c r="D10" s="34" t="s">
        <v>1203</v>
      </c>
      <c r="E10" s="34" t="s">
        <v>1204</v>
      </c>
      <c r="F10" s="34" t="s">
        <v>1200</v>
      </c>
    </row>
    <row r="11" customFormat="false" ht="48" hidden="false" customHeight="true" outlineLevel="0" collapsed="false">
      <c r="B11" s="34" t="s">
        <v>1205</v>
      </c>
      <c r="C11" s="34" t="s">
        <v>1206</v>
      </c>
      <c r="D11" s="34" t="s">
        <v>1207</v>
      </c>
      <c r="E11" s="34" t="s">
        <v>1208</v>
      </c>
      <c r="F11" s="34" t="s">
        <v>1209</v>
      </c>
    </row>
    <row r="12" customFormat="false" ht="48" hidden="false" customHeight="true" outlineLevel="0" collapsed="false">
      <c r="B12" s="34" t="s">
        <v>1210</v>
      </c>
      <c r="C12" s="34" t="s">
        <v>1211</v>
      </c>
      <c r="D12" s="34" t="s">
        <v>1212</v>
      </c>
      <c r="E12" s="34" t="s">
        <v>1213</v>
      </c>
      <c r="F12" s="34" t="s">
        <v>1214</v>
      </c>
    </row>
    <row r="13" customFormat="false" ht="48" hidden="false" customHeight="true" outlineLevel="0" collapsed="false">
      <c r="B13" s="34" t="s">
        <v>1215</v>
      </c>
      <c r="C13" s="34" t="s">
        <v>1216</v>
      </c>
      <c r="D13" s="34" t="s">
        <v>1217</v>
      </c>
      <c r="E13" s="34" t="s">
        <v>1218</v>
      </c>
      <c r="F13" s="34" t="s">
        <v>1219</v>
      </c>
    </row>
    <row r="14" customFormat="false" ht="48" hidden="false" customHeight="true" outlineLevel="0" collapsed="false">
      <c r="B14" s="34" t="s">
        <v>1220</v>
      </c>
      <c r="C14" s="34" t="s">
        <v>1221</v>
      </c>
      <c r="D14" s="34" t="s">
        <v>1222</v>
      </c>
      <c r="E14" s="34" t="s">
        <v>1186</v>
      </c>
      <c r="F14" s="34" t="s">
        <v>1223</v>
      </c>
    </row>
    <row r="15" customFormat="false" ht="48" hidden="false" customHeight="true" outlineLevel="0" collapsed="false">
      <c r="B15" s="34" t="s">
        <v>1224</v>
      </c>
      <c r="C15" s="34" t="s">
        <v>1225</v>
      </c>
      <c r="D15" s="34" t="s">
        <v>1226</v>
      </c>
      <c r="E15" s="34" t="s">
        <v>1227</v>
      </c>
      <c r="F15" s="34" t="s">
        <v>1223</v>
      </c>
    </row>
    <row r="16" customFormat="false" ht="48" hidden="false" customHeight="true" outlineLevel="0" collapsed="false">
      <c r="B16" s="34" t="s">
        <v>1228</v>
      </c>
      <c r="C16" s="34" t="s">
        <v>1229</v>
      </c>
      <c r="D16" s="34" t="s">
        <v>1230</v>
      </c>
      <c r="E16" s="34" t="s">
        <v>1231</v>
      </c>
      <c r="F16" s="34" t="s">
        <v>1232</v>
      </c>
    </row>
    <row r="17" customFormat="false" ht="48" hidden="false" customHeight="true" outlineLevel="0" collapsed="false">
      <c r="B17" s="34" t="s">
        <v>1233</v>
      </c>
      <c r="C17" s="34" t="s">
        <v>1234</v>
      </c>
      <c r="D17" s="34" t="s">
        <v>1235</v>
      </c>
      <c r="E17" s="34" t="s">
        <v>1186</v>
      </c>
      <c r="F17" s="34" t="s">
        <v>1236</v>
      </c>
    </row>
    <row r="19" customFormat="false" ht="74.6" hidden="false" customHeight="false" outlineLevel="0" collapsed="false">
      <c r="B19" s="1" t="s">
        <v>1237</v>
      </c>
      <c r="C19" s="2"/>
      <c r="D19" s="2"/>
      <c r="E19" s="2"/>
      <c r="F19" s="2"/>
    </row>
    <row r="20" customFormat="false" ht="18" hidden="false" customHeight="true" outlineLevel="0" collapsed="false">
      <c r="B20" s="33" t="s">
        <v>55</v>
      </c>
      <c r="C20" s="33" t="s">
        <v>56</v>
      </c>
      <c r="D20" s="33" t="s">
        <v>57</v>
      </c>
      <c r="E20" s="33" t="s">
        <v>1238</v>
      </c>
      <c r="F20" s="33" t="s">
        <v>1181</v>
      </c>
      <c r="G20" s="33" t="s">
        <v>58</v>
      </c>
    </row>
    <row r="21" customFormat="false" ht="39.75" hidden="false" customHeight="true" outlineLevel="0" collapsed="false">
      <c r="B21" s="34" t="s">
        <v>59</v>
      </c>
      <c r="C21" s="34" t="s">
        <v>1239</v>
      </c>
      <c r="D21" s="34" t="s">
        <v>1240</v>
      </c>
      <c r="E21" s="34" t="s">
        <v>1241</v>
      </c>
      <c r="F21" s="34" t="s">
        <v>1242</v>
      </c>
      <c r="G21" s="34" t="s">
        <v>1243</v>
      </c>
    </row>
    <row r="22" customFormat="false" ht="39.75" hidden="false" customHeight="true" outlineLevel="0" collapsed="false">
      <c r="B22" s="34" t="s">
        <v>60</v>
      </c>
      <c r="C22" s="34" t="s">
        <v>1244</v>
      </c>
      <c r="D22" s="34" t="s">
        <v>1245</v>
      </c>
      <c r="E22" s="34" t="s">
        <v>1192</v>
      </c>
      <c r="F22" s="34" t="s">
        <v>1195</v>
      </c>
      <c r="G22" s="34" t="s">
        <v>1243</v>
      </c>
    </row>
    <row r="23" customFormat="false" ht="39.75" hidden="false" customHeight="true" outlineLevel="0" collapsed="false">
      <c r="B23" s="34" t="s">
        <v>61</v>
      </c>
      <c r="C23" s="34" t="s">
        <v>1246</v>
      </c>
      <c r="D23" s="34" t="s">
        <v>1247</v>
      </c>
      <c r="E23" s="34" t="s">
        <v>1248</v>
      </c>
      <c r="F23" s="34" t="s">
        <v>1213</v>
      </c>
      <c r="G23" s="34" t="s">
        <v>1200</v>
      </c>
    </row>
    <row r="24" customFormat="false" ht="39.75" hidden="false" customHeight="true" outlineLevel="0" collapsed="false">
      <c r="B24" s="34" t="s">
        <v>62</v>
      </c>
      <c r="C24" s="34" t="s">
        <v>1249</v>
      </c>
      <c r="D24" s="34" t="s">
        <v>1250</v>
      </c>
      <c r="E24" s="34" t="s">
        <v>1251</v>
      </c>
      <c r="F24" s="34" t="s">
        <v>1208</v>
      </c>
      <c r="G24" s="34" t="s">
        <v>1209</v>
      </c>
    </row>
    <row r="25" customFormat="false" ht="39.75" hidden="false" customHeight="true" outlineLevel="0" collapsed="false">
      <c r="B25" s="34" t="s">
        <v>63</v>
      </c>
      <c r="C25" s="34" t="s">
        <v>1252</v>
      </c>
      <c r="D25" s="34" t="s">
        <v>1253</v>
      </c>
      <c r="E25" s="34" t="s">
        <v>1254</v>
      </c>
      <c r="F25" s="34" t="s">
        <v>1204</v>
      </c>
      <c r="G25" s="34" t="s">
        <v>1219</v>
      </c>
    </row>
    <row r="26" customFormat="false" ht="39.75" hidden="false" customHeight="true" outlineLevel="0" collapsed="false">
      <c r="B26" s="34" t="s">
        <v>64</v>
      </c>
      <c r="C26" s="34" t="s">
        <v>1255</v>
      </c>
      <c r="D26" s="34" t="s">
        <v>1256</v>
      </c>
      <c r="E26" s="34" t="s">
        <v>1257</v>
      </c>
      <c r="F26" s="34" t="s">
        <v>1258</v>
      </c>
      <c r="G26" s="34" t="s">
        <v>1223</v>
      </c>
    </row>
    <row r="28" customFormat="false" ht="25.5" hidden="false" customHeight="true" outlineLevel="0" collapsed="false">
      <c r="B28" s="21" t="s">
        <v>1259</v>
      </c>
      <c r="C28" s="21"/>
      <c r="D28" s="21"/>
      <c r="E28" s="21"/>
      <c r="F28" s="21"/>
      <c r="G28" s="21"/>
    </row>
  </sheetData>
  <mergeCells count="1">
    <mergeCell ref="B28:G28"/>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62"/>
    <col collapsed="false" customWidth="true" hidden="false" outlineLevel="0" max="4" min="3" style="0" width="12"/>
    <col collapsed="false" customWidth="true" hidden="false" outlineLevel="0" max="5" min="5" style="0" width="10"/>
    <col collapsed="false" customWidth="true" hidden="false" outlineLevel="0" max="6" min="6" style="0" width="12"/>
    <col collapsed="false" customWidth="true" hidden="false" outlineLevel="0" max="7" min="7" style="0" width="70"/>
  </cols>
  <sheetData>
    <row r="2" customFormat="false" ht="15" hidden="false" customHeight="false" outlineLevel="0" collapsed="false">
      <c r="B2" s="31" t="s">
        <v>1260</v>
      </c>
    </row>
    <row r="3" customFormat="false" ht="15" hidden="false" customHeight="false" outlineLevel="0" collapsed="false">
      <c r="B3" s="32" t="s">
        <v>1261</v>
      </c>
    </row>
    <row r="5" customFormat="false" ht="18" hidden="false" customHeight="true" outlineLevel="0" collapsed="false">
      <c r="B5" s="33" t="s">
        <v>173</v>
      </c>
      <c r="C5" s="33" t="s">
        <v>209</v>
      </c>
      <c r="D5" s="33" t="s">
        <v>1262</v>
      </c>
      <c r="E5" s="33" t="s">
        <v>1263</v>
      </c>
      <c r="F5" s="33" t="s">
        <v>81</v>
      </c>
      <c r="G5" s="33" t="s">
        <v>1264</v>
      </c>
    </row>
    <row r="6" customFormat="false" ht="25.5" hidden="false" customHeight="true" outlineLevel="0" collapsed="false">
      <c r="B6" s="34" t="s">
        <v>1265</v>
      </c>
      <c r="C6" s="35" t="n">
        <v>46295</v>
      </c>
      <c r="D6" s="51" t="n">
        <f aca="false">DateArrete-C6</f>
        <v>6</v>
      </c>
      <c r="E6" s="53" t="n">
        <v>30</v>
      </c>
      <c r="F6" s="34" t="str">
        <f aca="false">IF(D6&lt;=E6,"Conforme","Périmée")</f>
        <v>Conforme</v>
      </c>
      <c r="G6" s="34" t="s">
        <v>1266</v>
      </c>
    </row>
    <row r="7" customFormat="false" ht="25.5" hidden="false" customHeight="true" outlineLevel="0" collapsed="false">
      <c r="B7" s="34" t="s">
        <v>1267</v>
      </c>
      <c r="C7" s="35" t="n">
        <v>46295</v>
      </c>
      <c r="D7" s="51" t="n">
        <f aca="false">DateArrete-C7</f>
        <v>6</v>
      </c>
      <c r="E7" s="53" t="n">
        <v>60</v>
      </c>
      <c r="F7" s="34" t="str">
        <f aca="false">IF(D7&lt;=E7,"Conforme","Périmée")</f>
        <v>Conforme</v>
      </c>
      <c r="G7" s="34" t="s">
        <v>1268</v>
      </c>
    </row>
    <row r="8" customFormat="false" ht="25.5" hidden="false" customHeight="true" outlineLevel="0" collapsed="false">
      <c r="B8" s="34" t="s">
        <v>1269</v>
      </c>
      <c r="C8" s="35" t="n">
        <v>46293</v>
      </c>
      <c r="D8" s="51" t="n">
        <f aca="false">DateArrete-C8</f>
        <v>8</v>
      </c>
      <c r="E8" s="53" t="n">
        <v>90</v>
      </c>
      <c r="F8" s="34" t="str">
        <f aca="false">IF(D8&lt;=E8,"Conforme","Périmée")</f>
        <v>Conforme</v>
      </c>
      <c r="G8" s="34" t="s">
        <v>1270</v>
      </c>
    </row>
    <row r="9" customFormat="false" ht="25.5" hidden="false" customHeight="true" outlineLevel="0" collapsed="false">
      <c r="B9" s="34" t="s">
        <v>1271</v>
      </c>
      <c r="C9" s="35" t="n">
        <v>46289</v>
      </c>
      <c r="D9" s="51" t="n">
        <f aca="false">DateArrete-C9</f>
        <v>12</v>
      </c>
      <c r="E9" s="53" t="n">
        <v>90</v>
      </c>
      <c r="F9" s="34" t="str">
        <f aca="false">IF(D9&lt;=E9,"Conforme","Périmée")</f>
        <v>Conforme</v>
      </c>
      <c r="G9" s="34" t="s">
        <v>1272</v>
      </c>
    </row>
    <row r="10" customFormat="false" ht="25.5" hidden="false" customHeight="true" outlineLevel="0" collapsed="false">
      <c r="B10" s="34" t="s">
        <v>1273</v>
      </c>
      <c r="C10" s="35" t="n">
        <v>46300</v>
      </c>
      <c r="D10" s="51" t="n">
        <f aca="false">DateArrete-C10</f>
        <v>1</v>
      </c>
      <c r="E10" s="53" t="n">
        <v>30</v>
      </c>
      <c r="F10" s="34" t="str">
        <f aca="false">IF(D10&lt;=E10,"Conforme","Périmée")</f>
        <v>Conforme</v>
      </c>
      <c r="G10" s="34" t="s">
        <v>1274</v>
      </c>
    </row>
    <row r="11" customFormat="false" ht="25.5" hidden="false" customHeight="true" outlineLevel="0" collapsed="false">
      <c r="B11" s="34" t="s">
        <v>1275</v>
      </c>
      <c r="C11" s="35" t="n">
        <v>46301</v>
      </c>
      <c r="D11" s="51" t="n">
        <f aca="false">DateArrete-C11</f>
        <v>0</v>
      </c>
      <c r="E11" s="53" t="n">
        <v>90</v>
      </c>
      <c r="F11" s="34" t="str">
        <f aca="false">IF(D11&lt;=E11,"Conforme","Périmée")</f>
        <v>Conforme</v>
      </c>
      <c r="G11" s="34" t="s">
        <v>1276</v>
      </c>
    </row>
    <row r="12" customFormat="false" ht="25.5" hidden="false" customHeight="true" outlineLevel="0" collapsed="false">
      <c r="B12" s="34" t="s">
        <v>1277</v>
      </c>
      <c r="C12" s="35" t="n">
        <v>46279</v>
      </c>
      <c r="D12" s="51" t="n">
        <f aca="false">DateArrete-C12</f>
        <v>22</v>
      </c>
      <c r="E12" s="53" t="n">
        <v>90</v>
      </c>
      <c r="F12" s="34" t="str">
        <f aca="false">IF(D12&lt;=E12,"Conforme","Périmée")</f>
        <v>Conforme</v>
      </c>
      <c r="G12" s="34" t="s">
        <v>1278</v>
      </c>
    </row>
    <row r="13" customFormat="false" ht="25.5" hidden="false" customHeight="true" outlineLevel="0" collapsed="false">
      <c r="B13" s="34" t="s">
        <v>1279</v>
      </c>
      <c r="C13" s="35" t="n">
        <v>46294</v>
      </c>
      <c r="D13" s="51" t="n">
        <f aca="false">DateArrete-C13</f>
        <v>7</v>
      </c>
      <c r="E13" s="53" t="n">
        <v>60</v>
      </c>
      <c r="F13" s="34" t="str">
        <f aca="false">IF(D13&lt;=E13,"Conforme","Périmée")</f>
        <v>Conforme</v>
      </c>
      <c r="G13" s="34" t="s">
        <v>1280</v>
      </c>
    </row>
    <row r="14" customFormat="false" ht="25.5" hidden="false" customHeight="true" outlineLevel="0" collapsed="false">
      <c r="B14" s="34" t="s">
        <v>1281</v>
      </c>
      <c r="C14" s="35" t="n">
        <v>46245</v>
      </c>
      <c r="D14" s="51" t="n">
        <f aca="false">DateArrete-C14</f>
        <v>56</v>
      </c>
      <c r="E14" s="53" t="n">
        <v>180</v>
      </c>
      <c r="F14" s="34" t="str">
        <f aca="false">IF(D14&lt;=E14,"Conforme","Périmée")</f>
        <v>Conforme</v>
      </c>
      <c r="G14" s="34" t="s">
        <v>1282</v>
      </c>
    </row>
    <row r="15" customFormat="false" ht="25.5" hidden="false" customHeight="true" outlineLevel="0" collapsed="false">
      <c r="B15" s="34" t="s">
        <v>1283</v>
      </c>
      <c r="C15" s="35" t="n">
        <v>46182</v>
      </c>
      <c r="D15" s="51" t="n">
        <f aca="false">DateArrete-C15</f>
        <v>119</v>
      </c>
      <c r="E15" s="53" t="n">
        <v>180</v>
      </c>
      <c r="F15" s="34" t="str">
        <f aca="false">IF(D15&lt;=E15,"Conforme","Périmée")</f>
        <v>Conforme</v>
      </c>
      <c r="G15" s="34" t="s">
        <v>1284</v>
      </c>
    </row>
    <row r="16" customFormat="false" ht="25.5" hidden="false" customHeight="true" outlineLevel="0" collapsed="false">
      <c r="B16" s="34" t="s">
        <v>1285</v>
      </c>
      <c r="C16" s="35" t="n">
        <v>46142</v>
      </c>
      <c r="D16" s="51" t="n">
        <f aca="false">DateArrete-C16</f>
        <v>159</v>
      </c>
      <c r="E16" s="53" t="n">
        <v>180</v>
      </c>
      <c r="F16" s="34" t="str">
        <f aca="false">IF(D16&lt;=E16,"Conforme","Périmée")</f>
        <v>Conforme</v>
      </c>
      <c r="G16" s="34" t="s">
        <v>1286</v>
      </c>
    </row>
    <row r="17" customFormat="false" ht="25.5" hidden="false" customHeight="true" outlineLevel="0" collapsed="false">
      <c r="B17" s="34" t="s">
        <v>1287</v>
      </c>
      <c r="C17" s="35" t="n">
        <v>46081</v>
      </c>
      <c r="D17" s="51" t="n">
        <f aca="false">DateArrete-C17</f>
        <v>220</v>
      </c>
      <c r="E17" s="53" t="n">
        <v>180</v>
      </c>
      <c r="F17" s="34" t="str">
        <f aca="false">IF(D17&lt;=E17,"Conforme","Périmée")</f>
        <v>Périmée</v>
      </c>
      <c r="G17" s="34" t="s">
        <v>1288</v>
      </c>
    </row>
    <row r="18" customFormat="false" ht="15" hidden="false" customHeight="false" outlineLevel="0" collapsed="false">
      <c r="B18" s="34" t="s">
        <v>434</v>
      </c>
      <c r="C18" s="54" t="n">
        <f aca="false">COUNTIF(F6:F17,"Périmée")</f>
        <v>1</v>
      </c>
      <c r="D18" s="34"/>
      <c r="E18" s="34"/>
      <c r="F18" s="34"/>
      <c r="G18" s="34"/>
    </row>
    <row r="19" customFormat="false" ht="15" hidden="false" customHeight="false" outlineLevel="0" collapsed="false">
      <c r="B19" s="34" t="s">
        <v>1289</v>
      </c>
      <c r="C19" s="51" t="n">
        <f aca="false">COUNTA(B6:B17)</f>
        <v>12</v>
      </c>
      <c r="D19" s="34"/>
      <c r="E19" s="34"/>
      <c r="F19" s="34"/>
      <c r="G19" s="34"/>
    </row>
    <row r="21" customFormat="false" ht="39" hidden="false" customHeight="true" outlineLevel="0" collapsed="false">
      <c r="B21" s="21" t="s">
        <v>1290</v>
      </c>
      <c r="C21" s="21"/>
      <c r="D21" s="21"/>
      <c r="E21" s="21"/>
      <c r="F21" s="21"/>
      <c r="G21" s="21"/>
    </row>
  </sheetData>
  <mergeCells count="1">
    <mergeCell ref="B21:G21"/>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2026-10-06T17:23:29Z</dcterms:created>
  <dc:creator>openpyxl</dc:creator>
  <dc:description/>
  <dc:language>en-US</dc:language>
  <cp:lastModifiedBy/>
  <dcterms:modified xsi:type="dcterms:W3CDTF">2026-10-06T17:23:31Z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